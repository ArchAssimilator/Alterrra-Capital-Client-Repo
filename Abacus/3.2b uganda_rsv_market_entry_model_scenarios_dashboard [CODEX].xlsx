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risbarker/Repos/Alterrra-Capital-Client-Repo-main/Abacus/"/>
    </mc:Choice>
  </mc:AlternateContent>
  <xr:revisionPtr revIDLastSave="0" documentId="13_ncr:1_{164DDE7C-9A15-6343-94B2-2ED9692EBA33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Assumptions" sheetId="2" r:id="rId1"/>
    <sheet name="Model - Positive" sheetId="4" r:id="rId2"/>
    <sheet name="Model - Base" sheetId="3" r:id="rId3"/>
    <sheet name="Graphs" sheetId="1" r:id="rId4"/>
    <sheet name="Slide Data" sheetId="5" r:id="rId5"/>
  </sheets>
  <definedNames>
    <definedName name="central_anc_access_rate">Assumptions!$D$5</definedName>
    <definedName name="central_anc_access_rate_growth">Assumptions!$E$5</definedName>
    <definedName name="central_anc_access_rate_positive">Assumptions!$F$5</definedName>
    <definedName name="central_anc_access_rate_positive_growth">Assumptions!$G$5</definedName>
    <definedName name="central_launch_budget">Assumptions!$D$117</definedName>
    <definedName name="central_launch_budget_growth">Assumptions!$E$117</definedName>
    <definedName name="central_launch_budget_positive">Assumptions!$F$117</definedName>
    <definedName name="central_launch_budget_positive_growth">Assumptions!$G$117</definedName>
    <definedName name="central_private_acceptance_rate">Assumptions!$D$46</definedName>
    <definedName name="central_private_acceptance_rate_growth">Assumptions!$E$46</definedName>
    <definedName name="central_private_acceptance_rate_positive">Assumptions!$F$46</definedName>
    <definedName name="central_private_acceptance_rate_positive_growth">Assumptions!$G$46</definedName>
    <definedName name="central_private_coverage_additions">Assumptions!$D$48</definedName>
    <definedName name="central_private_coverage_additions_growth">Assumptions!$E$48</definedName>
    <definedName name="central_private_coverage_additions_positive">Assumptions!$F$48</definedName>
    <definedName name="central_private_coverage_additions_positive_growth">Assumptions!$G$48</definedName>
    <definedName name="central_private_coverage_churn">Assumptions!$D$49</definedName>
    <definedName name="central_private_coverage_churn_growth">Assumptions!$E$49</definedName>
    <definedName name="central_private_coverage_churn_positive">Assumptions!$F$49</definedName>
    <definedName name="central_private_coverage_churn_positive_growth">Assumptions!$G$49</definedName>
    <definedName name="central_private_distribution_cost_per_dose">Assumptions!$D$80</definedName>
    <definedName name="central_private_distribution_cost_per_dose_growth">Assumptions!$E$80</definedName>
    <definedName name="central_private_distribution_cost_per_dose_positive">Assumptions!$F$80</definedName>
    <definedName name="central_private_distribution_cost_per_dose_positive_growth">Assumptions!$G$80</definedName>
    <definedName name="central_private_eligibility_rate">Assumptions!$D$44</definedName>
    <definedName name="central_private_eligibility_rate_growth">Assumptions!$E$44</definedName>
    <definedName name="central_private_eligibility_rate_positive">Assumptions!$F$44</definedName>
    <definedName name="central_private_eligibility_rate_positive_growth">Assumptions!$G$44</definedName>
    <definedName name="central_private_net_price_per_dose">Assumptions!$D$50</definedName>
    <definedName name="central_private_net_price_per_dose_growth">Assumptions!$E$50</definedName>
    <definedName name="central_private_net_price_per_dose_positive">Assumptions!$F$50</definedName>
    <definedName name="central_private_net_price_per_dose_positive_growth">Assumptions!$G$50</definedName>
    <definedName name="central_private_provider_recommendation_rate">Assumptions!$D$45</definedName>
    <definedName name="central_private_provider_recommendation_rate_growth">Assumptions!$E$45</definedName>
    <definedName name="central_private_provider_recommendation_rate_positive">Assumptions!$F$45</definedName>
    <definedName name="central_private_provider_recommendation_rate_positive_growth">Assumptions!$G$45</definedName>
    <definedName name="central_private_stock_availability_rate">Assumptions!$D$47</definedName>
    <definedName name="central_private_stock_availability_rate_growth">Assumptions!$E$47</definedName>
    <definedName name="central_private_stock_availability_rate_positive">Assumptions!$F$47</definedName>
    <definedName name="central_private_stock_availability_rate_positive_growth">Assumptions!$G$47</definedName>
    <definedName name="central_private_trade_support_per_dose">Assumptions!$D$92</definedName>
    <definedName name="central_private_trade_support_per_dose_growth">Assumptions!$E$92</definedName>
    <definedName name="central_private_trade_support_per_dose_positive">Assumptions!$F$92</definedName>
    <definedName name="central_private_trade_support_per_dose_positive_growth">Assumptions!$G$92</definedName>
    <definedName name="central_private_wastage_rate">Assumptions!$D$88</definedName>
    <definedName name="central_private_wastage_rate_growth">Assumptions!$E$88</definedName>
    <definedName name="central_private_wastage_rate_positive">Assumptions!$F$88</definedName>
    <definedName name="central_private_wastage_rate_positive_growth">Assumptions!$G$88</definedName>
    <definedName name="central_public_acceptance_rate">Assumptions!$D$9</definedName>
    <definedName name="central_public_acceptance_rate_growth">Assumptions!$E$9</definedName>
    <definedName name="central_public_acceptance_rate_positive">Assumptions!$F$9</definedName>
    <definedName name="central_public_acceptance_rate_positive_growth">Assumptions!$G$9</definedName>
    <definedName name="central_public_coverage_additions">Assumptions!$D$11</definedName>
    <definedName name="central_public_coverage_additions_growth">Assumptions!$E$11</definedName>
    <definedName name="central_public_coverage_additions_positive">Assumptions!$F$11</definedName>
    <definedName name="central_public_coverage_additions_positive_growth">Assumptions!$G$11</definedName>
    <definedName name="central_public_coverage_churn">Assumptions!$D$12</definedName>
    <definedName name="central_public_coverage_churn_growth">Assumptions!$E$12</definedName>
    <definedName name="central_public_coverage_churn_positive">Assumptions!$F$12</definedName>
    <definedName name="central_public_coverage_churn_positive_growth">Assumptions!$G$12</definedName>
    <definedName name="central_public_distribution_cost_per_dose">Assumptions!$D$76</definedName>
    <definedName name="central_public_distribution_cost_per_dose_growth">Assumptions!$E$76</definedName>
    <definedName name="central_public_distribution_cost_per_dose_positive">Assumptions!$F$76</definedName>
    <definedName name="central_public_distribution_cost_per_dose_positive_growth">Assumptions!$G$76</definedName>
    <definedName name="central_public_eligibility_rate">Assumptions!$D$7</definedName>
    <definedName name="central_public_eligibility_rate_growth">Assumptions!$E$7</definedName>
    <definedName name="central_public_eligibility_rate_positive">Assumptions!$F$7</definedName>
    <definedName name="central_public_eligibility_rate_positive_growth">Assumptions!$G$7</definedName>
    <definedName name="central_public_net_price_per_dose">Assumptions!$D$13</definedName>
    <definedName name="central_public_net_price_per_dose_growth">Assumptions!$E$13</definedName>
    <definedName name="central_public_net_price_per_dose_positive">Assumptions!$F$13</definedName>
    <definedName name="central_public_net_price_per_dose_positive_growth">Assumptions!$G$13</definedName>
    <definedName name="central_public_provider_recommendation_rate">Assumptions!$D$8</definedName>
    <definedName name="central_public_provider_recommendation_rate_growth">Assumptions!$E$8</definedName>
    <definedName name="central_public_provider_recommendation_rate_positive">Assumptions!$F$8</definedName>
    <definedName name="central_public_provider_recommendation_rate_positive_growth">Assumptions!$G$8</definedName>
    <definedName name="central_public_stock_availability_rate">Assumptions!$D$10</definedName>
    <definedName name="central_public_stock_availability_rate_growth">Assumptions!$E$10</definedName>
    <definedName name="central_public_stock_availability_rate_positive">Assumptions!$F$10</definedName>
    <definedName name="central_public_stock_availability_rate_positive_growth">Assumptions!$G$10</definedName>
    <definedName name="central_public_wastage_rate">Assumptions!$D$84</definedName>
    <definedName name="central_public_wastage_rate_growth">Assumptions!$E$84</definedName>
    <definedName name="central_public_wastage_rate_positive">Assumptions!$F$84</definedName>
    <definedName name="central_public_wastage_rate_positive_growth">Assumptions!$G$84</definedName>
    <definedName name="central_regional_opportunity_weight">Assumptions!$D$4</definedName>
    <definedName name="central_regional_opportunity_weight_growth">Assumptions!$E$4</definedName>
    <definedName name="central_regional_opportunity_weight_positive">Assumptions!$F$4</definedName>
    <definedName name="central_regional_opportunity_weight_positive_growth">Assumptions!$G$4</definedName>
    <definedName name="central_third_trimester_window_rate">Assumptions!$D$6</definedName>
    <definedName name="central_third_trimester_window_rate_growth">Assumptions!$E$6</definedName>
    <definedName name="central_third_trimester_window_rate_positive">Assumptions!$F$6</definedName>
    <definedName name="central_third_trimester_window_rate_positive_growth">Assumptions!$G$6</definedName>
    <definedName name="central_training_budget">Assumptions!$D$106</definedName>
    <definedName name="central_training_budget_growth">Assumptions!$E$106</definedName>
    <definedName name="central_training_budget_positive">Assumptions!$F$106</definedName>
    <definedName name="central_training_budget_positive_growth">Assumptions!$G$106</definedName>
    <definedName name="cold_chain_warehousing_cost_per_dose">Assumptions!$D$75</definedName>
    <definedName name="cold_chain_warehousing_cost_per_dose_growth">Assumptions!$E$75</definedName>
    <definedName name="cold_chain_warehousing_cost_per_dose_positive">Assumptions!$F$75</definedName>
    <definedName name="cold_chain_warehousing_cost_per_dose_positive_growth">Assumptions!$G$75</definedName>
    <definedName name="country_office_rent">Assumptions!$D$114</definedName>
    <definedName name="country_office_rent_growth">Assumptions!$E$114</definedName>
    <definedName name="country_office_rent_positive">Assumptions!$F$114</definedName>
    <definedName name="country_office_rent_positive_growth">Assumptions!$G$114</definedName>
    <definedName name="eastern_anc_access_rate">Assumptions!$D$25</definedName>
    <definedName name="eastern_anc_access_rate_growth">Assumptions!$E$25</definedName>
    <definedName name="eastern_anc_access_rate_positive">Assumptions!$F$25</definedName>
    <definedName name="eastern_anc_access_rate_positive_growth">Assumptions!$G$25</definedName>
    <definedName name="eastern_launch_budget">Assumptions!$D$119</definedName>
    <definedName name="eastern_launch_budget_growth">Assumptions!$E$119</definedName>
    <definedName name="eastern_launch_budget_positive">Assumptions!$F$119</definedName>
    <definedName name="eastern_launch_budget_positive_growth">Assumptions!$G$119</definedName>
    <definedName name="eastern_private_acceptance_rate">Assumptions!$D$60</definedName>
    <definedName name="eastern_private_acceptance_rate_growth">Assumptions!$E$60</definedName>
    <definedName name="eastern_private_acceptance_rate_positive">Assumptions!$F$60</definedName>
    <definedName name="eastern_private_acceptance_rate_positive_growth">Assumptions!$G$60</definedName>
    <definedName name="eastern_private_coverage_additions">Assumptions!$D$62</definedName>
    <definedName name="eastern_private_coverage_additions_growth">Assumptions!$E$62</definedName>
    <definedName name="eastern_private_coverage_additions_positive">Assumptions!$F$62</definedName>
    <definedName name="eastern_private_coverage_additions_positive_growth">Assumptions!$G$62</definedName>
    <definedName name="eastern_private_coverage_churn">Assumptions!$D$63</definedName>
    <definedName name="eastern_private_coverage_churn_growth">Assumptions!$E$63</definedName>
    <definedName name="eastern_private_coverage_churn_positive">Assumptions!$F$63</definedName>
    <definedName name="eastern_private_coverage_churn_positive_growth">Assumptions!$G$63</definedName>
    <definedName name="eastern_private_distribution_cost_per_dose">Assumptions!$D$82</definedName>
    <definedName name="eastern_private_distribution_cost_per_dose_growth">Assumptions!$E$82</definedName>
    <definedName name="eastern_private_distribution_cost_per_dose_positive">Assumptions!$F$82</definedName>
    <definedName name="eastern_private_distribution_cost_per_dose_positive_growth">Assumptions!$G$82</definedName>
    <definedName name="eastern_private_eligibility_rate">Assumptions!$D$58</definedName>
    <definedName name="eastern_private_eligibility_rate_growth">Assumptions!$E$58</definedName>
    <definedName name="eastern_private_eligibility_rate_positive">Assumptions!$F$58</definedName>
    <definedName name="eastern_private_eligibility_rate_positive_growth">Assumptions!$G$58</definedName>
    <definedName name="eastern_private_net_price_per_dose">Assumptions!$D$64</definedName>
    <definedName name="eastern_private_net_price_per_dose_growth">Assumptions!$E$64</definedName>
    <definedName name="eastern_private_net_price_per_dose_positive">Assumptions!$F$64</definedName>
    <definedName name="eastern_private_net_price_per_dose_positive_growth">Assumptions!$G$64</definedName>
    <definedName name="eastern_private_provider_recommendation_rate">Assumptions!$D$59</definedName>
    <definedName name="eastern_private_provider_recommendation_rate_growth">Assumptions!$E$59</definedName>
    <definedName name="eastern_private_provider_recommendation_rate_positive">Assumptions!$F$59</definedName>
    <definedName name="eastern_private_provider_recommendation_rate_positive_growth">Assumptions!$G$59</definedName>
    <definedName name="eastern_private_stock_availability_rate">Assumptions!$D$61</definedName>
    <definedName name="eastern_private_stock_availability_rate_growth">Assumptions!$E$61</definedName>
    <definedName name="eastern_private_stock_availability_rate_positive">Assumptions!$F$61</definedName>
    <definedName name="eastern_private_stock_availability_rate_positive_growth">Assumptions!$G$61</definedName>
    <definedName name="eastern_private_trade_support_per_dose">Assumptions!$D$94</definedName>
    <definedName name="eastern_private_trade_support_per_dose_growth">Assumptions!$E$94</definedName>
    <definedName name="eastern_private_trade_support_per_dose_positive">Assumptions!$F$94</definedName>
    <definedName name="eastern_private_trade_support_per_dose_positive_growth">Assumptions!$G$94</definedName>
    <definedName name="eastern_private_wastage_rate">Assumptions!$D$90</definedName>
    <definedName name="eastern_private_wastage_rate_growth">Assumptions!$E$90</definedName>
    <definedName name="eastern_private_wastage_rate_positive">Assumptions!$F$90</definedName>
    <definedName name="eastern_private_wastage_rate_positive_growth">Assumptions!$G$90</definedName>
    <definedName name="eastern_public_acceptance_rate">Assumptions!$D$29</definedName>
    <definedName name="eastern_public_acceptance_rate_growth">Assumptions!$E$29</definedName>
    <definedName name="eastern_public_acceptance_rate_positive">Assumptions!$F$29</definedName>
    <definedName name="eastern_public_acceptance_rate_positive_growth">Assumptions!$G$29</definedName>
    <definedName name="eastern_public_coverage_additions">Assumptions!$D$31</definedName>
    <definedName name="eastern_public_coverage_additions_growth">Assumptions!$E$31</definedName>
    <definedName name="eastern_public_coverage_additions_positive">Assumptions!$F$31</definedName>
    <definedName name="eastern_public_coverage_additions_positive_growth">Assumptions!$G$31</definedName>
    <definedName name="eastern_public_coverage_churn">Assumptions!$D$32</definedName>
    <definedName name="eastern_public_coverage_churn_growth">Assumptions!$E$32</definedName>
    <definedName name="eastern_public_coverage_churn_positive">Assumptions!$F$32</definedName>
    <definedName name="eastern_public_coverage_churn_positive_growth">Assumptions!$G$32</definedName>
    <definedName name="eastern_public_distribution_cost_per_dose">Assumptions!$D$78</definedName>
    <definedName name="eastern_public_distribution_cost_per_dose_growth">Assumptions!$E$78</definedName>
    <definedName name="eastern_public_distribution_cost_per_dose_positive">Assumptions!$F$78</definedName>
    <definedName name="eastern_public_distribution_cost_per_dose_positive_growth">Assumptions!$G$78</definedName>
    <definedName name="eastern_public_eligibility_rate">Assumptions!$D$27</definedName>
    <definedName name="eastern_public_eligibility_rate_growth">Assumptions!$E$27</definedName>
    <definedName name="eastern_public_eligibility_rate_positive">Assumptions!$F$27</definedName>
    <definedName name="eastern_public_eligibility_rate_positive_growth">Assumptions!$G$27</definedName>
    <definedName name="eastern_public_net_price_per_dose">Assumptions!$D$33</definedName>
    <definedName name="eastern_public_net_price_per_dose_growth">Assumptions!$E$33</definedName>
    <definedName name="eastern_public_net_price_per_dose_positive">Assumptions!$F$33</definedName>
    <definedName name="eastern_public_net_price_per_dose_positive_growth">Assumptions!$G$33</definedName>
    <definedName name="eastern_public_provider_recommendation_rate">Assumptions!$D$28</definedName>
    <definedName name="eastern_public_provider_recommendation_rate_growth">Assumptions!$E$28</definedName>
    <definedName name="eastern_public_provider_recommendation_rate_positive">Assumptions!$F$28</definedName>
    <definedName name="eastern_public_provider_recommendation_rate_positive_growth">Assumptions!$G$28</definedName>
    <definedName name="eastern_public_stock_availability_rate">Assumptions!$D$30</definedName>
    <definedName name="eastern_public_stock_availability_rate_growth">Assumptions!$E$30</definedName>
    <definedName name="eastern_public_stock_availability_rate_positive">Assumptions!$F$30</definedName>
    <definedName name="eastern_public_stock_availability_rate_positive_growth">Assumptions!$G$30</definedName>
    <definedName name="eastern_public_wastage_rate">Assumptions!$D$86</definedName>
    <definedName name="eastern_public_wastage_rate_growth">Assumptions!$E$86</definedName>
    <definedName name="eastern_public_wastage_rate_positive">Assumptions!$F$86</definedName>
    <definedName name="eastern_public_wastage_rate_positive_growth">Assumptions!$G$86</definedName>
    <definedName name="eastern_regional_opportunity_weight">Assumptions!$D$24</definedName>
    <definedName name="eastern_regional_opportunity_weight_growth">Assumptions!$E$24</definedName>
    <definedName name="eastern_regional_opportunity_weight_positive">Assumptions!$F$24</definedName>
    <definedName name="eastern_regional_opportunity_weight_positive_growth">Assumptions!$G$24</definedName>
    <definedName name="eastern_third_trimester_window_rate">Assumptions!$D$26</definedName>
    <definedName name="eastern_third_trimester_window_rate_growth">Assumptions!$E$26</definedName>
    <definedName name="eastern_third_trimester_window_rate_positive">Assumptions!$F$26</definedName>
    <definedName name="eastern_third_trimester_window_rate_positive_growth">Assumptions!$G$26</definedName>
    <definedName name="eastern_training_budget">Assumptions!$D$108</definedName>
    <definedName name="eastern_training_budget_growth">Assumptions!$E$108</definedName>
    <definedName name="eastern_training_budget_positive">Assumptions!$F$108</definedName>
    <definedName name="eastern_training_budget_positive_growth">Assumptions!$G$108</definedName>
    <definedName name="import_clearance_cost_per_dose">Assumptions!$D$74</definedName>
    <definedName name="import_clearance_cost_per_dose_growth">Assumptions!$E$74</definedName>
    <definedName name="import_clearance_cost_per_dose_positive">Assumptions!$F$74</definedName>
    <definedName name="import_clearance_cost_per_dose_positive_growth">Assumptions!$G$74</definedName>
    <definedName name="it_and_quality_support">Assumptions!$D$116</definedName>
    <definedName name="it_and_quality_support_growth">Assumptions!$E$116</definedName>
    <definedName name="it_and_quality_support_positive">Assumptions!$F$116</definedName>
    <definedName name="it_and_quality_support_positive_growth">Assumptions!$G$116</definedName>
    <definedName name="kol_and_medical_program_budget">Assumptions!$D$105</definedName>
    <definedName name="kol_and_medical_program_budget_growth">Assumptions!$E$105</definedName>
    <definedName name="kol_and_medical_program_budget_positive">Assumptions!$F$105</definedName>
    <definedName name="kol_and_medical_program_budget_positive_growth">Assumptions!$G$105</definedName>
    <definedName name="landed_vaccine_cost_per_dose">Assumptions!$D$73</definedName>
    <definedName name="landed_vaccine_cost_per_dose_growth">Assumptions!$E$73</definedName>
    <definedName name="landed_vaccine_cost_per_dose_positive">Assumptions!$F$73</definedName>
    <definedName name="landed_vaccine_cost_per_dose_positive_growth">Assumptions!$G$73</definedName>
    <definedName name="market_access_cost_per_fte">Assumptions!$D$101</definedName>
    <definedName name="market_access_cost_per_fte_growth">Assumptions!$E$101</definedName>
    <definedName name="market_access_cost_per_fte_positive">Assumptions!$F$101</definedName>
    <definedName name="market_access_cost_per_fte_positive_growth">Assumptions!$G$101</definedName>
    <definedName name="market_access_headcount">Assumptions!$D$100</definedName>
    <definedName name="market_access_headcount_growth">Assumptions!$E$100</definedName>
    <definedName name="market_access_headcount_positive">Assumptions!$F$100</definedName>
    <definedName name="market_access_headcount_positive_growth">Assumptions!$G$100</definedName>
    <definedName name="medical_cost_per_fte">Assumptions!$D$104</definedName>
    <definedName name="medical_cost_per_fte_growth">Assumptions!$E$104</definedName>
    <definedName name="medical_cost_per_fte_positive">Assumptions!$F$104</definedName>
    <definedName name="medical_cost_per_fte_positive_growth">Assumptions!$G$104</definedName>
    <definedName name="medical_headcount">Assumptions!$D$103</definedName>
    <definedName name="medical_headcount_growth">Assumptions!$E$103</definedName>
    <definedName name="medical_headcount_positive">Assumptions!$F$103</definedName>
    <definedName name="medical_headcount_positive_growth">Assumptions!$G$103</definedName>
    <definedName name="national_live_births_per_month">Assumptions!$D$3</definedName>
    <definedName name="national_live_births_per_month_growth">Assumptions!$E$3</definedName>
    <definedName name="national_live_births_per_month_positive">Assumptions!$F$3</definedName>
    <definedName name="national_live_births_per_month_positive_growth">Assumptions!$G$3</definedName>
    <definedName name="northern_anc_access_rate">Assumptions!$D$35</definedName>
    <definedName name="northern_anc_access_rate_growth">Assumptions!$E$35</definedName>
    <definedName name="northern_anc_access_rate_positive">Assumptions!$F$35</definedName>
    <definedName name="northern_anc_access_rate_positive_growth">Assumptions!$G$35</definedName>
    <definedName name="northern_launch_budget">Assumptions!$D$120</definedName>
    <definedName name="northern_launch_budget_growth">Assumptions!$E$120</definedName>
    <definedName name="northern_launch_budget_positive">Assumptions!$F$120</definedName>
    <definedName name="northern_launch_budget_positive_growth">Assumptions!$G$120</definedName>
    <definedName name="northern_private_acceptance_rate">Assumptions!$D$67</definedName>
    <definedName name="northern_private_acceptance_rate_growth">Assumptions!$E$67</definedName>
    <definedName name="northern_private_acceptance_rate_positive">Assumptions!$F$67</definedName>
    <definedName name="northern_private_acceptance_rate_positive_growth">Assumptions!$G$67</definedName>
    <definedName name="northern_private_coverage_additions">Assumptions!$D$69</definedName>
    <definedName name="northern_private_coverage_additions_growth">Assumptions!$E$69</definedName>
    <definedName name="northern_private_coverage_additions_positive">Assumptions!$F$69</definedName>
    <definedName name="northern_private_coverage_additions_positive_growth">Assumptions!$G$69</definedName>
    <definedName name="northern_private_coverage_churn">Assumptions!$D$70</definedName>
    <definedName name="northern_private_coverage_churn_growth">Assumptions!$E$70</definedName>
    <definedName name="northern_private_coverage_churn_positive">Assumptions!$F$70</definedName>
    <definedName name="northern_private_coverage_churn_positive_growth">Assumptions!$G$70</definedName>
    <definedName name="northern_private_distribution_cost_per_dose">Assumptions!$D$83</definedName>
    <definedName name="northern_private_distribution_cost_per_dose_growth">Assumptions!$E$83</definedName>
    <definedName name="northern_private_distribution_cost_per_dose_positive">Assumptions!$F$83</definedName>
    <definedName name="northern_private_distribution_cost_per_dose_positive_growth">Assumptions!$G$83</definedName>
    <definedName name="northern_private_eligibility_rate">Assumptions!$D$65</definedName>
    <definedName name="northern_private_eligibility_rate_growth">Assumptions!$E$65</definedName>
    <definedName name="northern_private_eligibility_rate_positive">Assumptions!$F$65</definedName>
    <definedName name="northern_private_eligibility_rate_positive_growth">Assumptions!$G$65</definedName>
    <definedName name="northern_private_net_price_per_dose">Assumptions!$D$71</definedName>
    <definedName name="northern_private_net_price_per_dose_growth">Assumptions!$E$71</definedName>
    <definedName name="northern_private_net_price_per_dose_positive">Assumptions!$F$71</definedName>
    <definedName name="northern_private_net_price_per_dose_positive_growth">Assumptions!$G$71</definedName>
    <definedName name="northern_private_provider_recommendation_rate">Assumptions!$D$66</definedName>
    <definedName name="northern_private_provider_recommendation_rate_growth">Assumptions!$E$66</definedName>
    <definedName name="northern_private_provider_recommendation_rate_positive">Assumptions!$F$66</definedName>
    <definedName name="northern_private_provider_recommendation_rate_positive_growth">Assumptions!$G$66</definedName>
    <definedName name="northern_private_stock_availability_rate">Assumptions!$D$68</definedName>
    <definedName name="northern_private_stock_availability_rate_growth">Assumptions!$E$68</definedName>
    <definedName name="northern_private_stock_availability_rate_positive">Assumptions!$F$68</definedName>
    <definedName name="northern_private_stock_availability_rate_positive_growth">Assumptions!$G$68</definedName>
    <definedName name="northern_private_trade_support_per_dose">Assumptions!$D$95</definedName>
    <definedName name="northern_private_trade_support_per_dose_growth">Assumptions!$E$95</definedName>
    <definedName name="northern_private_trade_support_per_dose_positive">Assumptions!$F$95</definedName>
    <definedName name="northern_private_trade_support_per_dose_positive_growth">Assumptions!$G$95</definedName>
    <definedName name="northern_private_wastage_rate">Assumptions!$D$91</definedName>
    <definedName name="northern_private_wastage_rate_growth">Assumptions!$E$91</definedName>
    <definedName name="northern_private_wastage_rate_positive">Assumptions!$F$91</definedName>
    <definedName name="northern_private_wastage_rate_positive_growth">Assumptions!$G$91</definedName>
    <definedName name="northern_public_acceptance_rate">Assumptions!$D$39</definedName>
    <definedName name="northern_public_acceptance_rate_growth">Assumptions!$E$39</definedName>
    <definedName name="northern_public_acceptance_rate_positive">Assumptions!$F$39</definedName>
    <definedName name="northern_public_acceptance_rate_positive_growth">Assumptions!$G$39</definedName>
    <definedName name="northern_public_coverage_additions">Assumptions!$D$41</definedName>
    <definedName name="northern_public_coverage_additions_growth">Assumptions!$E$41</definedName>
    <definedName name="northern_public_coverage_additions_positive">Assumptions!$F$41</definedName>
    <definedName name="northern_public_coverage_additions_positive_growth">Assumptions!$G$41</definedName>
    <definedName name="northern_public_coverage_churn">Assumptions!$D$42</definedName>
    <definedName name="northern_public_coverage_churn_growth">Assumptions!$E$42</definedName>
    <definedName name="northern_public_coverage_churn_positive">Assumptions!$F$42</definedName>
    <definedName name="northern_public_coverage_churn_positive_growth">Assumptions!$G$42</definedName>
    <definedName name="northern_public_distribution_cost_per_dose">Assumptions!$D$79</definedName>
    <definedName name="northern_public_distribution_cost_per_dose_growth">Assumptions!$E$79</definedName>
    <definedName name="northern_public_distribution_cost_per_dose_positive">Assumptions!$F$79</definedName>
    <definedName name="northern_public_distribution_cost_per_dose_positive_growth">Assumptions!$G$79</definedName>
    <definedName name="northern_public_eligibility_rate">Assumptions!$D$37</definedName>
    <definedName name="northern_public_eligibility_rate_growth">Assumptions!$E$37</definedName>
    <definedName name="northern_public_eligibility_rate_positive">Assumptions!$F$37</definedName>
    <definedName name="northern_public_eligibility_rate_positive_growth">Assumptions!$G$37</definedName>
    <definedName name="northern_public_net_price_per_dose">Assumptions!$D$43</definedName>
    <definedName name="northern_public_net_price_per_dose_growth">Assumptions!$E$43</definedName>
    <definedName name="northern_public_net_price_per_dose_positive">Assumptions!$F$43</definedName>
    <definedName name="northern_public_net_price_per_dose_positive_growth">Assumptions!$G$43</definedName>
    <definedName name="northern_public_provider_recommendation_rate">Assumptions!$D$38</definedName>
    <definedName name="northern_public_provider_recommendation_rate_growth">Assumptions!$E$38</definedName>
    <definedName name="northern_public_provider_recommendation_rate_positive">Assumptions!$F$38</definedName>
    <definedName name="northern_public_provider_recommendation_rate_positive_growth">Assumptions!$G$38</definedName>
    <definedName name="northern_public_stock_availability_rate">Assumptions!$D$40</definedName>
    <definedName name="northern_public_stock_availability_rate_growth">Assumptions!$E$40</definedName>
    <definedName name="northern_public_stock_availability_rate_positive">Assumptions!$F$40</definedName>
    <definedName name="northern_public_stock_availability_rate_positive_growth">Assumptions!$G$40</definedName>
    <definedName name="northern_public_wastage_rate">Assumptions!$D$87</definedName>
    <definedName name="northern_public_wastage_rate_growth">Assumptions!$E$87</definedName>
    <definedName name="northern_public_wastage_rate_positive">Assumptions!$F$87</definedName>
    <definedName name="northern_public_wastage_rate_positive_growth">Assumptions!$G$87</definedName>
    <definedName name="northern_regional_opportunity_weight">Assumptions!$D$34</definedName>
    <definedName name="northern_regional_opportunity_weight_growth">Assumptions!$E$34</definedName>
    <definedName name="northern_regional_opportunity_weight_positive">Assumptions!$F$34</definedName>
    <definedName name="northern_regional_opportunity_weight_positive_growth">Assumptions!$G$34</definedName>
    <definedName name="northern_third_trimester_window_rate">Assumptions!$D$36</definedName>
    <definedName name="northern_third_trimester_window_rate_growth">Assumptions!$E$36</definedName>
    <definedName name="northern_third_trimester_window_rate_positive">Assumptions!$F$36</definedName>
    <definedName name="northern_third_trimester_window_rate_positive_growth">Assumptions!$G$36</definedName>
    <definedName name="northern_training_budget">Assumptions!$D$109</definedName>
    <definedName name="northern_training_budget_growth">Assumptions!$E$109</definedName>
    <definedName name="northern_training_budget_positive">Assumptions!$F$109</definedName>
    <definedName name="northern_training_budget_positive_growth">Assumptions!$G$109</definedName>
    <definedName name="private_field_rep_cost_per_fte">Assumptions!$D$111</definedName>
    <definedName name="private_field_rep_cost_per_fte_growth">Assumptions!$E$111</definedName>
    <definedName name="private_field_rep_cost_per_fte_positive">Assumptions!$F$111</definedName>
    <definedName name="private_field_rep_cost_per_fte_positive_growth">Assumptions!$G$111</definedName>
    <definedName name="private_field_rep_headcount">Assumptions!$D$110</definedName>
    <definedName name="private_field_rep_headcount_growth">Assumptions!$E$110</definedName>
    <definedName name="private_field_rep_headcount_positive">Assumptions!$F$110</definedName>
    <definedName name="private_field_rep_headcount_positive_growth">Assumptions!$G$110</definedName>
    <definedName name="private_sales_manager_cost">Assumptions!$D$112</definedName>
    <definedName name="private_sales_manager_cost_growth">Assumptions!$E$112</definedName>
    <definedName name="private_sales_manager_cost_positive">Assumptions!$F$112</definedName>
    <definedName name="private_sales_manager_cost_positive_growth">Assumptions!$G$112</definedName>
    <definedName name="private_sales_travel_budget">Assumptions!$D$113</definedName>
    <definedName name="private_sales_travel_budget_growth">Assumptions!$E$113</definedName>
    <definedName name="private_sales_travel_budget_positive">Assumptions!$F$113</definedName>
    <definedName name="private_sales_travel_budget_positive_growth">Assumptions!$G$113</definedName>
    <definedName name="regulatory_cost_per_fte">Assumptions!$D$98</definedName>
    <definedName name="regulatory_cost_per_fte_growth">Assumptions!$E$98</definedName>
    <definedName name="regulatory_cost_per_fte_positive">Assumptions!$F$98</definedName>
    <definedName name="regulatory_cost_per_fte_positive_growth">Assumptions!$G$98</definedName>
    <definedName name="regulatory_fees_and_compliance">Assumptions!$D$99</definedName>
    <definedName name="regulatory_fees_and_compliance_growth">Assumptions!$E$99</definedName>
    <definedName name="regulatory_fees_and_compliance_positive">Assumptions!$F$99</definedName>
    <definedName name="regulatory_fees_and_compliance_positive_growth">Assumptions!$G$99</definedName>
    <definedName name="regulatory_headcount">Assumptions!$D$97</definedName>
    <definedName name="regulatory_headcount_growth">Assumptions!$E$97</definedName>
    <definedName name="regulatory_headcount_positive">Assumptions!$F$97</definedName>
    <definedName name="regulatory_headcount_positive_growth">Assumptions!$G$97</definedName>
    <definedName name="tender_support_budget">Assumptions!$D$102</definedName>
    <definedName name="tender_support_budget_growth">Assumptions!$E$102</definedName>
    <definedName name="tender_support_budget_positive">Assumptions!$F$102</definedName>
    <definedName name="tender_support_budget_positive_growth">Assumptions!$G$102</definedName>
    <definedName name="utilities_and_admin">Assumptions!$D$115</definedName>
    <definedName name="utilities_and_admin_growth">Assumptions!$E$115</definedName>
    <definedName name="utilities_and_admin_positive">Assumptions!$F$115</definedName>
    <definedName name="utilities_and_admin_positive_growth">Assumptions!$G$115</definedName>
    <definedName name="western_anc_access_rate">Assumptions!$D$15</definedName>
    <definedName name="western_anc_access_rate_growth">Assumptions!$E$15</definedName>
    <definedName name="western_anc_access_rate_positive">Assumptions!$F$15</definedName>
    <definedName name="western_anc_access_rate_positive_growth">Assumptions!$G$15</definedName>
    <definedName name="western_launch_budget">Assumptions!$D$118</definedName>
    <definedName name="western_launch_budget_growth">Assumptions!$E$118</definedName>
    <definedName name="western_launch_budget_positive">Assumptions!$F$118</definedName>
    <definedName name="western_launch_budget_positive_growth">Assumptions!$G$118</definedName>
    <definedName name="western_private_acceptance_rate">Assumptions!$D$53</definedName>
    <definedName name="western_private_acceptance_rate_growth">Assumptions!$E$53</definedName>
    <definedName name="western_private_acceptance_rate_positive">Assumptions!$F$53</definedName>
    <definedName name="western_private_acceptance_rate_positive_growth">Assumptions!$G$53</definedName>
    <definedName name="western_private_coverage_additions">Assumptions!$D$55</definedName>
    <definedName name="western_private_coverage_additions_growth">Assumptions!$E$55</definedName>
    <definedName name="western_private_coverage_additions_positive">Assumptions!$F$55</definedName>
    <definedName name="western_private_coverage_additions_positive_growth">Assumptions!$G$55</definedName>
    <definedName name="western_private_coverage_churn">Assumptions!$D$56</definedName>
    <definedName name="western_private_coverage_churn_growth">Assumptions!$E$56</definedName>
    <definedName name="western_private_coverage_churn_positive">Assumptions!$F$56</definedName>
    <definedName name="western_private_coverage_churn_positive_growth">Assumptions!$G$56</definedName>
    <definedName name="western_private_distribution_cost_per_dose">Assumptions!$D$81</definedName>
    <definedName name="western_private_distribution_cost_per_dose_growth">Assumptions!$E$81</definedName>
    <definedName name="western_private_distribution_cost_per_dose_positive">Assumptions!$F$81</definedName>
    <definedName name="western_private_distribution_cost_per_dose_positive_growth">Assumptions!$G$81</definedName>
    <definedName name="western_private_eligibility_rate">Assumptions!$D$51</definedName>
    <definedName name="western_private_eligibility_rate_growth">Assumptions!$E$51</definedName>
    <definedName name="western_private_eligibility_rate_positive">Assumptions!$F$51</definedName>
    <definedName name="western_private_eligibility_rate_positive_growth">Assumptions!$G$51</definedName>
    <definedName name="western_private_net_price_per_dose">Assumptions!$D$57</definedName>
    <definedName name="western_private_net_price_per_dose_growth">Assumptions!$E$57</definedName>
    <definedName name="western_private_net_price_per_dose_positive">Assumptions!$F$57</definedName>
    <definedName name="western_private_net_price_per_dose_positive_growth">Assumptions!$G$57</definedName>
    <definedName name="western_private_provider_recommendation_rate">Assumptions!$D$52</definedName>
    <definedName name="western_private_provider_recommendation_rate_growth">Assumptions!$E$52</definedName>
    <definedName name="western_private_provider_recommendation_rate_positive">Assumptions!$F$52</definedName>
    <definedName name="western_private_provider_recommendation_rate_positive_growth">Assumptions!$G$52</definedName>
    <definedName name="western_private_stock_availability_rate">Assumptions!$D$54</definedName>
    <definedName name="western_private_stock_availability_rate_growth">Assumptions!$E$54</definedName>
    <definedName name="western_private_stock_availability_rate_positive">Assumptions!$F$54</definedName>
    <definedName name="western_private_stock_availability_rate_positive_growth">Assumptions!$G$54</definedName>
    <definedName name="western_private_trade_support_per_dose">Assumptions!$D$93</definedName>
    <definedName name="western_private_trade_support_per_dose_growth">Assumptions!$E$93</definedName>
    <definedName name="western_private_trade_support_per_dose_positive">Assumptions!$F$93</definedName>
    <definedName name="western_private_trade_support_per_dose_positive_growth">Assumptions!$G$93</definedName>
    <definedName name="western_private_wastage_rate">Assumptions!$D$89</definedName>
    <definedName name="western_private_wastage_rate_growth">Assumptions!$E$89</definedName>
    <definedName name="western_private_wastage_rate_positive">Assumptions!$F$89</definedName>
    <definedName name="western_private_wastage_rate_positive_growth">Assumptions!$G$89</definedName>
    <definedName name="western_public_acceptance_rate">Assumptions!$D$19</definedName>
    <definedName name="western_public_acceptance_rate_growth">Assumptions!$E$19</definedName>
    <definedName name="western_public_acceptance_rate_positive">Assumptions!$F$19</definedName>
    <definedName name="western_public_acceptance_rate_positive_growth">Assumptions!$G$19</definedName>
    <definedName name="western_public_coverage_additions">Assumptions!$D$21</definedName>
    <definedName name="western_public_coverage_additions_growth">Assumptions!$E$21</definedName>
    <definedName name="western_public_coverage_additions_positive">Assumptions!$F$21</definedName>
    <definedName name="western_public_coverage_additions_positive_growth">Assumptions!$G$21</definedName>
    <definedName name="western_public_coverage_churn">Assumptions!$D$22</definedName>
    <definedName name="western_public_coverage_churn_growth">Assumptions!$E$22</definedName>
    <definedName name="western_public_coverage_churn_positive">Assumptions!$F$22</definedName>
    <definedName name="western_public_coverage_churn_positive_growth">Assumptions!$G$22</definedName>
    <definedName name="western_public_distribution_cost_per_dose">Assumptions!$D$77</definedName>
    <definedName name="western_public_distribution_cost_per_dose_growth">Assumptions!$E$77</definedName>
    <definedName name="western_public_distribution_cost_per_dose_positive">Assumptions!$F$77</definedName>
    <definedName name="western_public_distribution_cost_per_dose_positive_growth">Assumptions!$G$77</definedName>
    <definedName name="western_public_eligibility_rate">Assumptions!$D$17</definedName>
    <definedName name="western_public_eligibility_rate_growth">Assumptions!$E$17</definedName>
    <definedName name="western_public_eligibility_rate_positive">Assumptions!$F$17</definedName>
    <definedName name="western_public_eligibility_rate_positive_growth">Assumptions!$G$17</definedName>
    <definedName name="western_public_net_price_per_dose">Assumptions!$D$23</definedName>
    <definedName name="western_public_net_price_per_dose_growth">Assumptions!$E$23</definedName>
    <definedName name="western_public_net_price_per_dose_positive">Assumptions!$F$23</definedName>
    <definedName name="western_public_net_price_per_dose_positive_growth">Assumptions!$G$23</definedName>
    <definedName name="western_public_provider_recommendation_rate">Assumptions!$D$18</definedName>
    <definedName name="western_public_provider_recommendation_rate_growth">Assumptions!$E$18</definedName>
    <definedName name="western_public_provider_recommendation_rate_positive">Assumptions!$F$18</definedName>
    <definedName name="western_public_provider_recommendation_rate_positive_growth">Assumptions!$G$18</definedName>
    <definedName name="western_public_stock_availability_rate">Assumptions!$D$20</definedName>
    <definedName name="western_public_stock_availability_rate_growth">Assumptions!$E$20</definedName>
    <definedName name="western_public_stock_availability_rate_positive">Assumptions!$F$20</definedName>
    <definedName name="western_public_stock_availability_rate_positive_growth">Assumptions!$G$20</definedName>
    <definedName name="western_public_wastage_rate">Assumptions!$D$85</definedName>
    <definedName name="western_public_wastage_rate_growth">Assumptions!$E$85</definedName>
    <definedName name="western_public_wastage_rate_positive">Assumptions!$F$85</definedName>
    <definedName name="western_public_wastage_rate_positive_growth">Assumptions!$G$85</definedName>
    <definedName name="western_regional_opportunity_weight">Assumptions!$D$14</definedName>
    <definedName name="western_regional_opportunity_weight_growth">Assumptions!$E$14</definedName>
    <definedName name="western_regional_opportunity_weight_positive">Assumptions!$F$14</definedName>
    <definedName name="western_regional_opportunity_weight_positive_growth">Assumptions!$G$14</definedName>
    <definedName name="western_third_trimester_window_rate">Assumptions!$D$16</definedName>
    <definedName name="western_third_trimester_window_rate_growth">Assumptions!$E$16</definedName>
    <definedName name="western_third_trimester_window_rate_positive">Assumptions!$F$16</definedName>
    <definedName name="western_third_trimester_window_rate_positive_growth">Assumptions!$G$16</definedName>
    <definedName name="western_training_budget">Assumptions!$D$107</definedName>
    <definedName name="western_training_budget_growth">Assumptions!$E$107</definedName>
    <definedName name="western_training_budget_positive">Assumptions!$F$107</definedName>
    <definedName name="western_training_budget_positive_growth">Assumptions!$G$107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0" i="5" l="1"/>
  <c r="D119" i="5"/>
  <c r="D118" i="5"/>
  <c r="D117" i="5"/>
  <c r="D116" i="5"/>
  <c r="D109" i="5"/>
  <c r="C109" i="5"/>
  <c r="D108" i="5"/>
  <c r="C108" i="5"/>
  <c r="D107" i="5"/>
  <c r="C107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B35" i="5"/>
  <c r="B34" i="5"/>
  <c r="B18" i="5"/>
  <c r="D17" i="5"/>
  <c r="D16" i="5"/>
  <c r="D15" i="5"/>
  <c r="D14" i="5"/>
  <c r="AQ291" i="4"/>
  <c r="AP291" i="4"/>
  <c r="AO291" i="4"/>
  <c r="AN291" i="4"/>
  <c r="AM291" i="4"/>
  <c r="AL291" i="4"/>
  <c r="AK291" i="4"/>
  <c r="AJ291" i="4"/>
  <c r="AI291" i="4"/>
  <c r="AH291" i="4"/>
  <c r="AG291" i="4"/>
  <c r="AF291" i="4"/>
  <c r="AE291" i="4"/>
  <c r="AD291" i="4"/>
  <c r="AC291" i="4"/>
  <c r="AB291" i="4"/>
  <c r="AA291" i="4"/>
  <c r="Z291" i="4"/>
  <c r="Y291" i="4"/>
  <c r="X291" i="4"/>
  <c r="W291" i="4"/>
  <c r="V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AQ290" i="4"/>
  <c r="AP290" i="4"/>
  <c r="AO290" i="4"/>
  <c r="AN290" i="4"/>
  <c r="AM290" i="4"/>
  <c r="AL290" i="4"/>
  <c r="AK290" i="4"/>
  <c r="AJ290" i="4"/>
  <c r="AI290" i="4"/>
  <c r="AH290" i="4"/>
  <c r="AG290" i="4"/>
  <c r="AF290" i="4"/>
  <c r="AE290" i="4"/>
  <c r="AD290" i="4"/>
  <c r="AC290" i="4"/>
  <c r="AB290" i="4"/>
  <c r="AA290" i="4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AQ289" i="4"/>
  <c r="AP289" i="4"/>
  <c r="AO289" i="4"/>
  <c r="AN289" i="4"/>
  <c r="AM289" i="4"/>
  <c r="AL289" i="4"/>
  <c r="AK289" i="4"/>
  <c r="AJ289" i="4"/>
  <c r="AI289" i="4"/>
  <c r="AH289" i="4"/>
  <c r="AG289" i="4"/>
  <c r="AF289" i="4"/>
  <c r="AE289" i="4"/>
  <c r="AD289" i="4"/>
  <c r="AC289" i="4"/>
  <c r="AB289" i="4"/>
  <c r="AA289" i="4"/>
  <c r="Z289" i="4"/>
  <c r="Y289" i="4"/>
  <c r="X289" i="4"/>
  <c r="W289" i="4"/>
  <c r="V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AQ288" i="4"/>
  <c r="AP288" i="4"/>
  <c r="AO288" i="4"/>
  <c r="AN288" i="4"/>
  <c r="AM288" i="4"/>
  <c r="AL288" i="4"/>
  <c r="AK288" i="4"/>
  <c r="AJ288" i="4"/>
  <c r="AI288" i="4"/>
  <c r="AH288" i="4"/>
  <c r="AG288" i="4"/>
  <c r="AF288" i="4"/>
  <c r="AE288" i="4"/>
  <c r="AD288" i="4"/>
  <c r="AC288" i="4"/>
  <c r="AB288" i="4"/>
  <c r="AA288" i="4"/>
  <c r="Z288" i="4"/>
  <c r="Y288" i="4"/>
  <c r="X288" i="4"/>
  <c r="W288" i="4"/>
  <c r="V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AQ287" i="4"/>
  <c r="AP287" i="4"/>
  <c r="AO287" i="4"/>
  <c r="AN287" i="4"/>
  <c r="AM287" i="4"/>
  <c r="AL287" i="4"/>
  <c r="AJ287" i="4"/>
  <c r="AI287" i="4"/>
  <c r="AH287" i="4"/>
  <c r="AG287" i="4"/>
  <c r="AF287" i="4"/>
  <c r="AE287" i="4"/>
  <c r="AD287" i="4"/>
  <c r="AC287" i="4"/>
  <c r="AB287" i="4"/>
  <c r="AA287" i="4"/>
  <c r="Z287" i="4"/>
  <c r="Y287" i="4"/>
  <c r="X287" i="4"/>
  <c r="W287" i="4"/>
  <c r="V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AQ286" i="4"/>
  <c r="AP286" i="4"/>
  <c r="AO286" i="4"/>
  <c r="AN286" i="4"/>
  <c r="AM286" i="4"/>
  <c r="AL286" i="4"/>
  <c r="AK286" i="4"/>
  <c r="AJ286" i="4"/>
  <c r="AI286" i="4"/>
  <c r="AH286" i="4"/>
  <c r="AG286" i="4"/>
  <c r="AF286" i="4"/>
  <c r="AE286" i="4"/>
  <c r="AD286" i="4"/>
  <c r="AC286" i="4"/>
  <c r="AB286" i="4"/>
  <c r="AA286" i="4"/>
  <c r="Z286" i="4"/>
  <c r="Y286" i="4"/>
  <c r="X286" i="4"/>
  <c r="W286" i="4"/>
  <c r="V286" i="4"/>
  <c r="U286" i="4"/>
  <c r="T286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AQ285" i="4"/>
  <c r="AP285" i="4"/>
  <c r="AO285" i="4"/>
  <c r="AN285" i="4"/>
  <c r="AM285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Z285" i="4"/>
  <c r="Y285" i="4"/>
  <c r="X285" i="4"/>
  <c r="W285" i="4"/>
  <c r="V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AQ284" i="4"/>
  <c r="AP284" i="4"/>
  <c r="AO284" i="4"/>
  <c r="AN284" i="4"/>
  <c r="AM284" i="4"/>
  <c r="AL284" i="4"/>
  <c r="AK284" i="4"/>
  <c r="AJ284" i="4"/>
  <c r="AI284" i="4"/>
  <c r="AH284" i="4"/>
  <c r="AG284" i="4"/>
  <c r="AF284" i="4"/>
  <c r="AE284" i="4"/>
  <c r="AD284" i="4"/>
  <c r="AC284" i="4"/>
  <c r="AB284" i="4"/>
  <c r="AA284" i="4"/>
  <c r="Z284" i="4"/>
  <c r="Y284" i="4"/>
  <c r="X284" i="4"/>
  <c r="W284" i="4"/>
  <c r="V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AQ283" i="4"/>
  <c r="AP283" i="4"/>
  <c r="AO283" i="4"/>
  <c r="AN283" i="4"/>
  <c r="AM283" i="4"/>
  <c r="AL283" i="4"/>
  <c r="AK283" i="4"/>
  <c r="AJ283" i="4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AQ282" i="4"/>
  <c r="AP282" i="4"/>
  <c r="AO282" i="4"/>
  <c r="AN282" i="4"/>
  <c r="AM282" i="4"/>
  <c r="AL282" i="4"/>
  <c r="AK282" i="4"/>
  <c r="AJ282" i="4"/>
  <c r="AI282" i="4"/>
  <c r="AH282" i="4"/>
  <c r="AG282" i="4"/>
  <c r="AF282" i="4"/>
  <c r="AE282" i="4"/>
  <c r="AD282" i="4"/>
  <c r="AC282" i="4"/>
  <c r="AB282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AQ281" i="4"/>
  <c r="AP281" i="4"/>
  <c r="AO281" i="4"/>
  <c r="AN281" i="4"/>
  <c r="AM281" i="4"/>
  <c r="AL281" i="4"/>
  <c r="AK281" i="4"/>
  <c r="AJ281" i="4"/>
  <c r="AI281" i="4"/>
  <c r="AH281" i="4"/>
  <c r="AG281" i="4"/>
  <c r="AF281" i="4"/>
  <c r="AE281" i="4"/>
  <c r="AD281" i="4"/>
  <c r="AC281" i="4"/>
  <c r="AB281" i="4"/>
  <c r="AA281" i="4"/>
  <c r="Z281" i="4"/>
  <c r="Y281" i="4"/>
  <c r="X281" i="4"/>
  <c r="W281" i="4"/>
  <c r="V281" i="4"/>
  <c r="U281" i="4"/>
  <c r="T281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AQ280" i="4"/>
  <c r="AP280" i="4"/>
  <c r="AO280" i="4"/>
  <c r="AN280" i="4"/>
  <c r="AM280" i="4"/>
  <c r="AL280" i="4"/>
  <c r="AK280" i="4"/>
  <c r="AJ280" i="4"/>
  <c r="AI280" i="4"/>
  <c r="AH280" i="4"/>
  <c r="AG280" i="4"/>
  <c r="AF280" i="4"/>
  <c r="AE280" i="4"/>
  <c r="AD280" i="4"/>
  <c r="AC280" i="4"/>
  <c r="AB280" i="4"/>
  <c r="AA280" i="4"/>
  <c r="Z280" i="4"/>
  <c r="Y280" i="4"/>
  <c r="X280" i="4"/>
  <c r="W280" i="4"/>
  <c r="V280" i="4"/>
  <c r="U280" i="4"/>
  <c r="T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AQ279" i="4"/>
  <c r="AP279" i="4"/>
  <c r="AO279" i="4"/>
  <c r="AN279" i="4"/>
  <c r="AM279" i="4"/>
  <c r="AL279" i="4"/>
  <c r="AK279" i="4"/>
  <c r="AJ279" i="4"/>
  <c r="AI279" i="4"/>
  <c r="AH279" i="4"/>
  <c r="AG279" i="4"/>
  <c r="AF279" i="4"/>
  <c r="AE279" i="4"/>
  <c r="AD279" i="4"/>
  <c r="AC279" i="4"/>
  <c r="AB279" i="4"/>
  <c r="AA279" i="4"/>
  <c r="Z279" i="4"/>
  <c r="Y279" i="4"/>
  <c r="X279" i="4"/>
  <c r="W279" i="4"/>
  <c r="V279" i="4"/>
  <c r="U279" i="4"/>
  <c r="T279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AO278" i="4"/>
  <c r="AN278" i="4"/>
  <c r="AM278" i="4"/>
  <c r="AL278" i="4"/>
  <c r="AK278" i="4"/>
  <c r="AJ278" i="4"/>
  <c r="AI278" i="4"/>
  <c r="AH278" i="4"/>
  <c r="AG278" i="4"/>
  <c r="AF278" i="4"/>
  <c r="AE278" i="4"/>
  <c r="AD278" i="4"/>
  <c r="AC278" i="4"/>
  <c r="AB278" i="4"/>
  <c r="AA278" i="4"/>
  <c r="Z278" i="4"/>
  <c r="Y278" i="4"/>
  <c r="X278" i="4"/>
  <c r="W278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AQ277" i="4"/>
  <c r="AP277" i="4"/>
  <c r="AO277" i="4"/>
  <c r="AN277" i="4"/>
  <c r="AM277" i="4"/>
  <c r="AL277" i="4"/>
  <c r="AK277" i="4"/>
  <c r="AJ277" i="4"/>
  <c r="AI277" i="4"/>
  <c r="AH277" i="4"/>
  <c r="AG277" i="4"/>
  <c r="AF277" i="4"/>
  <c r="AE277" i="4"/>
  <c r="AD277" i="4"/>
  <c r="AC277" i="4"/>
  <c r="AB277" i="4"/>
  <c r="AA277" i="4"/>
  <c r="Z277" i="4"/>
  <c r="Y277" i="4"/>
  <c r="X277" i="4"/>
  <c r="W277" i="4"/>
  <c r="V277" i="4"/>
  <c r="U277" i="4"/>
  <c r="T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AQ276" i="4"/>
  <c r="AP276" i="4"/>
  <c r="AO276" i="4"/>
  <c r="AN276" i="4"/>
  <c r="AM276" i="4"/>
  <c r="AL276" i="4"/>
  <c r="AK276" i="4"/>
  <c r="AJ276" i="4"/>
  <c r="AI276" i="4"/>
  <c r="AH276" i="4"/>
  <c r="AG276" i="4"/>
  <c r="AF276" i="4"/>
  <c r="AE276" i="4"/>
  <c r="AD276" i="4"/>
  <c r="AC276" i="4"/>
  <c r="AB276" i="4"/>
  <c r="AA276" i="4"/>
  <c r="Z276" i="4"/>
  <c r="Y276" i="4"/>
  <c r="X276" i="4"/>
  <c r="W276" i="4"/>
  <c r="V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AQ275" i="4"/>
  <c r="AP275" i="4"/>
  <c r="AO275" i="4"/>
  <c r="AN275" i="4"/>
  <c r="AM275" i="4"/>
  <c r="AL275" i="4"/>
  <c r="AK275" i="4"/>
  <c r="AJ275" i="4"/>
  <c r="AI275" i="4"/>
  <c r="AH275" i="4"/>
  <c r="AG275" i="4"/>
  <c r="AF275" i="4"/>
  <c r="AE275" i="4"/>
  <c r="AD275" i="4"/>
  <c r="AC275" i="4"/>
  <c r="AB275" i="4"/>
  <c r="AA275" i="4"/>
  <c r="Z275" i="4"/>
  <c r="Y275" i="4"/>
  <c r="X275" i="4"/>
  <c r="W275" i="4"/>
  <c r="V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AQ274" i="4"/>
  <c r="AP274" i="4"/>
  <c r="AO274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AQ273" i="4"/>
  <c r="AP273" i="4"/>
  <c r="AO273" i="4"/>
  <c r="AN273" i="4"/>
  <c r="AM273" i="4"/>
  <c r="AL273" i="4"/>
  <c r="AK273" i="4"/>
  <c r="AJ273" i="4"/>
  <c r="AI273" i="4"/>
  <c r="AH273" i="4"/>
  <c r="AG273" i="4"/>
  <c r="AF273" i="4"/>
  <c r="AE273" i="4"/>
  <c r="AD273" i="4"/>
  <c r="AC273" i="4"/>
  <c r="AB273" i="4"/>
  <c r="AA273" i="4"/>
  <c r="Z273" i="4"/>
  <c r="Y273" i="4"/>
  <c r="X273" i="4"/>
  <c r="W273" i="4"/>
  <c r="V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AQ272" i="4"/>
  <c r="AP272" i="4"/>
  <c r="AO272" i="4"/>
  <c r="AN272" i="4"/>
  <c r="AM272" i="4"/>
  <c r="AL272" i="4"/>
  <c r="AK272" i="4"/>
  <c r="AJ272" i="4"/>
  <c r="AI272" i="4"/>
  <c r="AH272" i="4"/>
  <c r="AG272" i="4"/>
  <c r="AF272" i="4"/>
  <c r="AE272" i="4"/>
  <c r="AD272" i="4"/>
  <c r="AC272" i="4"/>
  <c r="AB272" i="4"/>
  <c r="AA272" i="4"/>
  <c r="Z272" i="4"/>
  <c r="Y272" i="4"/>
  <c r="X272" i="4"/>
  <c r="W272" i="4"/>
  <c r="V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AQ271" i="4"/>
  <c r="AP271" i="4"/>
  <c r="AO271" i="4"/>
  <c r="AN271" i="4"/>
  <c r="AM271" i="4"/>
  <c r="AL271" i="4"/>
  <c r="AK271" i="4"/>
  <c r="AJ271" i="4"/>
  <c r="AI271" i="4"/>
  <c r="AH271" i="4"/>
  <c r="AG271" i="4"/>
  <c r="AF271" i="4"/>
  <c r="AE271" i="4"/>
  <c r="AD271" i="4"/>
  <c r="AC271" i="4"/>
  <c r="AB271" i="4"/>
  <c r="AA271" i="4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AQ270" i="4"/>
  <c r="AP270" i="4"/>
  <c r="AO270" i="4"/>
  <c r="AN270" i="4"/>
  <c r="AM270" i="4"/>
  <c r="AL270" i="4"/>
  <c r="AK270" i="4"/>
  <c r="AJ270" i="4"/>
  <c r="AI270" i="4"/>
  <c r="AH270" i="4"/>
  <c r="AG270" i="4"/>
  <c r="AF270" i="4"/>
  <c r="AE270" i="4"/>
  <c r="AD270" i="4"/>
  <c r="AC270" i="4"/>
  <c r="AB270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AE269" i="4"/>
  <c r="AD269" i="4"/>
  <c r="AC269" i="4"/>
  <c r="AB269" i="4"/>
  <c r="AA269" i="4"/>
  <c r="Z269" i="4"/>
  <c r="Y269" i="4"/>
  <c r="X269" i="4"/>
  <c r="W269" i="4"/>
  <c r="V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AQ268" i="4"/>
  <c r="AP268" i="4"/>
  <c r="AO268" i="4"/>
  <c r="AN268" i="4"/>
  <c r="AM268" i="4"/>
  <c r="AL268" i="4"/>
  <c r="AK268" i="4"/>
  <c r="AJ268" i="4"/>
  <c r="AI268" i="4"/>
  <c r="AH268" i="4"/>
  <c r="AG268" i="4"/>
  <c r="AF268" i="4"/>
  <c r="AE268" i="4"/>
  <c r="AD268" i="4"/>
  <c r="AC268" i="4"/>
  <c r="AB268" i="4"/>
  <c r="AA268" i="4"/>
  <c r="Z268" i="4"/>
  <c r="Y268" i="4"/>
  <c r="X268" i="4"/>
  <c r="W268" i="4"/>
  <c r="V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AQ267" i="4"/>
  <c r="AP267" i="4"/>
  <c r="AO267" i="4"/>
  <c r="AN267" i="4"/>
  <c r="AM267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AQ266" i="4"/>
  <c r="AP266" i="4"/>
  <c r="AO266" i="4"/>
  <c r="AN266" i="4"/>
  <c r="AM266" i="4"/>
  <c r="AL266" i="4"/>
  <c r="AK266" i="4"/>
  <c r="AJ266" i="4"/>
  <c r="AI266" i="4"/>
  <c r="AH266" i="4"/>
  <c r="AG266" i="4"/>
  <c r="AF266" i="4"/>
  <c r="AE266" i="4"/>
  <c r="AD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AQ264" i="4"/>
  <c r="AP264" i="4"/>
  <c r="AO264" i="4"/>
  <c r="AN264" i="4"/>
  <c r="AM264" i="4"/>
  <c r="AL264" i="4"/>
  <c r="AK264" i="4"/>
  <c r="AJ264" i="4"/>
  <c r="AI264" i="4"/>
  <c r="AH264" i="4"/>
  <c r="AG264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AQ263" i="4"/>
  <c r="AP263" i="4"/>
  <c r="AO263" i="4"/>
  <c r="AN263" i="4"/>
  <c r="AM263" i="4"/>
  <c r="AL263" i="4"/>
  <c r="AK263" i="4"/>
  <c r="AJ263" i="4"/>
  <c r="AI263" i="4"/>
  <c r="AH263" i="4"/>
  <c r="AG263" i="4"/>
  <c r="AF263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AQ262" i="4"/>
  <c r="AQ261" i="4" s="1"/>
  <c r="AP262" i="4"/>
  <c r="AP261" i="4" s="1"/>
  <c r="AO262" i="4"/>
  <c r="AO261" i="4" s="1"/>
  <c r="AN262" i="4"/>
  <c r="AN261" i="4" s="1"/>
  <c r="AM262" i="4"/>
  <c r="AM261" i="4" s="1"/>
  <c r="AL262" i="4"/>
  <c r="AL261" i="4" s="1"/>
  <c r="AK262" i="4"/>
  <c r="AK261" i="4" s="1"/>
  <c r="AJ262" i="4"/>
  <c r="AJ261" i="4" s="1"/>
  <c r="AI262" i="4"/>
  <c r="AI261" i="4" s="1"/>
  <c r="AH262" i="4"/>
  <c r="AH261" i="4" s="1"/>
  <c r="AG262" i="4"/>
  <c r="AG261" i="4" s="1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AQ259" i="4"/>
  <c r="AP259" i="4"/>
  <c r="AO259" i="4"/>
  <c r="AN259" i="4"/>
  <c r="AM259" i="4"/>
  <c r="AL259" i="4"/>
  <c r="AK259" i="4"/>
  <c r="AJ259" i="4"/>
  <c r="AI259" i="4"/>
  <c r="AH259" i="4"/>
  <c r="AG259" i="4"/>
  <c r="AF259" i="4"/>
  <c r="AE259" i="4"/>
  <c r="AD259" i="4"/>
  <c r="AC259" i="4"/>
  <c r="AB259" i="4"/>
  <c r="AA259" i="4"/>
  <c r="Z259" i="4"/>
  <c r="Y259" i="4"/>
  <c r="X259" i="4"/>
  <c r="W259" i="4"/>
  <c r="V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AQ256" i="4"/>
  <c r="AP256" i="4"/>
  <c r="AO256" i="4"/>
  <c r="AN256" i="4"/>
  <c r="AM256" i="4"/>
  <c r="AL256" i="4"/>
  <c r="AK256" i="4"/>
  <c r="AJ256" i="4"/>
  <c r="AI256" i="4"/>
  <c r="AH256" i="4"/>
  <c r="AG256" i="4"/>
  <c r="AF256" i="4"/>
  <c r="AE256" i="4"/>
  <c r="AD256" i="4"/>
  <c r="AC256" i="4"/>
  <c r="AB256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AQ253" i="4"/>
  <c r="AP253" i="4"/>
  <c r="AO253" i="4"/>
  <c r="AN253" i="4"/>
  <c r="AM253" i="4"/>
  <c r="AL253" i="4"/>
  <c r="AK253" i="4"/>
  <c r="AJ253" i="4"/>
  <c r="AI253" i="4"/>
  <c r="AH253" i="4"/>
  <c r="AG253" i="4"/>
  <c r="AF253" i="4"/>
  <c r="AE253" i="4"/>
  <c r="AD253" i="4"/>
  <c r="AC253" i="4"/>
  <c r="AB253" i="4"/>
  <c r="AA253" i="4"/>
  <c r="Z253" i="4"/>
  <c r="Y253" i="4"/>
  <c r="X253" i="4"/>
  <c r="W253" i="4"/>
  <c r="V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AQ250" i="4"/>
  <c r="AP250" i="4"/>
  <c r="AO250" i="4"/>
  <c r="AN250" i="4"/>
  <c r="AM250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AQ241" i="4"/>
  <c r="AP241" i="4"/>
  <c r="AO241" i="4"/>
  <c r="AN241" i="4"/>
  <c r="AM241" i="4"/>
  <c r="AL241" i="4"/>
  <c r="AK241" i="4"/>
  <c r="AJ241" i="4"/>
  <c r="AI241" i="4"/>
  <c r="AH241" i="4"/>
  <c r="AG241" i="4"/>
  <c r="AF241" i="4"/>
  <c r="AE241" i="4"/>
  <c r="AD241" i="4"/>
  <c r="AC241" i="4"/>
  <c r="AB241" i="4"/>
  <c r="AA241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AQ237" i="4"/>
  <c r="AP237" i="4"/>
  <c r="AO237" i="4"/>
  <c r="AN237" i="4"/>
  <c r="AM237" i="4"/>
  <c r="AL237" i="4"/>
  <c r="AK237" i="4"/>
  <c r="AJ237" i="4"/>
  <c r="AI237" i="4"/>
  <c r="AH237" i="4"/>
  <c r="AG237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AQ228" i="4"/>
  <c r="AP228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AQ224" i="4"/>
  <c r="AP224" i="4"/>
  <c r="AO224" i="4"/>
  <c r="AN224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AQ216" i="4"/>
  <c r="AP216" i="4"/>
  <c r="AO216" i="4"/>
  <c r="AN216" i="4"/>
  <c r="AM216" i="4"/>
  <c r="AL216" i="4"/>
  <c r="AK216" i="4"/>
  <c r="AJ216" i="4"/>
  <c r="AI216" i="4"/>
  <c r="AH216" i="4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AQ212" i="4"/>
  <c r="AP212" i="4"/>
  <c r="AO212" i="4"/>
  <c r="AN212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AQ209" i="4"/>
  <c r="AP209" i="4"/>
  <c r="AO209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AQ206" i="4"/>
  <c r="AP206" i="4"/>
  <c r="AO206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AQ203" i="4"/>
  <c r="AP203" i="4"/>
  <c r="AO203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AQ199" i="4"/>
  <c r="AP199" i="4"/>
  <c r="AO199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AQ196" i="4"/>
  <c r="AP196" i="4"/>
  <c r="AO196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AQ193" i="4"/>
  <c r="AP193" i="4"/>
  <c r="AO193" i="4"/>
  <c r="AN193" i="4"/>
  <c r="AM193" i="4"/>
  <c r="AL193" i="4"/>
  <c r="AK193" i="4"/>
  <c r="AJ193" i="4"/>
  <c r="AI193" i="4"/>
  <c r="AH193" i="4"/>
  <c r="AG193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AQ190" i="4"/>
  <c r="AP190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AQ165" i="4"/>
  <c r="AP165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K121" i="4" s="1"/>
  <c r="J115" i="4"/>
  <c r="I115" i="4"/>
  <c r="H115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H106" i="4"/>
  <c r="I106" i="4" s="1"/>
  <c r="J106" i="4" s="1"/>
  <c r="K106" i="4" s="1"/>
  <c r="L106" i="4" s="1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Y106" i="4" s="1"/>
  <c r="Z106" i="4" s="1"/>
  <c r="AA106" i="4" s="1"/>
  <c r="AB106" i="4" s="1"/>
  <c r="AC106" i="4" s="1"/>
  <c r="AD106" i="4" s="1"/>
  <c r="AE106" i="4" s="1"/>
  <c r="AF106" i="4" s="1"/>
  <c r="AG106" i="4" s="1"/>
  <c r="AH106" i="4" s="1"/>
  <c r="AI106" i="4" s="1"/>
  <c r="AJ106" i="4" s="1"/>
  <c r="AK106" i="4" s="1"/>
  <c r="AL106" i="4" s="1"/>
  <c r="AM106" i="4" s="1"/>
  <c r="AN106" i="4" s="1"/>
  <c r="AO106" i="4" s="1"/>
  <c r="AP106" i="4" s="1"/>
  <c r="AQ106" i="4" s="1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H95" i="4"/>
  <c r="I95" i="4" s="1"/>
  <c r="J95" i="4" s="1"/>
  <c r="K95" i="4" s="1"/>
  <c r="L95" i="4" s="1"/>
  <c r="M95" i="4" s="1"/>
  <c r="N95" i="4" s="1"/>
  <c r="O95" i="4" s="1"/>
  <c r="P95" i="4" s="1"/>
  <c r="Q95" i="4" s="1"/>
  <c r="R95" i="4" s="1"/>
  <c r="S95" i="4" s="1"/>
  <c r="T95" i="4" s="1"/>
  <c r="U95" i="4" s="1"/>
  <c r="V95" i="4" s="1"/>
  <c r="W95" i="4" s="1"/>
  <c r="X95" i="4" s="1"/>
  <c r="Y95" i="4" s="1"/>
  <c r="Z95" i="4" s="1"/>
  <c r="AA95" i="4" s="1"/>
  <c r="AB95" i="4" s="1"/>
  <c r="AC95" i="4" s="1"/>
  <c r="AD95" i="4" s="1"/>
  <c r="AE95" i="4" s="1"/>
  <c r="AF95" i="4" s="1"/>
  <c r="AG95" i="4" s="1"/>
  <c r="AH95" i="4" s="1"/>
  <c r="AI95" i="4" s="1"/>
  <c r="AJ95" i="4" s="1"/>
  <c r="AK95" i="4" s="1"/>
  <c r="AL95" i="4" s="1"/>
  <c r="AM95" i="4" s="1"/>
  <c r="AN95" i="4" s="1"/>
  <c r="AO95" i="4" s="1"/>
  <c r="AP95" i="4" s="1"/>
  <c r="AQ95" i="4" s="1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H84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H73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H61" i="4"/>
  <c r="I61" i="4" s="1"/>
  <c r="J61" i="4" s="1"/>
  <c r="K61" i="4" s="1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H46" i="4"/>
  <c r="I46" i="4" s="1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H31" i="4"/>
  <c r="I31" i="4" s="1"/>
  <c r="J31" i="4" s="1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O31" i="4" s="1"/>
  <c r="AP31" i="4" s="1"/>
  <c r="AQ31" i="4" s="1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H16" i="4"/>
  <c r="I16" i="4" s="1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AQ8" i="4"/>
  <c r="AQ7" i="4" s="1"/>
  <c r="AQ68" i="4" s="1"/>
  <c r="AP8" i="4"/>
  <c r="AP7" i="4" s="1"/>
  <c r="AP68" i="4" s="1"/>
  <c r="AO8" i="4"/>
  <c r="AO7" i="4" s="1"/>
  <c r="AO68" i="4" s="1"/>
  <c r="AN8" i="4"/>
  <c r="AN7" i="4" s="1"/>
  <c r="AN68" i="4" s="1"/>
  <c r="AM8" i="4"/>
  <c r="AM7" i="4" s="1"/>
  <c r="AM68" i="4" s="1"/>
  <c r="AL8" i="4"/>
  <c r="AL7" i="4" s="1"/>
  <c r="AL68" i="4" s="1"/>
  <c r="AK8" i="4"/>
  <c r="AK7" i="4" s="1"/>
  <c r="AK68" i="4" s="1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AQ291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AQ290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AQ289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H289" i="3"/>
  <c r="AQ288" i="3"/>
  <c r="AP288" i="3"/>
  <c r="AO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B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M287" i="3" s="1"/>
  <c r="L288" i="3"/>
  <c r="L287" i="3" s="1"/>
  <c r="K288" i="3"/>
  <c r="K287" i="3" s="1"/>
  <c r="J288" i="3"/>
  <c r="J287" i="3" s="1"/>
  <c r="I288" i="3"/>
  <c r="I287" i="3" s="1"/>
  <c r="H288" i="3"/>
  <c r="H287" i="3" s="1"/>
  <c r="AQ286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AQ285" i="3"/>
  <c r="AP285" i="3"/>
  <c r="AO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AQ284" i="3"/>
  <c r="AP284" i="3"/>
  <c r="AO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L283" i="3" s="1"/>
  <c r="K284" i="3"/>
  <c r="J284" i="3"/>
  <c r="I284" i="3"/>
  <c r="H284" i="3"/>
  <c r="H283" i="3" s="1"/>
  <c r="AQ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K283" i="3"/>
  <c r="J283" i="3"/>
  <c r="I283" i="3"/>
  <c r="AQ282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AQ281" i="3"/>
  <c r="AP281" i="3"/>
  <c r="AO281" i="3"/>
  <c r="AN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AQ280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AQ279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P278" i="3" s="1"/>
  <c r="O279" i="3"/>
  <c r="N279" i="3"/>
  <c r="M279" i="3"/>
  <c r="L279" i="3"/>
  <c r="L278" i="3" s="1"/>
  <c r="K279" i="3"/>
  <c r="J279" i="3"/>
  <c r="I279" i="3"/>
  <c r="H279" i="3"/>
  <c r="AQ278" i="3"/>
  <c r="AP278" i="3"/>
  <c r="AO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O278" i="3"/>
  <c r="N278" i="3"/>
  <c r="M278" i="3"/>
  <c r="K278" i="3"/>
  <c r="J278" i="3"/>
  <c r="I278" i="3"/>
  <c r="H278" i="3"/>
  <c r="AQ277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AQ276" i="3"/>
  <c r="AP276" i="3"/>
  <c r="AO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AQ275" i="3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AQ274" i="3"/>
  <c r="AP274" i="3"/>
  <c r="AO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B274" i="3"/>
  <c r="AA274" i="3"/>
  <c r="Z274" i="3"/>
  <c r="Y274" i="3"/>
  <c r="X274" i="3"/>
  <c r="W274" i="3"/>
  <c r="V274" i="3"/>
  <c r="U274" i="3"/>
  <c r="U273" i="3" s="1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AQ273" i="3"/>
  <c r="AN273" i="3"/>
  <c r="AM273" i="3"/>
  <c r="AL273" i="3"/>
  <c r="AK273" i="3"/>
  <c r="AJ273" i="3"/>
  <c r="AI273" i="3"/>
  <c r="AH273" i="3"/>
  <c r="AG273" i="3"/>
  <c r="AF273" i="3"/>
  <c r="AE273" i="3"/>
  <c r="AC273" i="3"/>
  <c r="AB273" i="3"/>
  <c r="AA273" i="3"/>
  <c r="Z273" i="3"/>
  <c r="Y273" i="3"/>
  <c r="X273" i="3"/>
  <c r="W273" i="3"/>
  <c r="V273" i="3"/>
  <c r="T273" i="3"/>
  <c r="S273" i="3"/>
  <c r="R273" i="3"/>
  <c r="P273" i="3"/>
  <c r="O273" i="3"/>
  <c r="N273" i="3"/>
  <c r="M273" i="3"/>
  <c r="L273" i="3"/>
  <c r="J273" i="3"/>
  <c r="I273" i="3"/>
  <c r="H273" i="3"/>
  <c r="AQ272" i="3"/>
  <c r="AP272" i="3"/>
  <c r="AO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AQ271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AQ270" i="3"/>
  <c r="AQ269" i="3" s="1"/>
  <c r="AP270" i="3"/>
  <c r="AO270" i="3"/>
  <c r="AN270" i="3"/>
  <c r="AM270" i="3"/>
  <c r="AM269" i="3" s="1"/>
  <c r="AL270" i="3"/>
  <c r="AK270" i="3"/>
  <c r="AJ270" i="3"/>
  <c r="AI270" i="3"/>
  <c r="AI269" i="3" s="1"/>
  <c r="AH270" i="3"/>
  <c r="AG270" i="3"/>
  <c r="AF270" i="3"/>
  <c r="AE270" i="3"/>
  <c r="AD270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AO269" i="3"/>
  <c r="AN269" i="3"/>
  <c r="AL269" i="3"/>
  <c r="AJ269" i="3"/>
  <c r="AH269" i="3"/>
  <c r="AG269" i="3"/>
  <c r="AF269" i="3"/>
  <c r="AE269" i="3"/>
  <c r="AD269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AQ268" i="3"/>
  <c r="AP268" i="3"/>
  <c r="AO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AQ267" i="3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AQ264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AQ263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AQ228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AQ224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AQ212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AQ209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AQ165" i="3"/>
  <c r="AQ186" i="3" s="1"/>
  <c r="AP165" i="3"/>
  <c r="AP186" i="3" s="1"/>
  <c r="AO165" i="3"/>
  <c r="AO186" i="3" s="1"/>
  <c r="AN165" i="3"/>
  <c r="AN186" i="3" s="1"/>
  <c r="AM165" i="3"/>
  <c r="AM186" i="3" s="1"/>
  <c r="AL165" i="3"/>
  <c r="AL186" i="3" s="1"/>
  <c r="AK165" i="3"/>
  <c r="AK186" i="3" s="1"/>
  <c r="AJ165" i="3"/>
  <c r="AJ186" i="3" s="1"/>
  <c r="AI165" i="3"/>
  <c r="AI186" i="3" s="1"/>
  <c r="AH165" i="3"/>
  <c r="AH186" i="3" s="1"/>
  <c r="AG165" i="3"/>
  <c r="AG186" i="3" s="1"/>
  <c r="AF165" i="3"/>
  <c r="AF186" i="3" s="1"/>
  <c r="AE165" i="3"/>
  <c r="AE186" i="3" s="1"/>
  <c r="AD165" i="3"/>
  <c r="AD186" i="3" s="1"/>
  <c r="AC165" i="3"/>
  <c r="AC186" i="3" s="1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H106" i="3"/>
  <c r="I106" i="3" s="1"/>
  <c r="J106" i="3" s="1"/>
  <c r="K106" i="3" s="1"/>
  <c r="L106" i="3" s="1"/>
  <c r="M106" i="3" s="1"/>
  <c r="N106" i="3" s="1"/>
  <c r="O106" i="3" s="1"/>
  <c r="P106" i="3" s="1"/>
  <c r="Q106" i="3" s="1"/>
  <c r="R106" i="3" s="1"/>
  <c r="S106" i="3" s="1"/>
  <c r="T106" i="3" s="1"/>
  <c r="U106" i="3" s="1"/>
  <c r="V106" i="3" s="1"/>
  <c r="W106" i="3" s="1"/>
  <c r="X106" i="3" s="1"/>
  <c r="Y106" i="3" s="1"/>
  <c r="Z106" i="3" s="1"/>
  <c r="AA106" i="3" s="1"/>
  <c r="AB106" i="3" s="1"/>
  <c r="AC106" i="3" s="1"/>
  <c r="AD106" i="3" s="1"/>
  <c r="AE106" i="3" s="1"/>
  <c r="AF106" i="3" s="1"/>
  <c r="AG106" i="3" s="1"/>
  <c r="AH106" i="3" s="1"/>
  <c r="AI106" i="3" s="1"/>
  <c r="AJ106" i="3" s="1"/>
  <c r="AK106" i="3" s="1"/>
  <c r="AL106" i="3" s="1"/>
  <c r="AM106" i="3" s="1"/>
  <c r="AN106" i="3" s="1"/>
  <c r="AO106" i="3" s="1"/>
  <c r="AP106" i="3" s="1"/>
  <c r="AQ106" i="3" s="1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H95" i="3"/>
  <c r="I95" i="3" s="1"/>
  <c r="J95" i="3" s="1"/>
  <c r="K95" i="3" s="1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H84" i="3"/>
  <c r="I84" i="3" s="1"/>
  <c r="J84" i="3" s="1"/>
  <c r="K84" i="3" s="1"/>
  <c r="L84" i="3" s="1"/>
  <c r="M84" i="3" s="1"/>
  <c r="N84" i="3" s="1"/>
  <c r="O84" i="3" s="1"/>
  <c r="P84" i="3" s="1"/>
  <c r="Q84" i="3" s="1"/>
  <c r="R84" i="3" s="1"/>
  <c r="S84" i="3" s="1"/>
  <c r="T84" i="3" s="1"/>
  <c r="U84" i="3" s="1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H73" i="3"/>
  <c r="I73" i="3" s="1"/>
  <c r="J73" i="3" s="1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H61" i="3"/>
  <c r="I61" i="3" s="1"/>
  <c r="J61" i="3" s="1"/>
  <c r="K61" i="3" s="1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H46" i="3"/>
  <c r="I46" i="3" s="1"/>
  <c r="J46" i="3" s="1"/>
  <c r="K46" i="3" s="1"/>
  <c r="L46" i="3" s="1"/>
  <c r="M46" i="3" s="1"/>
  <c r="N46" i="3" s="1"/>
  <c r="O46" i="3" s="1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H31" i="3"/>
  <c r="I31" i="3" s="1"/>
  <c r="J31" i="3" s="1"/>
  <c r="K31" i="3" s="1"/>
  <c r="L31" i="3" s="1"/>
  <c r="M31" i="3" s="1"/>
  <c r="N31" i="3" s="1"/>
  <c r="O31" i="3" s="1"/>
  <c r="P31" i="3" s="1"/>
  <c r="Q31" i="3" s="1"/>
  <c r="R31" i="3" s="1"/>
  <c r="S31" i="3" s="1"/>
  <c r="T31" i="3" s="1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H16" i="3"/>
  <c r="I16" i="3" s="1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P7" i="3" s="1"/>
  <c r="P68" i="3" s="1"/>
  <c r="O8" i="3"/>
  <c r="N8" i="3"/>
  <c r="M8" i="3"/>
  <c r="L8" i="3"/>
  <c r="K8" i="3"/>
  <c r="J8" i="3"/>
  <c r="I8" i="3"/>
  <c r="H8" i="3"/>
  <c r="AQ7" i="3"/>
  <c r="AQ68" i="3" s="1"/>
  <c r="AP7" i="3"/>
  <c r="AP68" i="3" s="1"/>
  <c r="AO7" i="3"/>
  <c r="AO68" i="3" s="1"/>
  <c r="AN7" i="3"/>
  <c r="AN68" i="3" s="1"/>
  <c r="AM7" i="3"/>
  <c r="AM68" i="3" s="1"/>
  <c r="AL7" i="3"/>
  <c r="AL68" i="3" s="1"/>
  <c r="AK7" i="3"/>
  <c r="AK68" i="3" s="1"/>
  <c r="AJ7" i="3"/>
  <c r="AJ68" i="3" s="1"/>
  <c r="AI7" i="3"/>
  <c r="AI68" i="3" s="1"/>
  <c r="AH7" i="3"/>
  <c r="AH68" i="3" s="1"/>
  <c r="AG7" i="3"/>
  <c r="AG68" i="3" s="1"/>
  <c r="AE7" i="3"/>
  <c r="AE68" i="3" s="1"/>
  <c r="AD7" i="3"/>
  <c r="AD68" i="3" s="1"/>
  <c r="AC7" i="3"/>
  <c r="AC68" i="3" s="1"/>
  <c r="AB7" i="3"/>
  <c r="AB68" i="3" s="1"/>
  <c r="AA7" i="3"/>
  <c r="AA68" i="3" s="1"/>
  <c r="Z7" i="3"/>
  <c r="Z68" i="3" s="1"/>
  <c r="Y7" i="3"/>
  <c r="Y68" i="3" s="1"/>
  <c r="X7" i="3"/>
  <c r="X68" i="3" s="1"/>
  <c r="W7" i="3"/>
  <c r="W68" i="3" s="1"/>
  <c r="V7" i="3"/>
  <c r="V68" i="3" s="1"/>
  <c r="U7" i="3"/>
  <c r="U68" i="3" s="1"/>
  <c r="T7" i="3"/>
  <c r="T68" i="3" s="1"/>
  <c r="S7" i="3"/>
  <c r="S68" i="3" s="1"/>
  <c r="R7" i="3"/>
  <c r="R68" i="3" s="1"/>
  <c r="Q7" i="3"/>
  <c r="Q68" i="3" s="1"/>
  <c r="O7" i="3"/>
  <c r="O68" i="3" s="1"/>
  <c r="M7" i="3"/>
  <c r="M68" i="3" s="1"/>
  <c r="L7" i="3"/>
  <c r="L68" i="3" s="1"/>
  <c r="K7" i="3"/>
  <c r="K68" i="3" s="1"/>
  <c r="J7" i="3"/>
  <c r="J68" i="3" s="1"/>
  <c r="I7" i="3"/>
  <c r="I68" i="3" s="1"/>
  <c r="H7" i="3"/>
  <c r="AO273" i="3" l="1"/>
  <c r="U31" i="3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AG31" i="3" s="1"/>
  <c r="AH31" i="3" s="1"/>
  <c r="AI31" i="3" s="1"/>
  <c r="AJ31" i="3" s="1"/>
  <c r="AK31" i="3" s="1"/>
  <c r="AL31" i="3" s="1"/>
  <c r="AM31" i="3" s="1"/>
  <c r="AN31" i="3" s="1"/>
  <c r="AO31" i="3" s="1"/>
  <c r="AP31" i="3" s="1"/>
  <c r="AQ31" i="3" s="1"/>
  <c r="J46" i="4"/>
  <c r="K46" i="4" s="1"/>
  <c r="L46" i="4" s="1"/>
  <c r="M46" i="4" s="1"/>
  <c r="N46" i="4" s="1"/>
  <c r="O46" i="4" s="1"/>
  <c r="P46" i="4" s="1"/>
  <c r="Q46" i="4" s="1"/>
  <c r="R46" i="4" s="1"/>
  <c r="S46" i="4" s="1"/>
  <c r="T46" i="4" s="1"/>
  <c r="U46" i="4" s="1"/>
  <c r="V46" i="4" s="1"/>
  <c r="W46" i="4" s="1"/>
  <c r="X46" i="4" s="1"/>
  <c r="Y46" i="4" s="1"/>
  <c r="Z46" i="4" s="1"/>
  <c r="AA46" i="4" s="1"/>
  <c r="AB46" i="4" s="1"/>
  <c r="AC46" i="4" s="1"/>
  <c r="AD46" i="4" s="1"/>
  <c r="AE46" i="4" s="1"/>
  <c r="AF46" i="4" s="1"/>
  <c r="AG46" i="4" s="1"/>
  <c r="AH46" i="4" s="1"/>
  <c r="AI46" i="4" s="1"/>
  <c r="AJ46" i="4" s="1"/>
  <c r="AK46" i="4" s="1"/>
  <c r="AL46" i="4" s="1"/>
  <c r="AM46" i="4" s="1"/>
  <c r="AN46" i="4" s="1"/>
  <c r="AO46" i="4" s="1"/>
  <c r="AP46" i="4" s="1"/>
  <c r="AQ46" i="4" s="1"/>
  <c r="D18" i="5"/>
  <c r="AD273" i="3"/>
  <c r="L95" i="3"/>
  <c r="M95" i="3" s="1"/>
  <c r="N95" i="3" s="1"/>
  <c r="O95" i="3" s="1"/>
  <c r="P95" i="3" s="1"/>
  <c r="Q95" i="3" s="1"/>
  <c r="R95" i="3" s="1"/>
  <c r="S95" i="3" s="1"/>
  <c r="T95" i="3" s="1"/>
  <c r="U95" i="3" s="1"/>
  <c r="V95" i="3" s="1"/>
  <c r="W95" i="3" s="1"/>
  <c r="X95" i="3" s="1"/>
  <c r="Y95" i="3" s="1"/>
  <c r="Z95" i="3" s="1"/>
  <c r="AA95" i="3" s="1"/>
  <c r="AB95" i="3" s="1"/>
  <c r="AC95" i="3" s="1"/>
  <c r="AD95" i="3" s="1"/>
  <c r="AE95" i="3" s="1"/>
  <c r="AF95" i="3" s="1"/>
  <c r="AG95" i="3" s="1"/>
  <c r="AH95" i="3" s="1"/>
  <c r="AI95" i="3" s="1"/>
  <c r="AJ95" i="3" s="1"/>
  <c r="AK95" i="3" s="1"/>
  <c r="AL95" i="3" s="1"/>
  <c r="AM95" i="3" s="1"/>
  <c r="AN95" i="3" s="1"/>
  <c r="AO95" i="3" s="1"/>
  <c r="AP95" i="3" s="1"/>
  <c r="AQ95" i="3" s="1"/>
  <c r="Q273" i="3"/>
  <c r="AP278" i="4"/>
  <c r="AQ278" i="4"/>
  <c r="AF7" i="3"/>
  <c r="AF68" i="3" s="1"/>
  <c r="K73" i="3"/>
  <c r="V84" i="3"/>
  <c r="W84" i="3" s="1"/>
  <c r="X84" i="3" s="1"/>
  <c r="Y84" i="3" s="1"/>
  <c r="Z84" i="3" s="1"/>
  <c r="AA84" i="3" s="1"/>
  <c r="AB84" i="3" s="1"/>
  <c r="AC84" i="3" s="1"/>
  <c r="AD84" i="3" s="1"/>
  <c r="AE84" i="3" s="1"/>
  <c r="AF84" i="3" s="1"/>
  <c r="AG84" i="3" s="1"/>
  <c r="AH84" i="3" s="1"/>
  <c r="AI84" i="3" s="1"/>
  <c r="AJ84" i="3" s="1"/>
  <c r="AK84" i="3" s="1"/>
  <c r="AL84" i="3" s="1"/>
  <c r="AM84" i="3" s="1"/>
  <c r="AN84" i="3" s="1"/>
  <c r="AO84" i="3" s="1"/>
  <c r="AP84" i="3" s="1"/>
  <c r="AQ84" i="3" s="1"/>
  <c r="AK287" i="4"/>
  <c r="AB261" i="3"/>
  <c r="Z261" i="3"/>
  <c r="Y261" i="3"/>
  <c r="X261" i="3"/>
  <c r="W261" i="3"/>
  <c r="V261" i="3"/>
  <c r="U261" i="3"/>
  <c r="T261" i="3"/>
  <c r="S261" i="3"/>
  <c r="R261" i="3"/>
  <c r="Q261" i="3"/>
  <c r="AP283" i="3"/>
  <c r="P261" i="3"/>
  <c r="O261" i="3"/>
  <c r="N261" i="3"/>
  <c r="M261" i="3"/>
  <c r="L261" i="3"/>
  <c r="K261" i="3"/>
  <c r="J261" i="3"/>
  <c r="I261" i="3"/>
  <c r="H261" i="3"/>
  <c r="AQ269" i="4"/>
  <c r="AP269" i="4"/>
  <c r="AO269" i="4"/>
  <c r="AN269" i="4"/>
  <c r="AM269" i="4"/>
  <c r="AL269" i="4"/>
  <c r="AK269" i="4"/>
  <c r="AJ269" i="4"/>
  <c r="AI269" i="4"/>
  <c r="AH269" i="4"/>
  <c r="AG269" i="4"/>
  <c r="AF269" i="4"/>
  <c r="AI7" i="4"/>
  <c r="AI68" i="4" s="1"/>
  <c r="AE7" i="4"/>
  <c r="AE68" i="4" s="1"/>
  <c r="Y7" i="4"/>
  <c r="Y68" i="4" s="1"/>
  <c r="S265" i="3"/>
  <c r="P265" i="3"/>
  <c r="L265" i="3"/>
  <c r="L260" i="3" s="1"/>
  <c r="I265" i="3"/>
  <c r="AO265" i="3"/>
  <c r="AI265" i="3"/>
  <c r="AD265" i="3"/>
  <c r="X265" i="3"/>
  <c r="AQ265" i="4"/>
  <c r="AQ260" i="4" s="1"/>
  <c r="AP265" i="4"/>
  <c r="AP260" i="4" s="1"/>
  <c r="AO265" i="4"/>
  <c r="AO260" i="4" s="1"/>
  <c r="AN265" i="4"/>
  <c r="AN260" i="4" s="1"/>
  <c r="AM265" i="4"/>
  <c r="AM260" i="4" s="1"/>
  <c r="AL265" i="4"/>
  <c r="AL260" i="4" s="1"/>
  <c r="AK265" i="4"/>
  <c r="AK260" i="4" s="1"/>
  <c r="AJ265" i="4"/>
  <c r="AJ260" i="4" s="1"/>
  <c r="AG7" i="4"/>
  <c r="AG68" i="4" s="1"/>
  <c r="AD7" i="4"/>
  <c r="AD68" i="4" s="1"/>
  <c r="Z7" i="4"/>
  <c r="Z68" i="4" s="1"/>
  <c r="T265" i="3"/>
  <c r="O265" i="3"/>
  <c r="AP265" i="3"/>
  <c r="AJ265" i="3"/>
  <c r="AF265" i="3"/>
  <c r="Z265" i="3"/>
  <c r="W265" i="3"/>
  <c r="AJ7" i="4"/>
  <c r="AJ68" i="4" s="1"/>
  <c r="AC7" i="4"/>
  <c r="AC68" i="4" s="1"/>
  <c r="W7" i="4"/>
  <c r="W68" i="4" s="1"/>
  <c r="R265" i="3"/>
  <c r="AM265" i="3"/>
  <c r="AE265" i="3"/>
  <c r="Y265" i="3"/>
  <c r="AF7" i="4"/>
  <c r="AF68" i="4" s="1"/>
  <c r="AB7" i="4"/>
  <c r="AB68" i="4" s="1"/>
  <c r="X7" i="4"/>
  <c r="X68" i="4" s="1"/>
  <c r="N265" i="3"/>
  <c r="AQ265" i="3"/>
  <c r="AL265" i="3"/>
  <c r="AG265" i="3"/>
  <c r="AA265" i="3"/>
  <c r="V265" i="3"/>
  <c r="AH7" i="4"/>
  <c r="AH68" i="4" s="1"/>
  <c r="AA7" i="4"/>
  <c r="AA68" i="4" s="1"/>
  <c r="Q265" i="3"/>
  <c r="K265" i="3"/>
  <c r="AN265" i="3"/>
  <c r="AH265" i="3"/>
  <c r="AB265" i="3"/>
  <c r="U265" i="3"/>
  <c r="M265" i="3"/>
  <c r="M260" i="3" s="1"/>
  <c r="H265" i="3"/>
  <c r="H260" i="3" s="1"/>
  <c r="AK265" i="3"/>
  <c r="AC265" i="3"/>
  <c r="V7" i="4"/>
  <c r="V68" i="4" s="1"/>
  <c r="U7" i="4"/>
  <c r="U68" i="4" s="1"/>
  <c r="T7" i="4"/>
  <c r="T68" i="4" s="1"/>
  <c r="S7" i="4"/>
  <c r="S68" i="4" s="1"/>
  <c r="R7" i="4"/>
  <c r="R68" i="4" s="1"/>
  <c r="Q7" i="4"/>
  <c r="Q68" i="4" s="1"/>
  <c r="P7" i="4"/>
  <c r="P68" i="4" s="1"/>
  <c r="N7" i="4"/>
  <c r="N68" i="4" s="1"/>
  <c r="M7" i="4"/>
  <c r="M68" i="4" s="1"/>
  <c r="L7" i="4"/>
  <c r="L68" i="4" s="1"/>
  <c r="K7" i="4"/>
  <c r="K68" i="4" s="1"/>
  <c r="J7" i="4"/>
  <c r="J68" i="4" s="1"/>
  <c r="I7" i="4"/>
  <c r="H7" i="4"/>
  <c r="J265" i="3"/>
  <c r="J260" i="3" s="1"/>
  <c r="AI265" i="4"/>
  <c r="AI260" i="4" s="1"/>
  <c r="AP273" i="3"/>
  <c r="O7" i="4"/>
  <c r="O68" i="4" s="1"/>
  <c r="AH265" i="4"/>
  <c r="AH260" i="4" s="1"/>
  <c r="AG265" i="4"/>
  <c r="AG260" i="4" s="1"/>
  <c r="AF265" i="4"/>
  <c r="K273" i="3"/>
  <c r="K260" i="3" s="1"/>
  <c r="AE265" i="4"/>
  <c r="H68" i="3"/>
  <c r="H67" i="3" s="1"/>
  <c r="H6" i="3"/>
  <c r="AD261" i="3"/>
  <c r="AC261" i="3"/>
  <c r="AD265" i="4"/>
  <c r="AC265" i="4"/>
  <c r="L61" i="4"/>
  <c r="M61" i="4" s="1"/>
  <c r="N61" i="4" s="1"/>
  <c r="O61" i="4" s="1"/>
  <c r="P61" i="4" s="1"/>
  <c r="Q61" i="4" s="1"/>
  <c r="R61" i="4" s="1"/>
  <c r="S61" i="4" s="1"/>
  <c r="T61" i="4" s="1"/>
  <c r="U61" i="4" s="1"/>
  <c r="V61" i="4" s="1"/>
  <c r="W61" i="4" s="1"/>
  <c r="X61" i="4" s="1"/>
  <c r="Y61" i="4" s="1"/>
  <c r="Z61" i="4" s="1"/>
  <c r="AA61" i="4" s="1"/>
  <c r="AB61" i="4" s="1"/>
  <c r="AC61" i="4" s="1"/>
  <c r="AD61" i="4" s="1"/>
  <c r="AE61" i="4" s="1"/>
  <c r="AF61" i="4" s="1"/>
  <c r="AG61" i="4" s="1"/>
  <c r="AH61" i="4" s="1"/>
  <c r="AI61" i="4" s="1"/>
  <c r="AJ61" i="4" s="1"/>
  <c r="AK61" i="4" s="1"/>
  <c r="AL61" i="4" s="1"/>
  <c r="AM61" i="4" s="1"/>
  <c r="AN61" i="4" s="1"/>
  <c r="AO61" i="4" s="1"/>
  <c r="AP61" i="4" s="1"/>
  <c r="AQ61" i="4" s="1"/>
  <c r="N7" i="3"/>
  <c r="N68" i="3" s="1"/>
  <c r="AB265" i="4"/>
  <c r="J67" i="3"/>
  <c r="I67" i="3"/>
  <c r="AA261" i="3"/>
  <c r="AK269" i="3"/>
  <c r="AI261" i="3"/>
  <c r="AH261" i="3"/>
  <c r="AG261" i="3"/>
  <c r="AF261" i="3"/>
  <c r="AE261" i="3"/>
  <c r="AQ287" i="3"/>
  <c r="AP287" i="3"/>
  <c r="AO287" i="3"/>
  <c r="AN287" i="3"/>
  <c r="AA265" i="4"/>
  <c r="Z265" i="4"/>
  <c r="AP261" i="3"/>
  <c r="AO261" i="3"/>
  <c r="AM261" i="3"/>
  <c r="AL261" i="3"/>
  <c r="AJ261" i="3"/>
  <c r="AQ261" i="3"/>
  <c r="AN261" i="3"/>
  <c r="AK261" i="3"/>
  <c r="Y265" i="4"/>
  <c r="X265" i="4"/>
  <c r="W265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AM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W287" i="3"/>
  <c r="V287" i="3"/>
  <c r="U287" i="3"/>
  <c r="T287" i="3"/>
  <c r="S287" i="3"/>
  <c r="R287" i="3"/>
  <c r="Q287" i="3"/>
  <c r="P287" i="3"/>
  <c r="O287" i="3"/>
  <c r="N287" i="3"/>
  <c r="AF261" i="4"/>
  <c r="AE261" i="4"/>
  <c r="AD261" i="4"/>
  <c r="AC261" i="4"/>
  <c r="AB261" i="4"/>
  <c r="AA261" i="4"/>
  <c r="Z261" i="4"/>
  <c r="Y261" i="4"/>
  <c r="X261" i="4"/>
  <c r="W261" i="4"/>
  <c r="V261" i="4"/>
  <c r="U261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AP269" i="3"/>
  <c r="I73" i="4"/>
  <c r="AQ242" i="3"/>
  <c r="AQ234" i="3"/>
  <c r="AQ238" i="3"/>
  <c r="AQ229" i="3"/>
  <c r="AQ246" i="3"/>
  <c r="AP234" i="3"/>
  <c r="AP229" i="3"/>
  <c r="AP242" i="3"/>
  <c r="AP246" i="3"/>
  <c r="AP238" i="3"/>
  <c r="AO238" i="3"/>
  <c r="AO234" i="3"/>
  <c r="AO246" i="3"/>
  <c r="AO229" i="3"/>
  <c r="AO242" i="3"/>
  <c r="AN246" i="3"/>
  <c r="AN242" i="3"/>
  <c r="AN229" i="3"/>
  <c r="AN238" i="3"/>
  <c r="AN234" i="3"/>
  <c r="AM238" i="3"/>
  <c r="AM234" i="3"/>
  <c r="AM229" i="3"/>
  <c r="AM246" i="3"/>
  <c r="AM242" i="3"/>
  <c r="AL246" i="3"/>
  <c r="AL242" i="3"/>
  <c r="AL238" i="3"/>
  <c r="AL234" i="3"/>
  <c r="AL229" i="3"/>
  <c r="AK238" i="3"/>
  <c r="AK242" i="3"/>
  <c r="AK246" i="3"/>
  <c r="AK234" i="3"/>
  <c r="AK229" i="3"/>
  <c r="AJ234" i="3"/>
  <c r="AJ246" i="3"/>
  <c r="AJ229" i="3"/>
  <c r="AJ238" i="3"/>
  <c r="AJ242" i="3"/>
  <c r="AI246" i="3"/>
  <c r="AI234" i="3"/>
  <c r="AI229" i="3"/>
  <c r="AI242" i="3"/>
  <c r="AI238" i="3"/>
  <c r="AH246" i="3"/>
  <c r="AH229" i="3"/>
  <c r="AH234" i="3"/>
  <c r="AH238" i="3"/>
  <c r="AH242" i="3"/>
  <c r="AG234" i="3"/>
  <c r="AG246" i="3"/>
  <c r="AG229" i="3"/>
  <c r="AG238" i="3"/>
  <c r="AG242" i="3"/>
  <c r="AF229" i="3"/>
  <c r="AF234" i="3"/>
  <c r="AF242" i="3"/>
  <c r="AF238" i="3"/>
  <c r="AF246" i="3"/>
  <c r="AE238" i="3"/>
  <c r="AE242" i="3"/>
  <c r="AE246" i="3"/>
  <c r="AE229" i="3"/>
  <c r="AE234" i="3"/>
  <c r="AD242" i="3"/>
  <c r="AD246" i="3"/>
  <c r="AD229" i="3"/>
  <c r="AD238" i="3"/>
  <c r="AD234" i="3"/>
  <c r="AC246" i="3"/>
  <c r="AC229" i="3"/>
  <c r="AC238" i="3"/>
  <c r="AC242" i="3"/>
  <c r="AC234" i="3"/>
  <c r="AB246" i="3"/>
  <c r="AB234" i="3"/>
  <c r="AB242" i="3"/>
  <c r="AB238" i="3"/>
  <c r="AB229" i="3"/>
  <c r="AA238" i="3"/>
  <c r="AA242" i="3"/>
  <c r="AA229" i="3"/>
  <c r="AA234" i="3"/>
  <c r="AA246" i="3"/>
  <c r="Z234" i="3"/>
  <c r="Z238" i="3"/>
  <c r="Z246" i="3"/>
  <c r="Z242" i="3"/>
  <c r="Z229" i="3"/>
  <c r="Y242" i="3"/>
  <c r="Y238" i="3"/>
  <c r="Y229" i="3"/>
  <c r="Y246" i="3"/>
  <c r="Y234" i="3"/>
  <c r="X238" i="3"/>
  <c r="X242" i="3"/>
  <c r="X234" i="3"/>
  <c r="X229" i="3"/>
  <c r="X246" i="3"/>
  <c r="W238" i="3"/>
  <c r="W229" i="3"/>
  <c r="W242" i="3"/>
  <c r="W246" i="3"/>
  <c r="W234" i="3"/>
  <c r="V242" i="3"/>
  <c r="V229" i="3"/>
  <c r="V246" i="3"/>
  <c r="V238" i="3"/>
  <c r="V234" i="3"/>
  <c r="U238" i="3"/>
  <c r="U234" i="3"/>
  <c r="U242" i="3"/>
  <c r="U246" i="3"/>
  <c r="U229" i="3"/>
  <c r="T234" i="3"/>
  <c r="T246" i="3"/>
  <c r="T229" i="3"/>
  <c r="T242" i="3"/>
  <c r="T238" i="3"/>
  <c r="S246" i="3"/>
  <c r="S242" i="3"/>
  <c r="S234" i="3"/>
  <c r="S238" i="3"/>
  <c r="S229" i="3"/>
  <c r="R238" i="3"/>
  <c r="R229" i="3"/>
  <c r="R246" i="3"/>
  <c r="R234" i="3"/>
  <c r="R242" i="3"/>
  <c r="Q246" i="3"/>
  <c r="Q229" i="3"/>
  <c r="Q238" i="3"/>
  <c r="Q234" i="3"/>
  <c r="Q242" i="3"/>
  <c r="P242" i="3"/>
  <c r="P234" i="3"/>
  <c r="P238" i="3"/>
  <c r="P229" i="3"/>
  <c r="P246" i="3"/>
  <c r="O242" i="3"/>
  <c r="O238" i="3"/>
  <c r="O234" i="3"/>
  <c r="O246" i="3"/>
  <c r="O229" i="3"/>
  <c r="N234" i="3"/>
  <c r="N238" i="3"/>
  <c r="N242" i="3"/>
  <c r="N229" i="3"/>
  <c r="N246" i="3"/>
  <c r="M229" i="3"/>
  <c r="M242" i="3"/>
  <c r="M238" i="3"/>
  <c r="M246" i="3"/>
  <c r="M234" i="3"/>
  <c r="L246" i="3"/>
  <c r="L234" i="3"/>
  <c r="L242" i="3"/>
  <c r="L229" i="3"/>
  <c r="L238" i="3"/>
  <c r="K238" i="3"/>
  <c r="K242" i="3"/>
  <c r="K234" i="3"/>
  <c r="K229" i="3"/>
  <c r="K246" i="3"/>
  <c r="J242" i="3"/>
  <c r="J238" i="3"/>
  <c r="J234" i="3"/>
  <c r="J246" i="3"/>
  <c r="I234" i="3"/>
  <c r="I246" i="3"/>
  <c r="I242" i="3"/>
  <c r="I238" i="3"/>
  <c r="H242" i="3"/>
  <c r="H234" i="3"/>
  <c r="H238" i="3"/>
  <c r="H246" i="3"/>
  <c r="L61" i="3"/>
  <c r="M61" i="3" s="1"/>
  <c r="N61" i="3" s="1"/>
  <c r="O61" i="3" s="1"/>
  <c r="P61" i="3" s="1"/>
  <c r="Q61" i="3" s="1"/>
  <c r="R61" i="3" s="1"/>
  <c r="S61" i="3" s="1"/>
  <c r="T61" i="3" s="1"/>
  <c r="U61" i="3" s="1"/>
  <c r="V61" i="3" s="1"/>
  <c r="W61" i="3" s="1"/>
  <c r="X61" i="3" s="1"/>
  <c r="Y61" i="3" s="1"/>
  <c r="Z61" i="3" s="1"/>
  <c r="AA61" i="3" s="1"/>
  <c r="AB61" i="3" s="1"/>
  <c r="AC61" i="3" s="1"/>
  <c r="AD61" i="3" s="1"/>
  <c r="AE61" i="3" s="1"/>
  <c r="AF61" i="3" s="1"/>
  <c r="AG61" i="3" s="1"/>
  <c r="AH61" i="3" s="1"/>
  <c r="AI61" i="3" s="1"/>
  <c r="AJ61" i="3" s="1"/>
  <c r="AK61" i="3" s="1"/>
  <c r="AL61" i="3" s="1"/>
  <c r="AM61" i="3" s="1"/>
  <c r="AN61" i="3" s="1"/>
  <c r="AO61" i="3" s="1"/>
  <c r="AP61" i="3" s="1"/>
  <c r="AQ61" i="3" s="1"/>
  <c r="I84" i="4"/>
  <c r="J84" i="4" s="1"/>
  <c r="K84" i="4" s="1"/>
  <c r="L84" i="4" s="1"/>
  <c r="M84" i="4" s="1"/>
  <c r="N84" i="4" s="1"/>
  <c r="O84" i="4" s="1"/>
  <c r="P84" i="4" s="1"/>
  <c r="Q84" i="4" s="1"/>
  <c r="R84" i="4" s="1"/>
  <c r="S84" i="4" s="1"/>
  <c r="T84" i="4" s="1"/>
  <c r="U84" i="4" s="1"/>
  <c r="V84" i="4" s="1"/>
  <c r="W84" i="4" s="1"/>
  <c r="X84" i="4" s="1"/>
  <c r="Y84" i="4" s="1"/>
  <c r="Z84" i="4" s="1"/>
  <c r="AA84" i="4" s="1"/>
  <c r="AB84" i="4" s="1"/>
  <c r="AC84" i="4" s="1"/>
  <c r="AD84" i="4" s="1"/>
  <c r="AE84" i="4" s="1"/>
  <c r="AF84" i="4" s="1"/>
  <c r="AG84" i="4" s="1"/>
  <c r="AH84" i="4" s="1"/>
  <c r="AI84" i="4" s="1"/>
  <c r="AJ84" i="4" s="1"/>
  <c r="AK84" i="4" s="1"/>
  <c r="AL84" i="4" s="1"/>
  <c r="AM84" i="4" s="1"/>
  <c r="AN84" i="4" s="1"/>
  <c r="AO84" i="4" s="1"/>
  <c r="AP84" i="4" s="1"/>
  <c r="AQ84" i="4" s="1"/>
  <c r="X287" i="3"/>
  <c r="P46" i="3"/>
  <c r="Q46" i="3" s="1"/>
  <c r="R46" i="3" s="1"/>
  <c r="S46" i="3" s="1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AD46" i="3" s="1"/>
  <c r="AE46" i="3" s="1"/>
  <c r="AF46" i="3" s="1"/>
  <c r="AG46" i="3" s="1"/>
  <c r="AH46" i="3" s="1"/>
  <c r="AI46" i="3" s="1"/>
  <c r="AJ46" i="3" s="1"/>
  <c r="AK46" i="3" s="1"/>
  <c r="AL46" i="3" s="1"/>
  <c r="AM46" i="3" s="1"/>
  <c r="AN46" i="3" s="1"/>
  <c r="AO46" i="3" s="1"/>
  <c r="AP46" i="3" s="1"/>
  <c r="AQ46" i="3" s="1"/>
  <c r="AQ186" i="4"/>
  <c r="AQ180" i="4"/>
  <c r="AQ177" i="4"/>
  <c r="AQ183" i="4"/>
  <c r="AQ174" i="4"/>
  <c r="AP180" i="4"/>
  <c r="AP186" i="4"/>
  <c r="AP177" i="4"/>
  <c r="AP183" i="4"/>
  <c r="AP174" i="4"/>
  <c r="AO180" i="4"/>
  <c r="AO177" i="4"/>
  <c r="AO183" i="4"/>
  <c r="AO174" i="4"/>
  <c r="AO186" i="4"/>
  <c r="AN186" i="4"/>
  <c r="AN174" i="4"/>
  <c r="AN177" i="4"/>
  <c r="AN183" i="4"/>
  <c r="AN180" i="4"/>
  <c r="AM174" i="4"/>
  <c r="AM186" i="4"/>
  <c r="AM177" i="4"/>
  <c r="AM183" i="4"/>
  <c r="AM180" i="4"/>
  <c r="AL180" i="4"/>
  <c r="AL174" i="4"/>
  <c r="AL183" i="4"/>
  <c r="AL177" i="4"/>
  <c r="AL186" i="4"/>
  <c r="AK180" i="4"/>
  <c r="AK183" i="4"/>
  <c r="AK186" i="4"/>
  <c r="AK174" i="4"/>
  <c r="AK177" i="4"/>
  <c r="AJ180" i="4"/>
  <c r="AJ183" i="4"/>
  <c r="AJ177" i="4"/>
  <c r="AJ174" i="4"/>
  <c r="AJ186" i="4"/>
  <c r="AI186" i="4"/>
  <c r="AI180" i="4"/>
  <c r="AI183" i="4"/>
  <c r="AI177" i="4"/>
  <c r="AI174" i="4"/>
  <c r="AH177" i="4"/>
  <c r="AH174" i="4"/>
  <c r="AH183" i="4"/>
  <c r="AH180" i="4"/>
  <c r="AH186" i="4"/>
  <c r="AG177" i="4"/>
  <c r="AG180" i="4"/>
  <c r="AG183" i="4"/>
  <c r="AG186" i="4"/>
  <c r="AG174" i="4"/>
  <c r="AF180" i="4"/>
  <c r="AF186" i="4"/>
  <c r="AF174" i="4"/>
  <c r="AF183" i="4"/>
  <c r="AF177" i="4"/>
  <c r="AE174" i="4"/>
  <c r="AE186" i="4"/>
  <c r="AE183" i="4"/>
  <c r="AE180" i="4"/>
  <c r="AE177" i="4"/>
  <c r="AD186" i="4"/>
  <c r="AD174" i="4"/>
  <c r="AD183" i="4"/>
  <c r="AD180" i="4"/>
  <c r="AD177" i="4"/>
  <c r="AC186" i="4"/>
  <c r="AC183" i="4"/>
  <c r="AC180" i="4"/>
  <c r="AC177" i="4"/>
  <c r="AC174" i="4"/>
  <c r="AB177" i="4"/>
  <c r="AB174" i="4"/>
  <c r="AB183" i="4"/>
  <c r="AB180" i="4"/>
  <c r="AB186" i="4"/>
  <c r="AA183" i="4"/>
  <c r="AA174" i="4"/>
  <c r="AA180" i="4"/>
  <c r="AA177" i="4"/>
  <c r="AA186" i="4"/>
  <c r="Z180" i="4"/>
  <c r="Z174" i="4"/>
  <c r="Z177" i="4"/>
  <c r="Z183" i="4"/>
  <c r="Z186" i="4"/>
  <c r="Y186" i="4"/>
  <c r="Y183" i="4"/>
  <c r="Y174" i="4"/>
  <c r="Y180" i="4"/>
  <c r="Y177" i="4"/>
  <c r="X183" i="4"/>
  <c r="X186" i="4"/>
  <c r="X180" i="4"/>
  <c r="X174" i="4"/>
  <c r="X177" i="4"/>
  <c r="W180" i="4"/>
  <c r="W183" i="4"/>
  <c r="W186" i="4"/>
  <c r="W174" i="4"/>
  <c r="W177" i="4"/>
  <c r="V180" i="4"/>
  <c r="V174" i="4"/>
  <c r="V177" i="4"/>
  <c r="V186" i="4"/>
  <c r="V183" i="4"/>
  <c r="U174" i="4"/>
  <c r="U177" i="4"/>
  <c r="U186" i="4"/>
  <c r="U183" i="4"/>
  <c r="U180" i="4"/>
  <c r="T180" i="4"/>
  <c r="T177" i="4"/>
  <c r="T186" i="4"/>
  <c r="T183" i="4"/>
  <c r="S177" i="4"/>
  <c r="S186" i="4"/>
  <c r="S183" i="4"/>
  <c r="S180" i="4"/>
  <c r="R183" i="4"/>
  <c r="R177" i="4"/>
  <c r="R180" i="4"/>
  <c r="R186" i="4"/>
  <c r="Q183" i="4"/>
  <c r="Q180" i="4"/>
  <c r="Q177" i="4"/>
  <c r="Q186" i="4"/>
  <c r="P183" i="4"/>
  <c r="P180" i="4"/>
  <c r="P177" i="4"/>
  <c r="P186" i="4"/>
  <c r="O183" i="4"/>
  <c r="O177" i="4"/>
  <c r="O180" i="4"/>
  <c r="O186" i="4"/>
  <c r="N177" i="4"/>
  <c r="N180" i="4"/>
  <c r="N186" i="4"/>
  <c r="N183" i="4"/>
  <c r="M177" i="4"/>
  <c r="M180" i="4"/>
  <c r="M186" i="4"/>
  <c r="M183" i="4"/>
  <c r="L177" i="4"/>
  <c r="L180" i="4"/>
  <c r="L186" i="4"/>
  <c r="L183" i="4"/>
  <c r="K183" i="4"/>
  <c r="K180" i="4"/>
  <c r="K177" i="4"/>
  <c r="K186" i="4"/>
  <c r="J180" i="4"/>
  <c r="J183" i="4"/>
  <c r="J177" i="4"/>
  <c r="J186" i="4"/>
  <c r="I180" i="4"/>
  <c r="I177" i="4"/>
  <c r="I183" i="4"/>
  <c r="I186" i="4"/>
  <c r="H183" i="4"/>
  <c r="H177" i="4"/>
  <c r="H180" i="4"/>
  <c r="H186" i="4"/>
  <c r="AQ234" i="4"/>
  <c r="AQ242" i="4"/>
  <c r="AQ246" i="4"/>
  <c r="AQ238" i="4"/>
  <c r="AP234" i="4"/>
  <c r="AP246" i="4"/>
  <c r="AP242" i="4"/>
  <c r="AP238" i="4"/>
  <c r="AO242" i="4"/>
  <c r="AO238" i="4"/>
  <c r="AO246" i="4"/>
  <c r="AO234" i="4"/>
  <c r="AN242" i="4"/>
  <c r="AN238" i="4"/>
  <c r="AN234" i="4"/>
  <c r="AN246" i="4"/>
  <c r="AM246" i="4"/>
  <c r="AM242" i="4"/>
  <c r="AM234" i="4"/>
  <c r="AM238" i="4"/>
  <c r="AL246" i="4"/>
  <c r="AL238" i="4"/>
  <c r="AL234" i="4"/>
  <c r="AL242" i="4"/>
  <c r="AK238" i="4"/>
  <c r="AK234" i="4"/>
  <c r="AK242" i="4"/>
  <c r="AK246" i="4"/>
  <c r="AJ238" i="4"/>
  <c r="AJ246" i="4"/>
  <c r="AJ242" i="4"/>
  <c r="AJ234" i="4"/>
  <c r="AI234" i="4"/>
  <c r="AI238" i="4"/>
  <c r="AI246" i="4"/>
  <c r="AI242" i="4"/>
  <c r="AH246" i="4"/>
  <c r="AH238" i="4"/>
  <c r="AH242" i="4"/>
  <c r="AH234" i="4"/>
  <c r="AG238" i="4"/>
  <c r="AG242" i="4"/>
  <c r="AG234" i="4"/>
  <c r="AG246" i="4"/>
  <c r="AF246" i="4"/>
  <c r="AF238" i="4"/>
  <c r="AF242" i="4"/>
  <c r="AF234" i="4"/>
  <c r="AE238" i="4"/>
  <c r="AE242" i="4"/>
  <c r="AE234" i="4"/>
  <c r="AE246" i="4"/>
  <c r="AD246" i="4"/>
  <c r="AD242" i="4"/>
  <c r="AD234" i="4"/>
  <c r="AD238" i="4"/>
  <c r="AC242" i="4"/>
  <c r="AC234" i="4"/>
  <c r="AC246" i="4"/>
  <c r="AC238" i="4"/>
  <c r="AB242" i="4"/>
  <c r="AB234" i="4"/>
  <c r="AB246" i="4"/>
  <c r="AB238" i="4"/>
  <c r="AA229" i="4"/>
  <c r="AA121" i="4"/>
  <c r="AA124" i="4"/>
  <c r="AA246" i="4"/>
  <c r="AA238" i="4"/>
  <c r="AA234" i="4"/>
  <c r="AA225" i="4"/>
  <c r="AA136" i="4"/>
  <c r="AA133" i="4"/>
  <c r="AA130" i="4"/>
  <c r="AA127" i="4"/>
  <c r="AA118" i="4"/>
  <c r="AA242" i="4"/>
  <c r="AA217" i="4"/>
  <c r="AA221" i="4"/>
  <c r="Z229" i="4"/>
  <c r="Z136" i="4"/>
  <c r="Z242" i="4"/>
  <c r="Z225" i="4"/>
  <c r="Z238" i="4"/>
  <c r="Z130" i="4"/>
  <c r="Z121" i="4"/>
  <c r="Z221" i="4"/>
  <c r="Z127" i="4"/>
  <c r="Z124" i="4"/>
  <c r="Z133" i="4"/>
  <c r="Z234" i="4"/>
  <c r="Z246" i="4"/>
  <c r="Z118" i="4"/>
  <c r="Z217" i="4"/>
  <c r="Y229" i="4"/>
  <c r="Y225" i="4"/>
  <c r="Y136" i="4"/>
  <c r="Y246" i="4"/>
  <c r="Y238" i="4"/>
  <c r="Y217" i="4"/>
  <c r="Y130" i="4"/>
  <c r="Y242" i="4"/>
  <c r="Y118" i="4"/>
  <c r="Y127" i="4"/>
  <c r="Y221" i="4"/>
  <c r="Y133" i="4"/>
  <c r="Y124" i="4"/>
  <c r="Y234" i="4"/>
  <c r="Y121" i="4"/>
  <c r="X229" i="4"/>
  <c r="X246" i="4"/>
  <c r="X136" i="4"/>
  <c r="X133" i="4"/>
  <c r="X234" i="4"/>
  <c r="X238" i="4"/>
  <c r="X127" i="4"/>
  <c r="X124" i="4"/>
  <c r="X130" i="4"/>
  <c r="X221" i="4"/>
  <c r="X242" i="4"/>
  <c r="X217" i="4"/>
  <c r="X121" i="4"/>
  <c r="X118" i="4"/>
  <c r="X225" i="4"/>
  <c r="W229" i="4"/>
  <c r="W136" i="4"/>
  <c r="W121" i="4"/>
  <c r="W246" i="4"/>
  <c r="W221" i="4"/>
  <c r="W130" i="4"/>
  <c r="W217" i="4"/>
  <c r="W127" i="4"/>
  <c r="W225" i="4"/>
  <c r="W133" i="4"/>
  <c r="W238" i="4"/>
  <c r="W118" i="4"/>
  <c r="W124" i="4"/>
  <c r="W242" i="4"/>
  <c r="W234" i="4"/>
  <c r="V229" i="4"/>
  <c r="V121" i="4"/>
  <c r="V242" i="4"/>
  <c r="V234" i="4"/>
  <c r="V133" i="4"/>
  <c r="V136" i="4"/>
  <c r="V238" i="4"/>
  <c r="V127" i="4"/>
  <c r="V124" i="4"/>
  <c r="V221" i="4"/>
  <c r="V118" i="4"/>
  <c r="V217" i="4"/>
  <c r="V225" i="4"/>
  <c r="V246" i="4"/>
  <c r="V130" i="4"/>
  <c r="U121" i="4"/>
  <c r="U217" i="4"/>
  <c r="U246" i="4"/>
  <c r="U133" i="4"/>
  <c r="U136" i="4"/>
  <c r="U234" i="4"/>
  <c r="U238" i="4"/>
  <c r="U124" i="4"/>
  <c r="U118" i="4"/>
  <c r="U127" i="4"/>
  <c r="U221" i="4"/>
  <c r="U130" i="4"/>
  <c r="U242" i="4"/>
  <c r="T121" i="4"/>
  <c r="T238" i="4"/>
  <c r="T118" i="4"/>
  <c r="T246" i="4"/>
  <c r="T124" i="4"/>
  <c r="T217" i="4"/>
  <c r="T130" i="4"/>
  <c r="T127" i="4"/>
  <c r="T136" i="4"/>
  <c r="T221" i="4"/>
  <c r="T133" i="4"/>
  <c r="T242" i="4"/>
  <c r="T234" i="4"/>
  <c r="S118" i="4"/>
  <c r="S130" i="4"/>
  <c r="S238" i="4"/>
  <c r="S121" i="4"/>
  <c r="S234" i="4"/>
  <c r="S221" i="4"/>
  <c r="S133" i="4"/>
  <c r="S124" i="4"/>
  <c r="S242" i="4"/>
  <c r="S246" i="4"/>
  <c r="S217" i="4"/>
  <c r="S127" i="4"/>
  <c r="S136" i="4"/>
  <c r="R127" i="4"/>
  <c r="R130" i="4"/>
  <c r="R242" i="4"/>
  <c r="R217" i="4"/>
  <c r="R133" i="4"/>
  <c r="R121" i="4"/>
  <c r="R234" i="4"/>
  <c r="R136" i="4"/>
  <c r="R124" i="4"/>
  <c r="R118" i="4"/>
  <c r="R246" i="4"/>
  <c r="R221" i="4"/>
  <c r="R238" i="4"/>
  <c r="Q234" i="4"/>
  <c r="Q127" i="4"/>
  <c r="Q133" i="4"/>
  <c r="Q242" i="4"/>
  <c r="Q136" i="4"/>
  <c r="Q118" i="4"/>
  <c r="Q221" i="4"/>
  <c r="Q238" i="4"/>
  <c r="Q217" i="4"/>
  <c r="Q121" i="4"/>
  <c r="Q124" i="4"/>
  <c r="Q130" i="4"/>
  <c r="Q246" i="4"/>
  <c r="P217" i="4"/>
  <c r="P127" i="4"/>
  <c r="P238" i="4"/>
  <c r="P124" i="4"/>
  <c r="P221" i="4"/>
  <c r="P121" i="4"/>
  <c r="P118" i="4"/>
  <c r="P136" i="4"/>
  <c r="P246" i="4"/>
  <c r="P234" i="4"/>
  <c r="P242" i="4"/>
  <c r="P130" i="4"/>
  <c r="P133" i="4"/>
  <c r="O242" i="4"/>
  <c r="O130" i="4"/>
  <c r="O121" i="4"/>
  <c r="O246" i="4"/>
  <c r="O118" i="4"/>
  <c r="O238" i="4"/>
  <c r="O127" i="4"/>
  <c r="O124" i="4"/>
  <c r="O221" i="4"/>
  <c r="O133" i="4"/>
  <c r="O217" i="4"/>
  <c r="O234" i="4"/>
  <c r="O136" i="4"/>
  <c r="N124" i="4"/>
  <c r="N121" i="4"/>
  <c r="N133" i="4"/>
  <c r="N217" i="4"/>
  <c r="N238" i="4"/>
  <c r="N242" i="4"/>
  <c r="N234" i="4"/>
  <c r="N221" i="4"/>
  <c r="N127" i="4"/>
  <c r="N246" i="4"/>
  <c r="N130" i="4"/>
  <c r="N118" i="4"/>
  <c r="N136" i="4"/>
  <c r="M136" i="4"/>
  <c r="M130" i="4"/>
  <c r="M238" i="4"/>
  <c r="M121" i="4"/>
  <c r="M118" i="4"/>
  <c r="M221" i="4"/>
  <c r="M234" i="4"/>
  <c r="M246" i="4"/>
  <c r="M124" i="4"/>
  <c r="M242" i="4"/>
  <c r="M217" i="4"/>
  <c r="M127" i="4"/>
  <c r="M133" i="4"/>
  <c r="L242" i="4"/>
  <c r="L136" i="4"/>
  <c r="L118" i="4"/>
  <c r="L217" i="4"/>
  <c r="L124" i="4"/>
  <c r="L246" i="4"/>
  <c r="L221" i="4"/>
  <c r="L238" i="4"/>
  <c r="L121" i="4"/>
  <c r="L130" i="4"/>
  <c r="L127" i="4"/>
  <c r="L234" i="4"/>
  <c r="L133" i="4"/>
  <c r="K118" i="4"/>
  <c r="K238" i="4"/>
  <c r="K217" i="4"/>
  <c r="K242" i="4"/>
  <c r="K234" i="4"/>
  <c r="K130" i="4"/>
  <c r="K136" i="4"/>
  <c r="K133" i="4"/>
  <c r="K246" i="4"/>
  <c r="K221" i="4"/>
  <c r="K127" i="4"/>
  <c r="K124" i="4"/>
  <c r="J121" i="4"/>
  <c r="J238" i="4"/>
  <c r="J217" i="4"/>
  <c r="J136" i="4"/>
  <c r="J127" i="4"/>
  <c r="J221" i="4"/>
  <c r="J124" i="4"/>
  <c r="J246" i="4"/>
  <c r="J130" i="4"/>
  <c r="J133" i="4"/>
  <c r="J118" i="4"/>
  <c r="J234" i="4"/>
  <c r="J242" i="4"/>
  <c r="I217" i="4"/>
  <c r="I124" i="4"/>
  <c r="I118" i="4"/>
  <c r="I221" i="4"/>
  <c r="I121" i="4"/>
  <c r="I234" i="4"/>
  <c r="I130" i="4"/>
  <c r="I238" i="4"/>
  <c r="I133" i="4"/>
  <c r="I136" i="4"/>
  <c r="I242" i="4"/>
  <c r="I246" i="4"/>
  <c r="I127" i="4"/>
  <c r="H124" i="4"/>
  <c r="H217" i="4"/>
  <c r="H246" i="4"/>
  <c r="H133" i="4"/>
  <c r="H242" i="4"/>
  <c r="H136" i="4"/>
  <c r="H238" i="4"/>
  <c r="H121" i="4"/>
  <c r="H234" i="4"/>
  <c r="H130" i="4"/>
  <c r="H221" i="4"/>
  <c r="H127" i="4"/>
  <c r="H118" i="4"/>
  <c r="AQ168" i="3"/>
  <c r="AQ183" i="3"/>
  <c r="AQ177" i="3"/>
  <c r="AQ180" i="3"/>
  <c r="AQ171" i="3"/>
  <c r="AQ174" i="3"/>
  <c r="AP168" i="3"/>
  <c r="AP177" i="3"/>
  <c r="AP180" i="3"/>
  <c r="AP171" i="3"/>
  <c r="AP174" i="3"/>
  <c r="AP183" i="3"/>
  <c r="AO168" i="3"/>
  <c r="AO174" i="3"/>
  <c r="AO183" i="3"/>
  <c r="AO177" i="3"/>
  <c r="AO171" i="3"/>
  <c r="AO180" i="3"/>
  <c r="AN168" i="3"/>
  <c r="AN180" i="3"/>
  <c r="AN174" i="3"/>
  <c r="AN177" i="3"/>
  <c r="AN183" i="3"/>
  <c r="AN171" i="3"/>
  <c r="AM168" i="3"/>
  <c r="AM174" i="3"/>
  <c r="AM177" i="3"/>
  <c r="AM183" i="3"/>
  <c r="AM180" i="3"/>
  <c r="AM171" i="3"/>
  <c r="AL168" i="3"/>
  <c r="AL171" i="3"/>
  <c r="AL174" i="3"/>
  <c r="AL183" i="3"/>
  <c r="AL177" i="3"/>
  <c r="AL180" i="3"/>
  <c r="AK168" i="3"/>
  <c r="AK174" i="3"/>
  <c r="AK171" i="3"/>
  <c r="AK183" i="3"/>
  <c r="AK177" i="3"/>
  <c r="AK180" i="3"/>
  <c r="AJ168" i="3"/>
  <c r="AJ177" i="3"/>
  <c r="AJ180" i="3"/>
  <c r="AJ183" i="3"/>
  <c r="AJ174" i="3"/>
  <c r="AJ171" i="3"/>
  <c r="AI168" i="3"/>
  <c r="AI174" i="3"/>
  <c r="AI177" i="3"/>
  <c r="AI180" i="3"/>
  <c r="AI183" i="3"/>
  <c r="AI171" i="3"/>
  <c r="AH168" i="3"/>
  <c r="AH177" i="3"/>
  <c r="AH183" i="3"/>
  <c r="AH180" i="3"/>
  <c r="AH174" i="3"/>
  <c r="AH171" i="3"/>
  <c r="AG168" i="3"/>
  <c r="AG177" i="3"/>
  <c r="AG183" i="3"/>
  <c r="AG180" i="3"/>
  <c r="AG174" i="3"/>
  <c r="AG171" i="3"/>
  <c r="AF168" i="3"/>
  <c r="AF174" i="3"/>
  <c r="AF183" i="3"/>
  <c r="AF180" i="3"/>
  <c r="AF171" i="3"/>
  <c r="AF177" i="3"/>
  <c r="AE168" i="3"/>
  <c r="AE180" i="3"/>
  <c r="AE177" i="3"/>
  <c r="AE183" i="3"/>
  <c r="AE171" i="3"/>
  <c r="AE174" i="3"/>
  <c r="AD168" i="3"/>
  <c r="AD177" i="3"/>
  <c r="AD183" i="3"/>
  <c r="AD171" i="3"/>
  <c r="AD174" i="3"/>
  <c r="AD180" i="3"/>
  <c r="AC168" i="3"/>
  <c r="AC174" i="3"/>
  <c r="AC180" i="3"/>
  <c r="AC183" i="3"/>
  <c r="AC177" i="3"/>
  <c r="AC171" i="3"/>
  <c r="AB168" i="3"/>
  <c r="AB180" i="3"/>
  <c r="AB186" i="3"/>
  <c r="AB177" i="3"/>
  <c r="AB171" i="3"/>
  <c r="AB183" i="3"/>
  <c r="AB174" i="3"/>
  <c r="AA168" i="3"/>
  <c r="AA183" i="3"/>
  <c r="AA180" i="3"/>
  <c r="AA171" i="3"/>
  <c r="AA177" i="3"/>
  <c r="AA186" i="3"/>
  <c r="AA174" i="3"/>
  <c r="Z168" i="3"/>
  <c r="Z171" i="3"/>
  <c r="Z186" i="3"/>
  <c r="Z174" i="3"/>
  <c r="Z177" i="3"/>
  <c r="Z183" i="3"/>
  <c r="Z180" i="3"/>
  <c r="Y168" i="3"/>
  <c r="Y186" i="3"/>
  <c r="Y177" i="3"/>
  <c r="Y180" i="3"/>
  <c r="Y174" i="3"/>
  <c r="Y171" i="3"/>
  <c r="Y183" i="3"/>
  <c r="X168" i="3"/>
  <c r="X183" i="3"/>
  <c r="X171" i="3"/>
  <c r="X174" i="3"/>
  <c r="X180" i="3"/>
  <c r="X186" i="3"/>
  <c r="X177" i="3"/>
  <c r="W168" i="3"/>
  <c r="W183" i="3"/>
  <c r="W186" i="3"/>
  <c r="W174" i="3"/>
  <c r="W171" i="3"/>
  <c r="W180" i="3"/>
  <c r="W177" i="3"/>
  <c r="V168" i="3"/>
  <c r="V183" i="3"/>
  <c r="V174" i="3"/>
  <c r="V171" i="3"/>
  <c r="V177" i="3"/>
  <c r="V180" i="3"/>
  <c r="V186" i="3"/>
  <c r="U168" i="3"/>
  <c r="U180" i="3"/>
  <c r="U177" i="3"/>
  <c r="U174" i="3"/>
  <c r="U183" i="3"/>
  <c r="U186" i="3"/>
  <c r="U171" i="3"/>
  <c r="T168" i="3"/>
  <c r="T174" i="3"/>
  <c r="T177" i="3"/>
  <c r="T183" i="3"/>
  <c r="T180" i="3"/>
  <c r="T186" i="3"/>
  <c r="T171" i="3"/>
  <c r="S168" i="3"/>
  <c r="S174" i="3"/>
  <c r="S177" i="3"/>
  <c r="S171" i="3"/>
  <c r="S186" i="3"/>
  <c r="S183" i="3"/>
  <c r="S180" i="3"/>
  <c r="R168" i="3"/>
  <c r="R183" i="3"/>
  <c r="R171" i="3"/>
  <c r="R186" i="3"/>
  <c r="R180" i="3"/>
  <c r="R174" i="3"/>
  <c r="R177" i="3"/>
  <c r="Q168" i="3"/>
  <c r="Q183" i="3"/>
  <c r="Q180" i="3"/>
  <c r="Q171" i="3"/>
  <c r="Q186" i="3"/>
  <c r="Q174" i="3"/>
  <c r="Q177" i="3"/>
  <c r="P168" i="3"/>
  <c r="P183" i="3"/>
  <c r="P174" i="3"/>
  <c r="P180" i="3"/>
  <c r="P186" i="3"/>
  <c r="P177" i="3"/>
  <c r="P171" i="3"/>
  <c r="O168" i="3"/>
  <c r="O183" i="3"/>
  <c r="O186" i="3"/>
  <c r="O180" i="3"/>
  <c r="O174" i="3"/>
  <c r="O171" i="3"/>
  <c r="O177" i="3"/>
  <c r="N168" i="3"/>
  <c r="N186" i="3"/>
  <c r="N174" i="3"/>
  <c r="N180" i="3"/>
  <c r="N171" i="3"/>
  <c r="N177" i="3"/>
  <c r="N183" i="3"/>
  <c r="M168" i="3"/>
  <c r="M174" i="3"/>
  <c r="M183" i="3"/>
  <c r="M180" i="3"/>
  <c r="M171" i="3"/>
  <c r="M186" i="3"/>
  <c r="M177" i="3"/>
  <c r="L168" i="3"/>
  <c r="L174" i="3"/>
  <c r="L183" i="3"/>
  <c r="L177" i="3"/>
  <c r="L171" i="3"/>
  <c r="L186" i="3"/>
  <c r="L180" i="3"/>
  <c r="K168" i="3"/>
  <c r="K177" i="3"/>
  <c r="K186" i="3"/>
  <c r="K174" i="3"/>
  <c r="K183" i="3"/>
  <c r="K171" i="3"/>
  <c r="K180" i="3"/>
  <c r="J168" i="3"/>
  <c r="J183" i="3"/>
  <c r="J171" i="3"/>
  <c r="J180" i="3"/>
  <c r="J174" i="3"/>
  <c r="J186" i="3"/>
  <c r="J177" i="3"/>
  <c r="I168" i="3"/>
  <c r="I183" i="3"/>
  <c r="I180" i="3"/>
  <c r="I177" i="3"/>
  <c r="I186" i="3"/>
  <c r="I171" i="3"/>
  <c r="I174" i="3"/>
  <c r="H168" i="3"/>
  <c r="H174" i="3"/>
  <c r="H177" i="3"/>
  <c r="H180" i="3"/>
  <c r="H183" i="3"/>
  <c r="H186" i="3"/>
  <c r="H171" i="3"/>
  <c r="AQ171" i="4"/>
  <c r="AQ168" i="4"/>
  <c r="AP171" i="4"/>
  <c r="AP168" i="4"/>
  <c r="AO168" i="4"/>
  <c r="AO171" i="4"/>
  <c r="AN171" i="4"/>
  <c r="AN168" i="4"/>
  <c r="AM171" i="4"/>
  <c r="AM168" i="4"/>
  <c r="AL171" i="4"/>
  <c r="AL168" i="4"/>
  <c r="AK171" i="4"/>
  <c r="AK168" i="4"/>
  <c r="AJ171" i="4"/>
  <c r="AJ168" i="4"/>
  <c r="AI171" i="4"/>
  <c r="AI168" i="4"/>
  <c r="AH171" i="4"/>
  <c r="AH168" i="4"/>
  <c r="AG168" i="4"/>
  <c r="AG171" i="4"/>
  <c r="AF168" i="4"/>
  <c r="AF171" i="4"/>
  <c r="AE168" i="4"/>
  <c r="AE171" i="4"/>
  <c r="AD168" i="4"/>
  <c r="AD171" i="4"/>
  <c r="AC168" i="4"/>
  <c r="AC171" i="4"/>
  <c r="AB168" i="4"/>
  <c r="AB171" i="4"/>
  <c r="AA168" i="4"/>
  <c r="AA171" i="4"/>
  <c r="Z168" i="4"/>
  <c r="Z171" i="4"/>
  <c r="Y168" i="4"/>
  <c r="Y171" i="4"/>
  <c r="X171" i="4"/>
  <c r="X168" i="4"/>
  <c r="W171" i="4"/>
  <c r="W168" i="4"/>
  <c r="V168" i="4"/>
  <c r="V171" i="4"/>
  <c r="U168" i="4"/>
  <c r="U171" i="4"/>
  <c r="T168" i="4"/>
  <c r="T174" i="4"/>
  <c r="T171" i="4"/>
  <c r="S168" i="4"/>
  <c r="S174" i="4"/>
  <c r="S171" i="4"/>
  <c r="R168" i="4"/>
  <c r="R174" i="4"/>
  <c r="R171" i="4"/>
  <c r="Q171" i="4"/>
  <c r="Q168" i="4"/>
  <c r="Q174" i="4"/>
  <c r="P171" i="4"/>
  <c r="P174" i="4"/>
  <c r="P168" i="4"/>
  <c r="O171" i="4"/>
  <c r="O174" i="4"/>
  <c r="O168" i="4"/>
  <c r="N168" i="4"/>
  <c r="N174" i="4"/>
  <c r="N171" i="4"/>
  <c r="M168" i="4"/>
  <c r="M174" i="4"/>
  <c r="M171" i="4"/>
  <c r="L174" i="4"/>
  <c r="L168" i="4"/>
  <c r="L171" i="4"/>
  <c r="K174" i="4"/>
  <c r="K168" i="4"/>
  <c r="K171" i="4"/>
  <c r="J174" i="4"/>
  <c r="J168" i="4"/>
  <c r="J171" i="4"/>
  <c r="I171" i="4"/>
  <c r="I174" i="4"/>
  <c r="I168" i="4"/>
  <c r="H171" i="4"/>
  <c r="H174" i="4"/>
  <c r="H168" i="4"/>
  <c r="AQ158" i="4"/>
  <c r="AQ152" i="4"/>
  <c r="AQ149" i="4"/>
  <c r="AQ161" i="4"/>
  <c r="AQ146" i="4"/>
  <c r="AQ155" i="4"/>
  <c r="AQ143" i="4"/>
  <c r="AP158" i="4"/>
  <c r="AP143" i="4"/>
  <c r="AP152" i="4"/>
  <c r="AP149" i="4"/>
  <c r="AP161" i="4"/>
  <c r="AP146" i="4"/>
  <c r="AP155" i="4"/>
  <c r="AO158" i="4"/>
  <c r="AO143" i="4"/>
  <c r="AO152" i="4"/>
  <c r="AO146" i="4"/>
  <c r="AO149" i="4"/>
  <c r="AO161" i="4"/>
  <c r="AO155" i="4"/>
  <c r="AN149" i="4"/>
  <c r="AN161" i="4"/>
  <c r="AN143" i="4"/>
  <c r="AN158" i="4"/>
  <c r="AN146" i="4"/>
  <c r="AN152" i="4"/>
  <c r="AN155" i="4"/>
  <c r="AM161" i="4"/>
  <c r="AM143" i="4"/>
  <c r="AM158" i="4"/>
  <c r="AM146" i="4"/>
  <c r="AM155" i="4"/>
  <c r="AM149" i="4"/>
  <c r="AM152" i="4"/>
  <c r="AL161" i="4"/>
  <c r="AL143" i="4"/>
  <c r="AL158" i="4"/>
  <c r="AL146" i="4"/>
  <c r="AL149" i="4"/>
  <c r="AL155" i="4"/>
  <c r="AL152" i="4"/>
  <c r="AK149" i="4"/>
  <c r="AK158" i="4"/>
  <c r="AK143" i="4"/>
  <c r="AK146" i="4"/>
  <c r="AK161" i="4"/>
  <c r="AK152" i="4"/>
  <c r="AK155" i="4"/>
  <c r="AJ161" i="4"/>
  <c r="AJ152" i="4"/>
  <c r="AJ143" i="4"/>
  <c r="AJ146" i="4"/>
  <c r="AJ155" i="4"/>
  <c r="AJ158" i="4"/>
  <c r="AJ149" i="4"/>
  <c r="AI158" i="4"/>
  <c r="AI161" i="4"/>
  <c r="AI149" i="4"/>
  <c r="AI143" i="4"/>
  <c r="AI146" i="4"/>
  <c r="AI155" i="4"/>
  <c r="AI152" i="4"/>
  <c r="AH149" i="4"/>
  <c r="AH158" i="4"/>
  <c r="AH161" i="4"/>
  <c r="AH146" i="4"/>
  <c r="AH143" i="4"/>
  <c r="AH152" i="4"/>
  <c r="AH155" i="4"/>
  <c r="AG143" i="4"/>
  <c r="AG155" i="4"/>
  <c r="AG152" i="4"/>
  <c r="AG149" i="4"/>
  <c r="AG158" i="4"/>
  <c r="AG161" i="4"/>
  <c r="AG146" i="4"/>
  <c r="AF161" i="4"/>
  <c r="AF149" i="4"/>
  <c r="AF155" i="4"/>
  <c r="AF152" i="4"/>
  <c r="AF146" i="4"/>
  <c r="AF143" i="4"/>
  <c r="AF158" i="4"/>
  <c r="AE152" i="4"/>
  <c r="AE143" i="4"/>
  <c r="AE155" i="4"/>
  <c r="AE146" i="4"/>
  <c r="AE161" i="4"/>
  <c r="AE158" i="4"/>
  <c r="AE149" i="4"/>
  <c r="AD158" i="4"/>
  <c r="AD146" i="4"/>
  <c r="AD161" i="4"/>
  <c r="AD143" i="4"/>
  <c r="AD149" i="4"/>
  <c r="AD152" i="4"/>
  <c r="AD155" i="4"/>
  <c r="AC155" i="4"/>
  <c r="AC152" i="4"/>
  <c r="AC149" i="4"/>
  <c r="AC161" i="4"/>
  <c r="AC146" i="4"/>
  <c r="AC158" i="4"/>
  <c r="AC143" i="4"/>
  <c r="AB152" i="4"/>
  <c r="AB155" i="4"/>
  <c r="AB149" i="4"/>
  <c r="AB161" i="4"/>
  <c r="AB146" i="4"/>
  <c r="AB158" i="4"/>
  <c r="AB143" i="4"/>
  <c r="AA143" i="4"/>
  <c r="AA152" i="4"/>
  <c r="AA146" i="4"/>
  <c r="AA161" i="4"/>
  <c r="AA155" i="4"/>
  <c r="AA149" i="4"/>
  <c r="AA158" i="4"/>
  <c r="Z146" i="4"/>
  <c r="Z143" i="4"/>
  <c r="Z158" i="4"/>
  <c r="Z152" i="4"/>
  <c r="Z149" i="4"/>
  <c r="Z155" i="4"/>
  <c r="Z161" i="4"/>
  <c r="Y143" i="4"/>
  <c r="Y158" i="4"/>
  <c r="Y152" i="4"/>
  <c r="Y149" i="4"/>
  <c r="Y161" i="4"/>
  <c r="Y155" i="4"/>
  <c r="Y146" i="4"/>
  <c r="X158" i="4"/>
  <c r="X152" i="4"/>
  <c r="X155" i="4"/>
  <c r="X149" i="4"/>
  <c r="X143" i="4"/>
  <c r="X161" i="4"/>
  <c r="X146" i="4"/>
  <c r="W152" i="4"/>
  <c r="W155" i="4"/>
  <c r="W149" i="4"/>
  <c r="W158" i="4"/>
  <c r="W143" i="4"/>
  <c r="W161" i="4"/>
  <c r="W146" i="4"/>
  <c r="V146" i="4"/>
  <c r="V152" i="4"/>
  <c r="V155" i="4"/>
  <c r="V149" i="4"/>
  <c r="V158" i="4"/>
  <c r="V143" i="4"/>
  <c r="V161" i="4"/>
  <c r="U161" i="4"/>
  <c r="U152" i="4"/>
  <c r="U155" i="4"/>
  <c r="U143" i="4"/>
  <c r="U146" i="4"/>
  <c r="U158" i="4"/>
  <c r="U149" i="4"/>
  <c r="T149" i="4"/>
  <c r="T146" i="4"/>
  <c r="T161" i="4"/>
  <c r="T152" i="4"/>
  <c r="T155" i="4"/>
  <c r="T143" i="4"/>
  <c r="T158" i="4"/>
  <c r="S146" i="4"/>
  <c r="S149" i="4"/>
  <c r="S161" i="4"/>
  <c r="S152" i="4"/>
  <c r="S155" i="4"/>
  <c r="S158" i="4"/>
  <c r="S143" i="4"/>
  <c r="R143" i="4"/>
  <c r="R146" i="4"/>
  <c r="R161" i="4"/>
  <c r="R152" i="4"/>
  <c r="R155" i="4"/>
  <c r="R149" i="4"/>
  <c r="R158" i="4"/>
  <c r="Q143" i="4"/>
  <c r="Q149" i="4"/>
  <c r="Q146" i="4"/>
  <c r="Q152" i="4"/>
  <c r="Q155" i="4"/>
  <c r="Q158" i="4"/>
  <c r="Q161" i="4"/>
  <c r="P152" i="4"/>
  <c r="P155" i="4"/>
  <c r="P149" i="4"/>
  <c r="P146" i="4"/>
  <c r="P158" i="4"/>
  <c r="P161" i="4"/>
  <c r="P143" i="4"/>
  <c r="O158" i="4"/>
  <c r="O149" i="4"/>
  <c r="O143" i="4"/>
  <c r="O161" i="4"/>
  <c r="O146" i="4"/>
  <c r="O152" i="4"/>
  <c r="O155" i="4"/>
  <c r="N161" i="4"/>
  <c r="N143" i="4"/>
  <c r="N146" i="4"/>
  <c r="N152" i="4"/>
  <c r="N149" i="4"/>
  <c r="N155" i="4"/>
  <c r="N158" i="4"/>
  <c r="M143" i="4"/>
  <c r="M146" i="4"/>
  <c r="M161" i="4"/>
  <c r="M158" i="4"/>
  <c r="M149" i="4"/>
  <c r="M155" i="4"/>
  <c r="M152" i="4"/>
  <c r="L146" i="4"/>
  <c r="L152" i="4"/>
  <c r="L155" i="4"/>
  <c r="L149" i="4"/>
  <c r="L161" i="4"/>
  <c r="L158" i="4"/>
  <c r="L143" i="4"/>
  <c r="K143" i="4"/>
  <c r="K155" i="4"/>
  <c r="K152" i="4"/>
  <c r="K161" i="4"/>
  <c r="K149" i="4"/>
  <c r="K146" i="4"/>
  <c r="K158" i="4"/>
  <c r="J155" i="4"/>
  <c r="J146" i="4"/>
  <c r="J158" i="4"/>
  <c r="J143" i="4"/>
  <c r="J149" i="4"/>
  <c r="J152" i="4"/>
  <c r="J161" i="4"/>
  <c r="I149" i="4"/>
  <c r="I152" i="4"/>
  <c r="I161" i="4"/>
  <c r="I146" i="4"/>
  <c r="I155" i="4"/>
  <c r="I143" i="4"/>
  <c r="I158" i="4"/>
  <c r="H158" i="4"/>
  <c r="H155" i="4"/>
  <c r="H149" i="4"/>
  <c r="H161" i="4"/>
  <c r="H146" i="4"/>
  <c r="H143" i="4"/>
  <c r="H152" i="4"/>
  <c r="AQ124" i="4"/>
  <c r="AQ136" i="4"/>
  <c r="AQ221" i="4"/>
  <c r="AQ118" i="4"/>
  <c r="AQ217" i="4"/>
  <c r="AQ225" i="4"/>
  <c r="AQ127" i="4"/>
  <c r="AQ229" i="4"/>
  <c r="AQ133" i="4"/>
  <c r="AQ121" i="4"/>
  <c r="AQ130" i="4"/>
  <c r="AP133" i="4"/>
  <c r="AP121" i="4"/>
  <c r="AP229" i="4"/>
  <c r="AP217" i="4"/>
  <c r="AP225" i="4"/>
  <c r="AP130" i="4"/>
  <c r="AP127" i="4"/>
  <c r="AP221" i="4"/>
  <c r="AP124" i="4"/>
  <c r="AP118" i="4"/>
  <c r="AP136" i="4"/>
  <c r="AO124" i="4"/>
  <c r="AO130" i="4"/>
  <c r="AO136" i="4"/>
  <c r="AO225" i="4"/>
  <c r="AO118" i="4"/>
  <c r="AO217" i="4"/>
  <c r="AO229" i="4"/>
  <c r="AO133" i="4"/>
  <c r="AO121" i="4"/>
  <c r="AO221" i="4"/>
  <c r="AO127" i="4"/>
  <c r="AN225" i="4"/>
  <c r="AN118" i="4"/>
  <c r="AN130" i="4"/>
  <c r="AN217" i="4"/>
  <c r="AN133" i="4"/>
  <c r="AN229" i="4"/>
  <c r="AN121" i="4"/>
  <c r="AN127" i="4"/>
  <c r="AN136" i="4"/>
  <c r="AN221" i="4"/>
  <c r="AN124" i="4"/>
  <c r="AM124" i="4"/>
  <c r="AM130" i="4"/>
  <c r="AM217" i="4"/>
  <c r="AM118" i="4"/>
  <c r="AM229" i="4"/>
  <c r="AM121" i="4"/>
  <c r="AM225" i="4"/>
  <c r="AM127" i="4"/>
  <c r="AM136" i="4"/>
  <c r="AM133" i="4"/>
  <c r="AM221" i="4"/>
  <c r="AL133" i="4"/>
  <c r="AL127" i="4"/>
  <c r="AL136" i="4"/>
  <c r="AL130" i="4"/>
  <c r="AL221" i="4"/>
  <c r="AL217" i="4"/>
  <c r="AL118" i="4"/>
  <c r="AL121" i="4"/>
  <c r="AL229" i="4"/>
  <c r="AL225" i="4"/>
  <c r="AL124" i="4"/>
  <c r="AK229" i="4"/>
  <c r="AK133" i="4"/>
  <c r="AK136" i="4"/>
  <c r="AK124" i="4"/>
  <c r="AK130" i="4"/>
  <c r="AK217" i="4"/>
  <c r="AK221" i="4"/>
  <c r="AK118" i="4"/>
  <c r="AK225" i="4"/>
  <c r="AK127" i="4"/>
  <c r="AK121" i="4"/>
  <c r="AJ221" i="4"/>
  <c r="AJ130" i="4"/>
  <c r="AJ133" i="4"/>
  <c r="AJ229" i="4"/>
  <c r="AJ136" i="4"/>
  <c r="AJ118" i="4"/>
  <c r="AJ124" i="4"/>
  <c r="AJ217" i="4"/>
  <c r="AJ121" i="4"/>
  <c r="AJ127" i="4"/>
  <c r="AJ225" i="4"/>
  <c r="AI225" i="4"/>
  <c r="AI121" i="4"/>
  <c r="AI124" i="4"/>
  <c r="AI130" i="4"/>
  <c r="AI118" i="4"/>
  <c r="AI217" i="4"/>
  <c r="AI127" i="4"/>
  <c r="AI221" i="4"/>
  <c r="AI136" i="4"/>
  <c r="AI133" i="4"/>
  <c r="AI229" i="4"/>
  <c r="AH121" i="4"/>
  <c r="AH124" i="4"/>
  <c r="AH130" i="4"/>
  <c r="AH217" i="4"/>
  <c r="AH118" i="4"/>
  <c r="AH127" i="4"/>
  <c r="AH136" i="4"/>
  <c r="AH133" i="4"/>
  <c r="AH221" i="4"/>
  <c r="AH225" i="4"/>
  <c r="AH229" i="4"/>
  <c r="AG229" i="4"/>
  <c r="AG118" i="4"/>
  <c r="AG133" i="4"/>
  <c r="AG130" i="4"/>
  <c r="AG225" i="4"/>
  <c r="AG127" i="4"/>
  <c r="AG221" i="4"/>
  <c r="AG124" i="4"/>
  <c r="AG121" i="4"/>
  <c r="AG136" i="4"/>
  <c r="AG217" i="4"/>
  <c r="AF217" i="4"/>
  <c r="AF118" i="4"/>
  <c r="AF124" i="4"/>
  <c r="AF136" i="4"/>
  <c r="AF221" i="4"/>
  <c r="AF127" i="4"/>
  <c r="AF229" i="4"/>
  <c r="AF225" i="4"/>
  <c r="AF130" i="4"/>
  <c r="AF133" i="4"/>
  <c r="AF121" i="4"/>
  <c r="AE124" i="4"/>
  <c r="AE217" i="4"/>
  <c r="AE133" i="4"/>
  <c r="AE229" i="4"/>
  <c r="AE136" i="4"/>
  <c r="AE221" i="4"/>
  <c r="AE127" i="4"/>
  <c r="AE225" i="4"/>
  <c r="AE130" i="4"/>
  <c r="AE121" i="4"/>
  <c r="AE118" i="4"/>
  <c r="AD124" i="4"/>
  <c r="AD229" i="4"/>
  <c r="AD118" i="4"/>
  <c r="AD225" i="4"/>
  <c r="AD217" i="4"/>
  <c r="AD121" i="4"/>
  <c r="AD133" i="4"/>
  <c r="AD221" i="4"/>
  <c r="AD127" i="4"/>
  <c r="AD130" i="4"/>
  <c r="AD136" i="4"/>
  <c r="AC225" i="4"/>
  <c r="AC124" i="4"/>
  <c r="AC127" i="4"/>
  <c r="AC133" i="4"/>
  <c r="AC118" i="4"/>
  <c r="AC121" i="4"/>
  <c r="AC130" i="4"/>
  <c r="AC217" i="4"/>
  <c r="AC221" i="4"/>
  <c r="AC136" i="4"/>
  <c r="AC229" i="4"/>
  <c r="AB229" i="4"/>
  <c r="AB118" i="4"/>
  <c r="AB221" i="4"/>
  <c r="AB136" i="4"/>
  <c r="AB130" i="4"/>
  <c r="AB121" i="4"/>
  <c r="AB127" i="4"/>
  <c r="AB124" i="4"/>
  <c r="AB217" i="4"/>
  <c r="AB225" i="4"/>
  <c r="AB133" i="4"/>
  <c r="U225" i="4"/>
  <c r="U229" i="4"/>
  <c r="T229" i="4"/>
  <c r="T225" i="4"/>
  <c r="S229" i="4"/>
  <c r="S225" i="4"/>
  <c r="R229" i="4"/>
  <c r="R225" i="4"/>
  <c r="Q225" i="4"/>
  <c r="Q229" i="4"/>
  <c r="P225" i="4"/>
  <c r="P229" i="4"/>
  <c r="O225" i="4"/>
  <c r="O229" i="4"/>
  <c r="N225" i="4"/>
  <c r="N229" i="4"/>
  <c r="M225" i="4"/>
  <c r="M229" i="4"/>
  <c r="L225" i="4"/>
  <c r="L229" i="4"/>
  <c r="K229" i="4"/>
  <c r="K225" i="4"/>
  <c r="J225" i="4"/>
  <c r="J229" i="4"/>
  <c r="I229" i="4"/>
  <c r="I225" i="4"/>
  <c r="H229" i="4"/>
  <c r="H225" i="4"/>
  <c r="J16" i="4"/>
  <c r="AQ53" i="4"/>
  <c r="AQ52" i="4" s="1"/>
  <c r="AQ23" i="4"/>
  <c r="AQ22" i="4" s="1"/>
  <c r="AQ38" i="4"/>
  <c r="AQ37" i="4" s="1"/>
  <c r="AP23" i="4"/>
  <c r="AP22" i="4" s="1"/>
  <c r="AP38" i="4"/>
  <c r="AP37" i="4" s="1"/>
  <c r="AP53" i="4"/>
  <c r="AP52" i="4" s="1"/>
  <c r="AO23" i="4"/>
  <c r="AO22" i="4" s="1"/>
  <c r="AO38" i="4"/>
  <c r="AO37" i="4" s="1"/>
  <c r="AO53" i="4"/>
  <c r="AO52" i="4" s="1"/>
  <c r="AN23" i="4"/>
  <c r="AN22" i="4" s="1"/>
  <c r="AN53" i="4"/>
  <c r="AN52" i="4" s="1"/>
  <c r="AN38" i="4"/>
  <c r="AN37" i="4" s="1"/>
  <c r="AM38" i="4"/>
  <c r="AM37" i="4" s="1"/>
  <c r="AM23" i="4"/>
  <c r="AM22" i="4" s="1"/>
  <c r="AM53" i="4"/>
  <c r="AM52" i="4" s="1"/>
  <c r="AL23" i="4"/>
  <c r="AL22" i="4" s="1"/>
  <c r="AL53" i="4"/>
  <c r="AL52" i="4" s="1"/>
  <c r="AL38" i="4"/>
  <c r="AL37" i="4" s="1"/>
  <c r="AK23" i="4"/>
  <c r="AK22" i="4" s="1"/>
  <c r="AK38" i="4"/>
  <c r="AK37" i="4" s="1"/>
  <c r="AK53" i="4"/>
  <c r="AK52" i="4" s="1"/>
  <c r="AJ23" i="4"/>
  <c r="AJ22" i="4" s="1"/>
  <c r="AJ38" i="4"/>
  <c r="AJ37" i="4" s="1"/>
  <c r="AJ53" i="4"/>
  <c r="AJ52" i="4" s="1"/>
  <c r="AI23" i="4"/>
  <c r="AI22" i="4" s="1"/>
  <c r="AI38" i="4"/>
  <c r="AI37" i="4" s="1"/>
  <c r="AI53" i="4"/>
  <c r="AI52" i="4" s="1"/>
  <c r="AH38" i="4"/>
  <c r="AH37" i="4" s="1"/>
  <c r="AH23" i="4"/>
  <c r="AH22" i="4" s="1"/>
  <c r="AH53" i="4"/>
  <c r="AH52" i="4" s="1"/>
  <c r="AG38" i="4"/>
  <c r="AG37" i="4" s="1"/>
  <c r="AG23" i="4"/>
  <c r="AG22" i="4" s="1"/>
  <c r="AG53" i="4"/>
  <c r="AG52" i="4" s="1"/>
  <c r="AF53" i="4"/>
  <c r="AF52" i="4" s="1"/>
  <c r="AF23" i="4"/>
  <c r="AF22" i="4" s="1"/>
  <c r="AF38" i="4"/>
  <c r="AF37" i="4" s="1"/>
  <c r="AE53" i="4"/>
  <c r="AE52" i="4" s="1"/>
  <c r="AE23" i="4"/>
  <c r="AE22" i="4" s="1"/>
  <c r="AE38" i="4"/>
  <c r="AE37" i="4" s="1"/>
  <c r="AD53" i="4"/>
  <c r="AD52" i="4" s="1"/>
  <c r="AD23" i="4"/>
  <c r="AD22" i="4" s="1"/>
  <c r="AD38" i="4"/>
  <c r="AD37" i="4" s="1"/>
  <c r="AC53" i="4"/>
  <c r="AC52" i="4" s="1"/>
  <c r="AC23" i="4"/>
  <c r="AC22" i="4" s="1"/>
  <c r="AC38" i="4"/>
  <c r="AC37" i="4" s="1"/>
  <c r="AB53" i="4"/>
  <c r="AB52" i="4" s="1"/>
  <c r="AB38" i="4"/>
  <c r="AB37" i="4" s="1"/>
  <c r="AB23" i="4"/>
  <c r="AB22" i="4" s="1"/>
  <c r="AA38" i="4"/>
  <c r="AA37" i="4" s="1"/>
  <c r="AA23" i="4"/>
  <c r="AA22" i="4" s="1"/>
  <c r="AA53" i="4"/>
  <c r="AA52" i="4" s="1"/>
  <c r="Z38" i="4"/>
  <c r="Z37" i="4" s="1"/>
  <c r="Z53" i="4"/>
  <c r="Z52" i="4" s="1"/>
  <c r="Z23" i="4"/>
  <c r="Z22" i="4" s="1"/>
  <c r="Y53" i="4"/>
  <c r="Y52" i="4" s="1"/>
  <c r="Y23" i="4"/>
  <c r="Y22" i="4" s="1"/>
  <c r="Y38" i="4"/>
  <c r="Y37" i="4" s="1"/>
  <c r="X38" i="4"/>
  <c r="X37" i="4" s="1"/>
  <c r="X53" i="4"/>
  <c r="X52" i="4" s="1"/>
  <c r="X23" i="4"/>
  <c r="X22" i="4" s="1"/>
  <c r="W53" i="4"/>
  <c r="W52" i="4" s="1"/>
  <c r="W23" i="4"/>
  <c r="W22" i="4" s="1"/>
  <c r="W38" i="4"/>
  <c r="W37" i="4" s="1"/>
  <c r="V53" i="4"/>
  <c r="V52" i="4" s="1"/>
  <c r="V38" i="4"/>
  <c r="V37" i="4" s="1"/>
  <c r="V23" i="4"/>
  <c r="V22" i="4" s="1"/>
  <c r="U23" i="4"/>
  <c r="U22" i="4" s="1"/>
  <c r="U53" i="4"/>
  <c r="U52" i="4" s="1"/>
  <c r="U38" i="4"/>
  <c r="U37" i="4" s="1"/>
  <c r="T53" i="4"/>
  <c r="T52" i="4" s="1"/>
  <c r="T38" i="4"/>
  <c r="T37" i="4" s="1"/>
  <c r="T23" i="4"/>
  <c r="T22" i="4" s="1"/>
  <c r="S53" i="4"/>
  <c r="S52" i="4" s="1"/>
  <c r="S38" i="4"/>
  <c r="S37" i="4" s="1"/>
  <c r="S23" i="4"/>
  <c r="S22" i="4" s="1"/>
  <c r="R53" i="4"/>
  <c r="R52" i="4" s="1"/>
  <c r="R23" i="4"/>
  <c r="R22" i="4" s="1"/>
  <c r="R38" i="4"/>
  <c r="R37" i="4" s="1"/>
  <c r="Q53" i="4"/>
  <c r="Q52" i="4" s="1"/>
  <c r="Q23" i="4"/>
  <c r="Q22" i="4" s="1"/>
  <c r="Q38" i="4"/>
  <c r="Q37" i="4" s="1"/>
  <c r="P53" i="4"/>
  <c r="P52" i="4" s="1"/>
  <c r="P23" i="4"/>
  <c r="P22" i="4" s="1"/>
  <c r="P38" i="4"/>
  <c r="P37" i="4" s="1"/>
  <c r="O53" i="4"/>
  <c r="O52" i="4" s="1"/>
  <c r="O38" i="4"/>
  <c r="O37" i="4" s="1"/>
  <c r="O23" i="4"/>
  <c r="O22" i="4" s="1"/>
  <c r="N23" i="4"/>
  <c r="N22" i="4" s="1"/>
  <c r="N53" i="4"/>
  <c r="N52" i="4" s="1"/>
  <c r="N38" i="4"/>
  <c r="N37" i="4" s="1"/>
  <c r="M23" i="4"/>
  <c r="M22" i="4" s="1"/>
  <c r="M53" i="4"/>
  <c r="M52" i="4" s="1"/>
  <c r="M38" i="4"/>
  <c r="M37" i="4" s="1"/>
  <c r="L53" i="4"/>
  <c r="L52" i="4" s="1"/>
  <c r="L23" i="4"/>
  <c r="L22" i="4" s="1"/>
  <c r="L38" i="4"/>
  <c r="L37" i="4" s="1"/>
  <c r="K38" i="4"/>
  <c r="K37" i="4" s="1"/>
  <c r="K53" i="4"/>
  <c r="K52" i="4" s="1"/>
  <c r="K23" i="4"/>
  <c r="K22" i="4" s="1"/>
  <c r="J38" i="4"/>
  <c r="J37" i="4" s="1"/>
  <c r="J53" i="4"/>
  <c r="J52" i="4" s="1"/>
  <c r="J23" i="4"/>
  <c r="J22" i="4" s="1"/>
  <c r="I23" i="4"/>
  <c r="I22" i="4" s="1"/>
  <c r="I53" i="4"/>
  <c r="I52" i="4" s="1"/>
  <c r="I38" i="4"/>
  <c r="I37" i="4" s="1"/>
  <c r="H53" i="4"/>
  <c r="H52" i="4" s="1"/>
  <c r="H38" i="4"/>
  <c r="H37" i="4" s="1"/>
  <c r="H23" i="4"/>
  <c r="H22" i="4" s="1"/>
  <c r="AQ143" i="3"/>
  <c r="AQ161" i="3"/>
  <c r="AQ158" i="3"/>
  <c r="AQ149" i="3"/>
  <c r="AQ152" i="3"/>
  <c r="AQ146" i="3"/>
  <c r="AQ155" i="3"/>
  <c r="AP149" i="3"/>
  <c r="AP158" i="3"/>
  <c r="AP143" i="3"/>
  <c r="AP152" i="3"/>
  <c r="AP146" i="3"/>
  <c r="AP155" i="3"/>
  <c r="AP161" i="3"/>
  <c r="AO143" i="3"/>
  <c r="AO158" i="3"/>
  <c r="AO149" i="3"/>
  <c r="AO155" i="3"/>
  <c r="AO152" i="3"/>
  <c r="AO146" i="3"/>
  <c r="AO161" i="3"/>
  <c r="AN143" i="3"/>
  <c r="AN149" i="3"/>
  <c r="AN152" i="3"/>
  <c r="AN161" i="3"/>
  <c r="AN155" i="3"/>
  <c r="AN158" i="3"/>
  <c r="AN146" i="3"/>
  <c r="AM146" i="3"/>
  <c r="AM152" i="3"/>
  <c r="AM143" i="3"/>
  <c r="AM158" i="3"/>
  <c r="AM161" i="3"/>
  <c r="AM155" i="3"/>
  <c r="AM149" i="3"/>
  <c r="AL146" i="3"/>
  <c r="AL152" i="3"/>
  <c r="AL143" i="3"/>
  <c r="AL158" i="3"/>
  <c r="AL161" i="3"/>
  <c r="AL155" i="3"/>
  <c r="AL149" i="3"/>
  <c r="AK149" i="3"/>
  <c r="AK161" i="3"/>
  <c r="AK155" i="3"/>
  <c r="AK143" i="3"/>
  <c r="AK158" i="3"/>
  <c r="AK152" i="3"/>
  <c r="AK146" i="3"/>
  <c r="AJ161" i="3"/>
  <c r="AJ149" i="3"/>
  <c r="AJ155" i="3"/>
  <c r="AJ143" i="3"/>
  <c r="AJ146" i="3"/>
  <c r="AJ158" i="3"/>
  <c r="AJ152" i="3"/>
  <c r="AI158" i="3"/>
  <c r="AI152" i="3"/>
  <c r="AI143" i="3"/>
  <c r="AI161" i="3"/>
  <c r="AI155" i="3"/>
  <c r="AI146" i="3"/>
  <c r="AI149" i="3"/>
  <c r="AH146" i="3"/>
  <c r="AH152" i="3"/>
  <c r="AH158" i="3"/>
  <c r="AH149" i="3"/>
  <c r="AH155" i="3"/>
  <c r="AH161" i="3"/>
  <c r="AH143" i="3"/>
  <c r="AG158" i="3"/>
  <c r="AG152" i="3"/>
  <c r="AG161" i="3"/>
  <c r="AG149" i="3"/>
  <c r="AG155" i="3"/>
  <c r="AG143" i="3"/>
  <c r="AG146" i="3"/>
  <c r="AF158" i="3"/>
  <c r="AF152" i="3"/>
  <c r="AF161" i="3"/>
  <c r="AF149" i="3"/>
  <c r="AF143" i="3"/>
  <c r="AF146" i="3"/>
  <c r="AF155" i="3"/>
  <c r="AE143" i="3"/>
  <c r="AE155" i="3"/>
  <c r="AE146" i="3"/>
  <c r="AE161" i="3"/>
  <c r="AE158" i="3"/>
  <c r="AE152" i="3"/>
  <c r="AE149" i="3"/>
  <c r="AD146" i="3"/>
  <c r="AD155" i="3"/>
  <c r="AD143" i="3"/>
  <c r="AD161" i="3"/>
  <c r="AD158" i="3"/>
  <c r="AD149" i="3"/>
  <c r="AD152" i="3"/>
  <c r="AC152" i="3"/>
  <c r="AC149" i="3"/>
  <c r="AC155" i="3"/>
  <c r="AC158" i="3"/>
  <c r="AC146" i="3"/>
  <c r="AC161" i="3"/>
  <c r="AC143" i="3"/>
  <c r="AB146" i="3"/>
  <c r="AB149" i="3"/>
  <c r="AB143" i="3"/>
  <c r="AB161" i="3"/>
  <c r="AB158" i="3"/>
  <c r="AB155" i="3"/>
  <c r="AB152" i="3"/>
  <c r="AA143" i="3"/>
  <c r="AA149" i="3"/>
  <c r="AA158" i="3"/>
  <c r="AA146" i="3"/>
  <c r="AA152" i="3"/>
  <c r="AA161" i="3"/>
  <c r="AA155" i="3"/>
  <c r="Z149" i="3"/>
  <c r="Z143" i="3"/>
  <c r="Z158" i="3"/>
  <c r="Z161" i="3"/>
  <c r="Z146" i="3"/>
  <c r="Z155" i="3"/>
  <c r="Z152" i="3"/>
  <c r="Y161" i="3"/>
  <c r="Y152" i="3"/>
  <c r="Y146" i="3"/>
  <c r="Y143" i="3"/>
  <c r="Y149" i="3"/>
  <c r="Y158" i="3"/>
  <c r="Y155" i="3"/>
  <c r="X146" i="3"/>
  <c r="X152" i="3"/>
  <c r="X161" i="3"/>
  <c r="X158" i="3"/>
  <c r="X143" i="3"/>
  <c r="X149" i="3"/>
  <c r="X155" i="3"/>
  <c r="W149" i="3"/>
  <c r="W158" i="3"/>
  <c r="W155" i="3"/>
  <c r="W143" i="3"/>
  <c r="W161" i="3"/>
  <c r="W146" i="3"/>
  <c r="W152" i="3"/>
  <c r="V155" i="3"/>
  <c r="V149" i="3"/>
  <c r="V158" i="3"/>
  <c r="V146" i="3"/>
  <c r="V161" i="3"/>
  <c r="V143" i="3"/>
  <c r="V152" i="3"/>
  <c r="U155" i="3"/>
  <c r="U149" i="3"/>
  <c r="U158" i="3"/>
  <c r="U146" i="3"/>
  <c r="U161" i="3"/>
  <c r="U152" i="3"/>
  <c r="U143" i="3"/>
  <c r="T155" i="3"/>
  <c r="T152" i="3"/>
  <c r="T143" i="3"/>
  <c r="T161" i="3"/>
  <c r="T158" i="3"/>
  <c r="T149" i="3"/>
  <c r="T146" i="3"/>
  <c r="S152" i="3"/>
  <c r="S143" i="3"/>
  <c r="S161" i="3"/>
  <c r="S158" i="3"/>
  <c r="S155" i="3"/>
  <c r="S149" i="3"/>
  <c r="S146" i="3"/>
  <c r="R152" i="3"/>
  <c r="R149" i="3"/>
  <c r="R146" i="3"/>
  <c r="R161" i="3"/>
  <c r="R155" i="3"/>
  <c r="R143" i="3"/>
  <c r="R158" i="3"/>
  <c r="Q149" i="3"/>
  <c r="Q146" i="3"/>
  <c r="Q161" i="3"/>
  <c r="Q155" i="3"/>
  <c r="Q143" i="3"/>
  <c r="Q158" i="3"/>
  <c r="Q152" i="3"/>
  <c r="P155" i="3"/>
  <c r="P161" i="3"/>
  <c r="P146" i="3"/>
  <c r="P152" i="3"/>
  <c r="P143" i="3"/>
  <c r="P149" i="3"/>
  <c r="P158" i="3"/>
  <c r="O149" i="3"/>
  <c r="O155" i="3"/>
  <c r="O158" i="3"/>
  <c r="O143" i="3"/>
  <c r="O152" i="3"/>
  <c r="O161" i="3"/>
  <c r="O146" i="3"/>
  <c r="N146" i="3"/>
  <c r="N161" i="3"/>
  <c r="N149" i="3"/>
  <c r="N155" i="3"/>
  <c r="N143" i="3"/>
  <c r="N158" i="3"/>
  <c r="N152" i="3"/>
  <c r="M149" i="3"/>
  <c r="M155" i="3"/>
  <c r="M143" i="3"/>
  <c r="M161" i="3"/>
  <c r="M158" i="3"/>
  <c r="M152" i="3"/>
  <c r="M146" i="3"/>
  <c r="L152" i="3"/>
  <c r="L158" i="3"/>
  <c r="L146" i="3"/>
  <c r="L155" i="3"/>
  <c r="L149" i="3"/>
  <c r="L143" i="3"/>
  <c r="L161" i="3"/>
  <c r="K158" i="3"/>
  <c r="K146" i="3"/>
  <c r="K155" i="3"/>
  <c r="K149" i="3"/>
  <c r="K161" i="3"/>
  <c r="K152" i="3"/>
  <c r="K143" i="3"/>
  <c r="J152" i="3"/>
  <c r="J155" i="3"/>
  <c r="J158" i="3"/>
  <c r="J161" i="3"/>
  <c r="J146" i="3"/>
  <c r="J149" i="3"/>
  <c r="J143" i="3"/>
  <c r="I161" i="3"/>
  <c r="I149" i="3"/>
  <c r="I143" i="3"/>
  <c r="I152" i="3"/>
  <c r="I146" i="3"/>
  <c r="I158" i="3"/>
  <c r="I155" i="3"/>
  <c r="H149" i="3"/>
  <c r="H143" i="3"/>
  <c r="H161" i="3"/>
  <c r="H146" i="3"/>
  <c r="H152" i="3"/>
  <c r="H155" i="3"/>
  <c r="H158" i="3"/>
  <c r="AQ133" i="3"/>
  <c r="AQ221" i="3"/>
  <c r="AQ118" i="3"/>
  <c r="AQ121" i="3"/>
  <c r="AQ127" i="3"/>
  <c r="AQ136" i="3"/>
  <c r="AQ130" i="3"/>
  <c r="AQ217" i="3"/>
  <c r="AQ225" i="3"/>
  <c r="AQ124" i="3"/>
  <c r="AP121" i="3"/>
  <c r="AP221" i="3"/>
  <c r="AP124" i="3"/>
  <c r="AP225" i="3"/>
  <c r="AP127" i="3"/>
  <c r="AP133" i="3"/>
  <c r="AP217" i="3"/>
  <c r="AP130" i="3"/>
  <c r="AP136" i="3"/>
  <c r="AP118" i="3"/>
  <c r="AO221" i="3"/>
  <c r="AO127" i="3"/>
  <c r="AO121" i="3"/>
  <c r="AO225" i="3"/>
  <c r="AO133" i="3"/>
  <c r="AO217" i="3"/>
  <c r="AO136" i="3"/>
  <c r="AO118" i="3"/>
  <c r="AO124" i="3"/>
  <c r="AO130" i="3"/>
  <c r="AN136" i="3"/>
  <c r="AN225" i="3"/>
  <c r="AN124" i="3"/>
  <c r="AN130" i="3"/>
  <c r="AN118" i="3"/>
  <c r="AN133" i="3"/>
  <c r="AN221" i="3"/>
  <c r="AN127" i="3"/>
  <c r="AN217" i="3"/>
  <c r="AN121" i="3"/>
  <c r="AM130" i="3"/>
  <c r="AM225" i="3"/>
  <c r="AM217" i="3"/>
  <c r="AM127" i="3"/>
  <c r="AM121" i="3"/>
  <c r="AM221" i="3"/>
  <c r="AM133" i="3"/>
  <c r="AM118" i="3"/>
  <c r="AM124" i="3"/>
  <c r="AM136" i="3"/>
  <c r="AL225" i="3"/>
  <c r="AL118" i="3"/>
  <c r="AL121" i="3"/>
  <c r="AL133" i="3"/>
  <c r="AL217" i="3"/>
  <c r="AL221" i="3"/>
  <c r="AL127" i="3"/>
  <c r="AL136" i="3"/>
  <c r="AL130" i="3"/>
  <c r="AL124" i="3"/>
  <c r="AK225" i="3"/>
  <c r="AK217" i="3"/>
  <c r="AK130" i="3"/>
  <c r="AK133" i="3"/>
  <c r="AK121" i="3"/>
  <c r="AK124" i="3"/>
  <c r="AK221" i="3"/>
  <c r="AK118" i="3"/>
  <c r="AK127" i="3"/>
  <c r="AK136" i="3"/>
  <c r="AJ127" i="3"/>
  <c r="AJ136" i="3"/>
  <c r="AJ133" i="3"/>
  <c r="AJ217" i="3"/>
  <c r="AJ221" i="3"/>
  <c r="AJ225" i="3"/>
  <c r="AJ124" i="3"/>
  <c r="AJ121" i="3"/>
  <c r="AJ130" i="3"/>
  <c r="AJ118" i="3"/>
  <c r="AI133" i="3"/>
  <c r="AI136" i="3"/>
  <c r="AI127" i="3"/>
  <c r="AI225" i="3"/>
  <c r="AI221" i="3"/>
  <c r="AI217" i="3"/>
  <c r="AI124" i="3"/>
  <c r="AI121" i="3"/>
  <c r="AI130" i="3"/>
  <c r="AI118" i="3"/>
  <c r="AH130" i="3"/>
  <c r="AH118" i="3"/>
  <c r="AH124" i="3"/>
  <c r="AH221" i="3"/>
  <c r="AH127" i="3"/>
  <c r="AH133" i="3"/>
  <c r="AH225" i="3"/>
  <c r="AH136" i="3"/>
  <c r="AH217" i="3"/>
  <c r="AH121" i="3"/>
  <c r="AG118" i="3"/>
  <c r="AG127" i="3"/>
  <c r="AG221" i="3"/>
  <c r="AG133" i="3"/>
  <c r="AG225" i="3"/>
  <c r="AG124" i="3"/>
  <c r="AG136" i="3"/>
  <c r="AG217" i="3"/>
  <c r="AG121" i="3"/>
  <c r="AG130" i="3"/>
  <c r="AF121" i="3"/>
  <c r="AF124" i="3"/>
  <c r="AF221" i="3"/>
  <c r="AF133" i="3"/>
  <c r="AF225" i="3"/>
  <c r="AF130" i="3"/>
  <c r="AF127" i="3"/>
  <c r="AF217" i="3"/>
  <c r="AF118" i="3"/>
  <c r="AF136" i="3"/>
  <c r="AE130" i="3"/>
  <c r="AE221" i="3"/>
  <c r="AE133" i="3"/>
  <c r="AE121" i="3"/>
  <c r="AE225" i="3"/>
  <c r="AE118" i="3"/>
  <c r="AE217" i="3"/>
  <c r="AE127" i="3"/>
  <c r="AE124" i="3"/>
  <c r="AE136" i="3"/>
  <c r="AD127" i="3"/>
  <c r="AD136" i="3"/>
  <c r="AD124" i="3"/>
  <c r="AD121" i="3"/>
  <c r="AD217" i="3"/>
  <c r="AD133" i="3"/>
  <c r="AD225" i="3"/>
  <c r="AD118" i="3"/>
  <c r="AD130" i="3"/>
  <c r="AD221" i="3"/>
  <c r="AC127" i="3"/>
  <c r="AC136" i="3"/>
  <c r="AC124" i="3"/>
  <c r="AC121" i="3"/>
  <c r="AC217" i="3"/>
  <c r="AC118" i="3"/>
  <c r="AC133" i="3"/>
  <c r="AC225" i="3"/>
  <c r="AC130" i="3"/>
  <c r="AC221" i="3"/>
  <c r="AB133" i="3"/>
  <c r="AB221" i="3"/>
  <c r="AB121" i="3"/>
  <c r="AB127" i="3"/>
  <c r="AB217" i="3"/>
  <c r="AB136" i="3"/>
  <c r="AB130" i="3"/>
  <c r="AB118" i="3"/>
  <c r="AB124" i="3"/>
  <c r="AB225" i="3"/>
  <c r="AA133" i="3"/>
  <c r="AA121" i="3"/>
  <c r="AA127" i="3"/>
  <c r="AA217" i="3"/>
  <c r="AA136" i="3"/>
  <c r="AA130" i="3"/>
  <c r="AA221" i="3"/>
  <c r="AA118" i="3"/>
  <c r="AA124" i="3"/>
  <c r="AA225" i="3"/>
  <c r="Z221" i="3"/>
  <c r="Z133" i="3"/>
  <c r="Z124" i="3"/>
  <c r="Z217" i="3"/>
  <c r="Z225" i="3"/>
  <c r="Z127" i="3"/>
  <c r="Z121" i="3"/>
  <c r="Z136" i="3"/>
  <c r="Z118" i="3"/>
  <c r="Z130" i="3"/>
  <c r="Y130" i="3"/>
  <c r="Y133" i="3"/>
  <c r="Y124" i="3"/>
  <c r="Y225" i="3"/>
  <c r="Y217" i="3"/>
  <c r="Y121" i="3"/>
  <c r="Y127" i="3"/>
  <c r="Y136" i="3"/>
  <c r="Y221" i="3"/>
  <c r="Y118" i="3"/>
  <c r="X225" i="3"/>
  <c r="X130" i="3"/>
  <c r="X127" i="3"/>
  <c r="X136" i="3"/>
  <c r="X217" i="3"/>
  <c r="X221" i="3"/>
  <c r="X118" i="3"/>
  <c r="X124" i="3"/>
  <c r="X121" i="3"/>
  <c r="X133" i="3"/>
  <c r="W121" i="3"/>
  <c r="W225" i="3"/>
  <c r="W133" i="3"/>
  <c r="W118" i="3"/>
  <c r="W127" i="3"/>
  <c r="W136" i="3"/>
  <c r="W217" i="3"/>
  <c r="W130" i="3"/>
  <c r="W221" i="3"/>
  <c r="W124" i="3"/>
  <c r="V133" i="3"/>
  <c r="V225" i="3"/>
  <c r="V127" i="3"/>
  <c r="V221" i="3"/>
  <c r="V124" i="3"/>
  <c r="V136" i="3"/>
  <c r="V217" i="3"/>
  <c r="V130" i="3"/>
  <c r="V118" i="3"/>
  <c r="V121" i="3"/>
  <c r="U124" i="3"/>
  <c r="U121" i="3"/>
  <c r="U118" i="3"/>
  <c r="U217" i="3"/>
  <c r="U127" i="3"/>
  <c r="U133" i="3"/>
  <c r="U225" i="3"/>
  <c r="U221" i="3"/>
  <c r="U136" i="3"/>
  <c r="U130" i="3"/>
  <c r="T121" i="3"/>
  <c r="T127" i="3"/>
  <c r="T133" i="3"/>
  <c r="T225" i="3"/>
  <c r="T217" i="3"/>
  <c r="T124" i="3"/>
  <c r="T118" i="3"/>
  <c r="T221" i="3"/>
  <c r="T136" i="3"/>
  <c r="T130" i="3"/>
  <c r="S130" i="3"/>
  <c r="S121" i="3"/>
  <c r="S136" i="3"/>
  <c r="S221" i="3"/>
  <c r="S118" i="3"/>
  <c r="S217" i="3"/>
  <c r="S124" i="3"/>
  <c r="S127" i="3"/>
  <c r="S133" i="3"/>
  <c r="S225" i="3"/>
  <c r="R130" i="3"/>
  <c r="R136" i="3"/>
  <c r="R127" i="3"/>
  <c r="R221" i="3"/>
  <c r="R121" i="3"/>
  <c r="R225" i="3"/>
  <c r="R133" i="3"/>
  <c r="R118" i="3"/>
  <c r="R217" i="3"/>
  <c r="R124" i="3"/>
  <c r="Q124" i="3"/>
  <c r="Q136" i="3"/>
  <c r="Q127" i="3"/>
  <c r="Q130" i="3"/>
  <c r="Q221" i="3"/>
  <c r="Q121" i="3"/>
  <c r="Q225" i="3"/>
  <c r="Q217" i="3"/>
  <c r="Q133" i="3"/>
  <c r="Q118" i="3"/>
  <c r="P136" i="3"/>
  <c r="P124" i="3"/>
  <c r="P133" i="3"/>
  <c r="P118" i="3"/>
  <c r="P225" i="3"/>
  <c r="P217" i="3"/>
  <c r="P221" i="3"/>
  <c r="P130" i="3"/>
  <c r="P121" i="3"/>
  <c r="P127" i="3"/>
  <c r="O127" i="3"/>
  <c r="O225" i="3"/>
  <c r="O136" i="3"/>
  <c r="O133" i="3"/>
  <c r="O118" i="3"/>
  <c r="O121" i="3"/>
  <c r="O217" i="3"/>
  <c r="O221" i="3"/>
  <c r="O130" i="3"/>
  <c r="O124" i="3"/>
  <c r="N225" i="3"/>
  <c r="N221" i="3"/>
  <c r="N130" i="3"/>
  <c r="N118" i="3"/>
  <c r="N121" i="3"/>
  <c r="N217" i="3"/>
  <c r="N133" i="3"/>
  <c r="N124" i="3"/>
  <c r="N136" i="3"/>
  <c r="N127" i="3"/>
  <c r="M225" i="3"/>
  <c r="M124" i="3"/>
  <c r="M221" i="3"/>
  <c r="M118" i="3"/>
  <c r="M121" i="3"/>
  <c r="M130" i="3"/>
  <c r="M217" i="3"/>
  <c r="M133" i="3"/>
  <c r="M136" i="3"/>
  <c r="M127" i="3"/>
  <c r="L225" i="3"/>
  <c r="L133" i="3"/>
  <c r="L221" i="3"/>
  <c r="L127" i="3"/>
  <c r="L136" i="3"/>
  <c r="L124" i="3"/>
  <c r="L217" i="3"/>
  <c r="L130" i="3"/>
  <c r="L121" i="3"/>
  <c r="L118" i="3"/>
  <c r="K121" i="3"/>
  <c r="K127" i="3"/>
  <c r="K221" i="3"/>
  <c r="K118" i="3"/>
  <c r="K124" i="3"/>
  <c r="K136" i="3"/>
  <c r="K217" i="3"/>
  <c r="K130" i="3"/>
  <c r="K225" i="3"/>
  <c r="K133" i="3"/>
  <c r="J217" i="3"/>
  <c r="J229" i="3"/>
  <c r="J133" i="3"/>
  <c r="J136" i="3"/>
  <c r="J124" i="3"/>
  <c r="J130" i="3"/>
  <c r="J221" i="3"/>
  <c r="J118" i="3"/>
  <c r="J121" i="3"/>
  <c r="J127" i="3"/>
  <c r="J225" i="3"/>
  <c r="I225" i="3"/>
  <c r="I130" i="3"/>
  <c r="I217" i="3"/>
  <c r="I127" i="3"/>
  <c r="I133" i="3"/>
  <c r="I229" i="3"/>
  <c r="I136" i="3"/>
  <c r="I124" i="3"/>
  <c r="I118" i="3"/>
  <c r="I121" i="3"/>
  <c r="I221" i="3"/>
  <c r="H124" i="3"/>
  <c r="H118" i="3"/>
  <c r="H225" i="3"/>
  <c r="H217" i="3"/>
  <c r="H229" i="3"/>
  <c r="H130" i="3"/>
  <c r="H136" i="3"/>
  <c r="H121" i="3"/>
  <c r="H221" i="3"/>
  <c r="H127" i="3"/>
  <c r="H133" i="3"/>
  <c r="J16" i="3"/>
  <c r="I6" i="3"/>
  <c r="AQ53" i="3"/>
  <c r="AQ52" i="3" s="1"/>
  <c r="AQ38" i="3"/>
  <c r="AQ37" i="3" s="1"/>
  <c r="AQ23" i="3"/>
  <c r="AQ22" i="3" s="1"/>
  <c r="AP53" i="3"/>
  <c r="AP52" i="3" s="1"/>
  <c r="AP23" i="3"/>
  <c r="AP22" i="3" s="1"/>
  <c r="AP38" i="3"/>
  <c r="AP37" i="3" s="1"/>
  <c r="AO53" i="3"/>
  <c r="AO52" i="3" s="1"/>
  <c r="AO23" i="3"/>
  <c r="AO22" i="3" s="1"/>
  <c r="AO38" i="3"/>
  <c r="AO37" i="3" s="1"/>
  <c r="AN23" i="3"/>
  <c r="AN22" i="3" s="1"/>
  <c r="AN53" i="3"/>
  <c r="AN52" i="3" s="1"/>
  <c r="AN38" i="3"/>
  <c r="AN37" i="3" s="1"/>
  <c r="AM23" i="3"/>
  <c r="AM22" i="3" s="1"/>
  <c r="AM53" i="3"/>
  <c r="AM52" i="3" s="1"/>
  <c r="AM38" i="3"/>
  <c r="AM37" i="3" s="1"/>
  <c r="AL53" i="3"/>
  <c r="AL52" i="3" s="1"/>
  <c r="AL38" i="3"/>
  <c r="AL37" i="3" s="1"/>
  <c r="AL23" i="3"/>
  <c r="AL22" i="3" s="1"/>
  <c r="AK38" i="3"/>
  <c r="AK37" i="3" s="1"/>
  <c r="AK53" i="3"/>
  <c r="AK52" i="3" s="1"/>
  <c r="AK23" i="3"/>
  <c r="AK22" i="3" s="1"/>
  <c r="AJ53" i="3"/>
  <c r="AJ52" i="3" s="1"/>
  <c r="AJ38" i="3"/>
  <c r="AJ37" i="3" s="1"/>
  <c r="AJ23" i="3"/>
  <c r="AJ22" i="3" s="1"/>
  <c r="AI23" i="3"/>
  <c r="AI22" i="3" s="1"/>
  <c r="AI38" i="3"/>
  <c r="AI37" i="3" s="1"/>
  <c r="AI53" i="3"/>
  <c r="AI52" i="3" s="1"/>
  <c r="AH38" i="3"/>
  <c r="AH37" i="3" s="1"/>
  <c r="AH53" i="3"/>
  <c r="AH52" i="3" s="1"/>
  <c r="AH23" i="3"/>
  <c r="AH22" i="3" s="1"/>
  <c r="AG38" i="3"/>
  <c r="AG37" i="3" s="1"/>
  <c r="AG53" i="3"/>
  <c r="AG52" i="3" s="1"/>
  <c r="AG23" i="3"/>
  <c r="AG22" i="3" s="1"/>
  <c r="AF38" i="3"/>
  <c r="AF37" i="3" s="1"/>
  <c r="AF23" i="3"/>
  <c r="AF22" i="3" s="1"/>
  <c r="AF53" i="3"/>
  <c r="AF52" i="3" s="1"/>
  <c r="AE38" i="3"/>
  <c r="AE37" i="3" s="1"/>
  <c r="AE53" i="3"/>
  <c r="AE52" i="3" s="1"/>
  <c r="AE23" i="3"/>
  <c r="AE22" i="3" s="1"/>
  <c r="AD38" i="3"/>
  <c r="AD37" i="3" s="1"/>
  <c r="AD53" i="3"/>
  <c r="AD52" i="3" s="1"/>
  <c r="AD23" i="3"/>
  <c r="AD22" i="3" s="1"/>
  <c r="AC38" i="3"/>
  <c r="AC37" i="3" s="1"/>
  <c r="AC53" i="3"/>
  <c r="AC52" i="3" s="1"/>
  <c r="AC23" i="3"/>
  <c r="AC22" i="3" s="1"/>
  <c r="AB53" i="3"/>
  <c r="AB52" i="3" s="1"/>
  <c r="AB23" i="3"/>
  <c r="AB22" i="3" s="1"/>
  <c r="AB38" i="3"/>
  <c r="AB37" i="3" s="1"/>
  <c r="AA23" i="3"/>
  <c r="AA22" i="3" s="1"/>
  <c r="AA38" i="3"/>
  <c r="AA37" i="3" s="1"/>
  <c r="AA53" i="3"/>
  <c r="AA52" i="3" s="1"/>
  <c r="Z53" i="3"/>
  <c r="Z52" i="3" s="1"/>
  <c r="Z38" i="3"/>
  <c r="Z37" i="3" s="1"/>
  <c r="Z23" i="3"/>
  <c r="Z22" i="3" s="1"/>
  <c r="Y53" i="3"/>
  <c r="Y52" i="3" s="1"/>
  <c r="Y38" i="3"/>
  <c r="Y37" i="3" s="1"/>
  <c r="Y23" i="3"/>
  <c r="Y22" i="3" s="1"/>
  <c r="X23" i="3"/>
  <c r="X22" i="3" s="1"/>
  <c r="X53" i="3"/>
  <c r="X52" i="3" s="1"/>
  <c r="X38" i="3"/>
  <c r="X37" i="3" s="1"/>
  <c r="W38" i="3"/>
  <c r="W37" i="3" s="1"/>
  <c r="W53" i="3"/>
  <c r="W52" i="3" s="1"/>
  <c r="W23" i="3"/>
  <c r="W22" i="3" s="1"/>
  <c r="V38" i="3"/>
  <c r="V37" i="3" s="1"/>
  <c r="V53" i="3"/>
  <c r="V52" i="3" s="1"/>
  <c r="V23" i="3"/>
  <c r="V22" i="3" s="1"/>
  <c r="U38" i="3"/>
  <c r="U37" i="3" s="1"/>
  <c r="U53" i="3"/>
  <c r="U52" i="3" s="1"/>
  <c r="U23" i="3"/>
  <c r="U22" i="3" s="1"/>
  <c r="T38" i="3"/>
  <c r="T37" i="3" s="1"/>
  <c r="T23" i="3"/>
  <c r="T22" i="3" s="1"/>
  <c r="T53" i="3"/>
  <c r="T52" i="3" s="1"/>
  <c r="S38" i="3"/>
  <c r="S37" i="3" s="1"/>
  <c r="S23" i="3"/>
  <c r="S22" i="3" s="1"/>
  <c r="S53" i="3"/>
  <c r="S52" i="3" s="1"/>
  <c r="R38" i="3"/>
  <c r="R37" i="3" s="1"/>
  <c r="R23" i="3"/>
  <c r="R22" i="3" s="1"/>
  <c r="R53" i="3"/>
  <c r="R52" i="3" s="1"/>
  <c r="Q38" i="3"/>
  <c r="Q37" i="3" s="1"/>
  <c r="Q23" i="3"/>
  <c r="Q22" i="3" s="1"/>
  <c r="Q53" i="3"/>
  <c r="Q52" i="3" s="1"/>
  <c r="P38" i="3"/>
  <c r="P37" i="3" s="1"/>
  <c r="P53" i="3"/>
  <c r="P52" i="3" s="1"/>
  <c r="P23" i="3"/>
  <c r="P22" i="3" s="1"/>
  <c r="O38" i="3"/>
  <c r="O37" i="3" s="1"/>
  <c r="O53" i="3"/>
  <c r="O52" i="3" s="1"/>
  <c r="O23" i="3"/>
  <c r="O22" i="3" s="1"/>
  <c r="N38" i="3"/>
  <c r="N37" i="3" s="1"/>
  <c r="N53" i="3"/>
  <c r="N52" i="3" s="1"/>
  <c r="N23" i="3"/>
  <c r="N22" i="3" s="1"/>
  <c r="M38" i="3"/>
  <c r="M37" i="3" s="1"/>
  <c r="M53" i="3"/>
  <c r="M52" i="3" s="1"/>
  <c r="M23" i="3"/>
  <c r="M22" i="3" s="1"/>
  <c r="L38" i="3"/>
  <c r="L37" i="3" s="1"/>
  <c r="L53" i="3"/>
  <c r="L52" i="3" s="1"/>
  <c r="L23" i="3"/>
  <c r="L22" i="3" s="1"/>
  <c r="K38" i="3"/>
  <c r="K37" i="3" s="1"/>
  <c r="K53" i="3"/>
  <c r="K52" i="3" s="1"/>
  <c r="K23" i="3"/>
  <c r="K22" i="3" s="1"/>
  <c r="J38" i="3"/>
  <c r="J37" i="3" s="1"/>
  <c r="J23" i="3"/>
  <c r="J22" i="3" s="1"/>
  <c r="J53" i="3"/>
  <c r="J52" i="3" s="1"/>
  <c r="I23" i="3"/>
  <c r="I22" i="3" s="1"/>
  <c r="I38" i="3"/>
  <c r="I37" i="3" s="1"/>
  <c r="I53" i="3"/>
  <c r="I52" i="3" s="1"/>
  <c r="H38" i="3"/>
  <c r="H37" i="3" s="1"/>
  <c r="H53" i="3"/>
  <c r="H52" i="3" s="1"/>
  <c r="H23" i="3"/>
  <c r="H22" i="3" s="1"/>
  <c r="L73" i="3" l="1"/>
  <c r="K67" i="3"/>
  <c r="AO260" i="3"/>
  <c r="AQ260" i="3"/>
  <c r="AN260" i="3"/>
  <c r="AI260" i="3"/>
  <c r="AH260" i="3"/>
  <c r="AG260" i="3"/>
  <c r="AF260" i="3"/>
  <c r="AE260" i="3"/>
  <c r="AD260" i="3"/>
  <c r="AC260" i="3"/>
  <c r="AB260" i="3"/>
  <c r="AA260" i="3"/>
  <c r="Z260" i="3"/>
  <c r="Y260" i="3"/>
  <c r="W260" i="3"/>
  <c r="V260" i="3"/>
  <c r="U260" i="3"/>
  <c r="T260" i="3"/>
  <c r="S260" i="3"/>
  <c r="R260" i="3"/>
  <c r="Q260" i="3"/>
  <c r="P260" i="3"/>
  <c r="I260" i="3"/>
  <c r="X260" i="3"/>
  <c r="O260" i="3"/>
  <c r="N260" i="3"/>
  <c r="AF260" i="4"/>
  <c r="AE260" i="4"/>
  <c r="AD260" i="4"/>
  <c r="AC260" i="4"/>
  <c r="AB260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I68" i="4"/>
  <c r="I67" i="4" s="1"/>
  <c r="I6" i="4"/>
  <c r="H6" i="4"/>
  <c r="H68" i="4"/>
  <c r="H67" i="4" s="1"/>
  <c r="O260" i="4"/>
  <c r="N260" i="4"/>
  <c r="M260" i="4"/>
  <c r="L260" i="4"/>
  <c r="K260" i="4"/>
  <c r="J260" i="4"/>
  <c r="I260" i="4"/>
  <c r="H260" i="4"/>
  <c r="AP260" i="3"/>
  <c r="H164" i="3"/>
  <c r="H163" i="3" s="1"/>
  <c r="H189" i="3"/>
  <c r="H188" i="3" s="1"/>
  <c r="H215" i="3"/>
  <c r="H214" i="3" s="1"/>
  <c r="H5" i="3"/>
  <c r="H139" i="3"/>
  <c r="H138" i="3" s="1"/>
  <c r="H114" i="3"/>
  <c r="H113" i="3" s="1"/>
  <c r="K167" i="3"/>
  <c r="K166" i="3" s="1"/>
  <c r="K202" i="3"/>
  <c r="K201" i="3" s="1"/>
  <c r="K249" i="3"/>
  <c r="K248" i="3" s="1"/>
  <c r="J249" i="3"/>
  <c r="J248" i="3" s="1"/>
  <c r="J117" i="3"/>
  <c r="J116" i="3" s="1"/>
  <c r="J232" i="3"/>
  <c r="J231" i="3" s="1"/>
  <c r="J167" i="3"/>
  <c r="J166" i="3" s="1"/>
  <c r="J202" i="3"/>
  <c r="J201" i="3" s="1"/>
  <c r="J66" i="3"/>
  <c r="J142" i="3"/>
  <c r="J141" i="3" s="1"/>
  <c r="I232" i="3"/>
  <c r="I231" i="3" s="1"/>
  <c r="I142" i="3"/>
  <c r="I141" i="3" s="1"/>
  <c r="I167" i="3"/>
  <c r="I166" i="3" s="1"/>
  <c r="I66" i="3"/>
  <c r="I117" i="3"/>
  <c r="I116" i="3" s="1"/>
  <c r="I202" i="3"/>
  <c r="I201" i="3" s="1"/>
  <c r="I249" i="3"/>
  <c r="I248" i="3" s="1"/>
  <c r="H232" i="3"/>
  <c r="H142" i="3"/>
  <c r="H202" i="3"/>
  <c r="H201" i="3" s="1"/>
  <c r="H117" i="3"/>
  <c r="H116" i="3" s="1"/>
  <c r="H249" i="3"/>
  <c r="H248" i="3" s="1"/>
  <c r="H167" i="3"/>
  <c r="H66" i="3"/>
  <c r="AK260" i="3"/>
  <c r="AM260" i="3"/>
  <c r="AJ260" i="3"/>
  <c r="H231" i="3"/>
  <c r="AL260" i="3"/>
  <c r="H166" i="3"/>
  <c r="H141" i="3"/>
  <c r="J73" i="4"/>
  <c r="K16" i="4"/>
  <c r="J6" i="4"/>
  <c r="AQ101" i="4"/>
  <c r="AQ100" i="4" s="1"/>
  <c r="AQ51" i="4"/>
  <c r="AQ79" i="4"/>
  <c r="AQ78" i="4" s="1"/>
  <c r="AQ21" i="4"/>
  <c r="AQ90" i="4"/>
  <c r="AQ89" i="4" s="1"/>
  <c r="AQ36" i="4"/>
  <c r="AP79" i="4"/>
  <c r="AP78" i="4" s="1"/>
  <c r="AP21" i="4"/>
  <c r="AP90" i="4"/>
  <c r="AP89" i="4" s="1"/>
  <c r="AP36" i="4"/>
  <c r="AP101" i="4"/>
  <c r="AP100" i="4" s="1"/>
  <c r="AP51" i="4"/>
  <c r="AO79" i="4"/>
  <c r="AO78" i="4" s="1"/>
  <c r="AO21" i="4"/>
  <c r="AO90" i="4"/>
  <c r="AO89" i="4" s="1"/>
  <c r="AO36" i="4"/>
  <c r="AO101" i="4"/>
  <c r="AO100" i="4" s="1"/>
  <c r="AO51" i="4"/>
  <c r="AN79" i="4"/>
  <c r="AN78" i="4" s="1"/>
  <c r="AN21" i="4"/>
  <c r="AN101" i="4"/>
  <c r="AN100" i="4" s="1"/>
  <c r="AN51" i="4"/>
  <c r="AN90" i="4"/>
  <c r="AN89" i="4" s="1"/>
  <c r="AN36" i="4"/>
  <c r="AM90" i="4"/>
  <c r="AM89" i="4" s="1"/>
  <c r="AM36" i="4"/>
  <c r="AM79" i="4"/>
  <c r="AM78" i="4" s="1"/>
  <c r="AM21" i="4"/>
  <c r="AM101" i="4"/>
  <c r="AM100" i="4" s="1"/>
  <c r="AM51" i="4"/>
  <c r="AL79" i="4"/>
  <c r="AL78" i="4" s="1"/>
  <c r="AL21" i="4"/>
  <c r="AL101" i="4"/>
  <c r="AL100" i="4" s="1"/>
  <c r="AL51" i="4"/>
  <c r="AL90" i="4"/>
  <c r="AL89" i="4" s="1"/>
  <c r="AL36" i="4"/>
  <c r="AK79" i="4"/>
  <c r="AK78" i="4" s="1"/>
  <c r="AK21" i="4"/>
  <c r="AK90" i="4"/>
  <c r="AK89" i="4" s="1"/>
  <c r="AK36" i="4"/>
  <c r="AK101" i="4"/>
  <c r="AK100" i="4" s="1"/>
  <c r="AK51" i="4"/>
  <c r="AJ79" i="4"/>
  <c r="AJ78" i="4" s="1"/>
  <c r="AJ21" i="4"/>
  <c r="AJ90" i="4"/>
  <c r="AJ89" i="4" s="1"/>
  <c r="AJ36" i="4"/>
  <c r="AJ101" i="4"/>
  <c r="AJ100" i="4" s="1"/>
  <c r="AJ51" i="4"/>
  <c r="AI79" i="4"/>
  <c r="AI78" i="4" s="1"/>
  <c r="AI21" i="4"/>
  <c r="AI90" i="4"/>
  <c r="AI89" i="4" s="1"/>
  <c r="AI36" i="4"/>
  <c r="AI101" i="4"/>
  <c r="AI100" i="4" s="1"/>
  <c r="AI51" i="4"/>
  <c r="AH90" i="4"/>
  <c r="AH89" i="4" s="1"/>
  <c r="AH36" i="4"/>
  <c r="AH79" i="4"/>
  <c r="AH78" i="4" s="1"/>
  <c r="AH21" i="4"/>
  <c r="AH101" i="4"/>
  <c r="AH100" i="4" s="1"/>
  <c r="AH51" i="4"/>
  <c r="AG90" i="4"/>
  <c r="AG89" i="4" s="1"/>
  <c r="AG36" i="4"/>
  <c r="AG79" i="4"/>
  <c r="AG78" i="4" s="1"/>
  <c r="AG21" i="4"/>
  <c r="AG101" i="4"/>
  <c r="AG100" i="4" s="1"/>
  <c r="AG51" i="4"/>
  <c r="AF101" i="4"/>
  <c r="AF100" i="4" s="1"/>
  <c r="AF51" i="4"/>
  <c r="AF79" i="4"/>
  <c r="AF78" i="4" s="1"/>
  <c r="AF21" i="4"/>
  <c r="AF90" i="4"/>
  <c r="AF89" i="4" s="1"/>
  <c r="AF36" i="4"/>
  <c r="AE101" i="4"/>
  <c r="AE100" i="4" s="1"/>
  <c r="AE51" i="4"/>
  <c r="AE79" i="4"/>
  <c r="AE78" i="4" s="1"/>
  <c r="AE21" i="4"/>
  <c r="AE90" i="4"/>
  <c r="AE89" i="4" s="1"/>
  <c r="AE36" i="4"/>
  <c r="AD101" i="4"/>
  <c r="AD100" i="4" s="1"/>
  <c r="AD51" i="4"/>
  <c r="AD79" i="4"/>
  <c r="AD78" i="4" s="1"/>
  <c r="AD21" i="4"/>
  <c r="AD90" i="4"/>
  <c r="AD89" i="4" s="1"/>
  <c r="AD36" i="4"/>
  <c r="AC101" i="4"/>
  <c r="AC100" i="4" s="1"/>
  <c r="AC51" i="4"/>
  <c r="AC79" i="4"/>
  <c r="AC78" i="4" s="1"/>
  <c r="AC21" i="4"/>
  <c r="AC90" i="4"/>
  <c r="AC89" i="4" s="1"/>
  <c r="AC36" i="4"/>
  <c r="AB101" i="4"/>
  <c r="AB100" i="4" s="1"/>
  <c r="AB51" i="4"/>
  <c r="AB90" i="4"/>
  <c r="AB89" i="4" s="1"/>
  <c r="AB36" i="4"/>
  <c r="AB79" i="4"/>
  <c r="AB78" i="4" s="1"/>
  <c r="AB21" i="4"/>
  <c r="AA90" i="4"/>
  <c r="AA89" i="4" s="1"/>
  <c r="AA36" i="4"/>
  <c r="AA79" i="4"/>
  <c r="AA78" i="4" s="1"/>
  <c r="AA21" i="4"/>
  <c r="AA101" i="4"/>
  <c r="AA100" i="4" s="1"/>
  <c r="AA51" i="4"/>
  <c r="Z90" i="4"/>
  <c r="Z89" i="4" s="1"/>
  <c r="Z36" i="4"/>
  <c r="Z101" i="4"/>
  <c r="Z100" i="4" s="1"/>
  <c r="Z51" i="4"/>
  <c r="Z79" i="4"/>
  <c r="Z78" i="4" s="1"/>
  <c r="Z21" i="4"/>
  <c r="Y101" i="4"/>
  <c r="Y100" i="4" s="1"/>
  <c r="Y51" i="4"/>
  <c r="Y79" i="4"/>
  <c r="Y78" i="4" s="1"/>
  <c r="Y21" i="4"/>
  <c r="Y90" i="4"/>
  <c r="Y89" i="4" s="1"/>
  <c r="Y36" i="4"/>
  <c r="X90" i="4"/>
  <c r="X89" i="4" s="1"/>
  <c r="X36" i="4"/>
  <c r="X101" i="4"/>
  <c r="X100" i="4" s="1"/>
  <c r="X51" i="4"/>
  <c r="X79" i="4"/>
  <c r="X78" i="4" s="1"/>
  <c r="X21" i="4"/>
  <c r="W101" i="4"/>
  <c r="W100" i="4" s="1"/>
  <c r="W51" i="4"/>
  <c r="W79" i="4"/>
  <c r="W78" i="4" s="1"/>
  <c r="W21" i="4"/>
  <c r="W90" i="4"/>
  <c r="W89" i="4" s="1"/>
  <c r="W36" i="4"/>
  <c r="V101" i="4"/>
  <c r="V100" i="4" s="1"/>
  <c r="V51" i="4"/>
  <c r="V90" i="4"/>
  <c r="V89" i="4" s="1"/>
  <c r="V36" i="4"/>
  <c r="V79" i="4"/>
  <c r="V78" i="4" s="1"/>
  <c r="V21" i="4"/>
  <c r="U79" i="4"/>
  <c r="U78" i="4" s="1"/>
  <c r="U21" i="4"/>
  <c r="U101" i="4"/>
  <c r="U100" i="4" s="1"/>
  <c r="U51" i="4"/>
  <c r="U90" i="4"/>
  <c r="U89" i="4" s="1"/>
  <c r="U36" i="4"/>
  <c r="T101" i="4"/>
  <c r="T100" i="4" s="1"/>
  <c r="T51" i="4"/>
  <c r="T90" i="4"/>
  <c r="T89" i="4" s="1"/>
  <c r="T36" i="4"/>
  <c r="T79" i="4"/>
  <c r="T78" i="4" s="1"/>
  <c r="T21" i="4"/>
  <c r="S101" i="4"/>
  <c r="S100" i="4" s="1"/>
  <c r="S51" i="4"/>
  <c r="S90" i="4"/>
  <c r="S89" i="4" s="1"/>
  <c r="S36" i="4"/>
  <c r="S79" i="4"/>
  <c r="S78" i="4" s="1"/>
  <c r="S21" i="4"/>
  <c r="R101" i="4"/>
  <c r="R100" i="4" s="1"/>
  <c r="R51" i="4"/>
  <c r="R79" i="4"/>
  <c r="R78" i="4" s="1"/>
  <c r="R21" i="4"/>
  <c r="R90" i="4"/>
  <c r="R89" i="4" s="1"/>
  <c r="R36" i="4"/>
  <c r="Q101" i="4"/>
  <c r="Q100" i="4" s="1"/>
  <c r="Q51" i="4"/>
  <c r="Q79" i="4"/>
  <c r="Q78" i="4" s="1"/>
  <c r="Q21" i="4"/>
  <c r="Q90" i="4"/>
  <c r="Q89" i="4" s="1"/>
  <c r="Q36" i="4"/>
  <c r="P101" i="4"/>
  <c r="P100" i="4" s="1"/>
  <c r="P51" i="4"/>
  <c r="P79" i="4"/>
  <c r="P78" i="4" s="1"/>
  <c r="P21" i="4"/>
  <c r="P90" i="4"/>
  <c r="P89" i="4" s="1"/>
  <c r="P36" i="4"/>
  <c r="O101" i="4"/>
  <c r="O100" i="4" s="1"/>
  <c r="O51" i="4"/>
  <c r="O90" i="4"/>
  <c r="O89" i="4" s="1"/>
  <c r="O36" i="4"/>
  <c r="O79" i="4"/>
  <c r="O78" i="4" s="1"/>
  <c r="O21" i="4"/>
  <c r="N79" i="4"/>
  <c r="N78" i="4" s="1"/>
  <c r="N21" i="4"/>
  <c r="N101" i="4"/>
  <c r="N100" i="4" s="1"/>
  <c r="N51" i="4"/>
  <c r="N90" i="4"/>
  <c r="N89" i="4" s="1"/>
  <c r="N36" i="4"/>
  <c r="M79" i="4"/>
  <c r="M78" i="4" s="1"/>
  <c r="M21" i="4"/>
  <c r="M101" i="4"/>
  <c r="M100" i="4" s="1"/>
  <c r="M51" i="4"/>
  <c r="M90" i="4"/>
  <c r="M89" i="4" s="1"/>
  <c r="M36" i="4"/>
  <c r="L101" i="4"/>
  <c r="L100" i="4" s="1"/>
  <c r="L51" i="4"/>
  <c r="L79" i="4"/>
  <c r="L78" i="4" s="1"/>
  <c r="L21" i="4"/>
  <c r="L90" i="4"/>
  <c r="L89" i="4" s="1"/>
  <c r="L36" i="4"/>
  <c r="K90" i="4"/>
  <c r="K89" i="4" s="1"/>
  <c r="K36" i="4"/>
  <c r="K101" i="4"/>
  <c r="K100" i="4" s="1"/>
  <c r="K51" i="4"/>
  <c r="K79" i="4"/>
  <c r="K78" i="4" s="1"/>
  <c r="K21" i="4"/>
  <c r="J90" i="4"/>
  <c r="J89" i="4" s="1"/>
  <c r="J36" i="4"/>
  <c r="J101" i="4"/>
  <c r="J100" i="4" s="1"/>
  <c r="J51" i="4"/>
  <c r="J79" i="4"/>
  <c r="J78" i="4" s="1"/>
  <c r="J21" i="4"/>
  <c r="I79" i="4"/>
  <c r="I78" i="4" s="1"/>
  <c r="I21" i="4"/>
  <c r="I101" i="4"/>
  <c r="I100" i="4" s="1"/>
  <c r="I51" i="4"/>
  <c r="I90" i="4"/>
  <c r="I89" i="4" s="1"/>
  <c r="I36" i="4"/>
  <c r="H101" i="4"/>
  <c r="H100" i="4" s="1"/>
  <c r="H51" i="4"/>
  <c r="H90" i="4"/>
  <c r="H89" i="4" s="1"/>
  <c r="H36" i="4"/>
  <c r="H79" i="4"/>
  <c r="H78" i="4" s="1"/>
  <c r="H21" i="4"/>
  <c r="K16" i="3"/>
  <c r="J6" i="3"/>
  <c r="I114" i="3"/>
  <c r="I113" i="3" s="1"/>
  <c r="I139" i="3"/>
  <c r="I138" i="3" s="1"/>
  <c r="I164" i="3"/>
  <c r="I163" i="3" s="1"/>
  <c r="I189" i="3"/>
  <c r="I188" i="3" s="1"/>
  <c r="I215" i="3"/>
  <c r="I214" i="3" s="1"/>
  <c r="I5" i="3"/>
  <c r="AQ51" i="3"/>
  <c r="AQ101" i="3"/>
  <c r="AQ100" i="3" s="1"/>
  <c r="AQ90" i="3"/>
  <c r="AQ89" i="3" s="1"/>
  <c r="AQ36" i="3"/>
  <c r="AQ79" i="3"/>
  <c r="AQ78" i="3" s="1"/>
  <c r="AQ21" i="3"/>
  <c r="AP51" i="3"/>
  <c r="AP101" i="3"/>
  <c r="AP100" i="3" s="1"/>
  <c r="AP79" i="3"/>
  <c r="AP78" i="3" s="1"/>
  <c r="AP21" i="3"/>
  <c r="AP90" i="3"/>
  <c r="AP89" i="3" s="1"/>
  <c r="AP36" i="3"/>
  <c r="AO101" i="3"/>
  <c r="AO100" i="3" s="1"/>
  <c r="AO51" i="3"/>
  <c r="AO79" i="3"/>
  <c r="AO78" i="3" s="1"/>
  <c r="AO21" i="3"/>
  <c r="AO90" i="3"/>
  <c r="AO89" i="3" s="1"/>
  <c r="AO36" i="3"/>
  <c r="AN79" i="3"/>
  <c r="AN78" i="3" s="1"/>
  <c r="AN21" i="3"/>
  <c r="AN51" i="3"/>
  <c r="AN101" i="3"/>
  <c r="AN100" i="3" s="1"/>
  <c r="AN90" i="3"/>
  <c r="AN89" i="3" s="1"/>
  <c r="AN36" i="3"/>
  <c r="AM79" i="3"/>
  <c r="AM78" i="3" s="1"/>
  <c r="AM21" i="3"/>
  <c r="AM51" i="3"/>
  <c r="AM101" i="3"/>
  <c r="AM100" i="3" s="1"/>
  <c r="AM90" i="3"/>
  <c r="AM89" i="3" s="1"/>
  <c r="AM36" i="3"/>
  <c r="AL51" i="3"/>
  <c r="AL101" i="3"/>
  <c r="AL100" i="3" s="1"/>
  <c r="AL90" i="3"/>
  <c r="AL89" i="3" s="1"/>
  <c r="AL36" i="3"/>
  <c r="AL79" i="3"/>
  <c r="AL78" i="3" s="1"/>
  <c r="AL21" i="3"/>
  <c r="AK90" i="3"/>
  <c r="AK89" i="3" s="1"/>
  <c r="AK36" i="3"/>
  <c r="AK51" i="3"/>
  <c r="AK101" i="3"/>
  <c r="AK100" i="3" s="1"/>
  <c r="AK79" i="3"/>
  <c r="AK78" i="3" s="1"/>
  <c r="AK21" i="3"/>
  <c r="AJ51" i="3"/>
  <c r="AJ101" i="3"/>
  <c r="AJ100" i="3" s="1"/>
  <c r="AJ90" i="3"/>
  <c r="AJ89" i="3" s="1"/>
  <c r="AJ36" i="3"/>
  <c r="AJ79" i="3"/>
  <c r="AJ78" i="3" s="1"/>
  <c r="AJ21" i="3"/>
  <c r="AI79" i="3"/>
  <c r="AI78" i="3" s="1"/>
  <c r="AI21" i="3"/>
  <c r="AI90" i="3"/>
  <c r="AI89" i="3" s="1"/>
  <c r="AI36" i="3"/>
  <c r="AI51" i="3"/>
  <c r="AI101" i="3"/>
  <c r="AI100" i="3" s="1"/>
  <c r="AH90" i="3"/>
  <c r="AH89" i="3" s="1"/>
  <c r="AH36" i="3"/>
  <c r="AH51" i="3"/>
  <c r="AH101" i="3"/>
  <c r="AH100" i="3" s="1"/>
  <c r="AH79" i="3"/>
  <c r="AH78" i="3" s="1"/>
  <c r="AH21" i="3"/>
  <c r="AG90" i="3"/>
  <c r="AG89" i="3" s="1"/>
  <c r="AG36" i="3"/>
  <c r="AG51" i="3"/>
  <c r="AG101" i="3"/>
  <c r="AG100" i="3" s="1"/>
  <c r="AG79" i="3"/>
  <c r="AG78" i="3" s="1"/>
  <c r="AG21" i="3"/>
  <c r="AF90" i="3"/>
  <c r="AF89" i="3" s="1"/>
  <c r="AF36" i="3"/>
  <c r="AF79" i="3"/>
  <c r="AF78" i="3" s="1"/>
  <c r="AF21" i="3"/>
  <c r="AF51" i="3"/>
  <c r="AF101" i="3"/>
  <c r="AF100" i="3" s="1"/>
  <c r="AE90" i="3"/>
  <c r="AE89" i="3" s="1"/>
  <c r="AE36" i="3"/>
  <c r="AE51" i="3"/>
  <c r="AE101" i="3"/>
  <c r="AE100" i="3" s="1"/>
  <c r="AE79" i="3"/>
  <c r="AE78" i="3" s="1"/>
  <c r="AE21" i="3"/>
  <c r="AD90" i="3"/>
  <c r="AD89" i="3" s="1"/>
  <c r="AD36" i="3"/>
  <c r="AD101" i="3"/>
  <c r="AD100" i="3" s="1"/>
  <c r="AD51" i="3"/>
  <c r="AD79" i="3"/>
  <c r="AD78" i="3" s="1"/>
  <c r="AD21" i="3"/>
  <c r="AC90" i="3"/>
  <c r="AC89" i="3" s="1"/>
  <c r="AC36" i="3"/>
  <c r="AC101" i="3"/>
  <c r="AC100" i="3" s="1"/>
  <c r="AC51" i="3"/>
  <c r="AC79" i="3"/>
  <c r="AC78" i="3" s="1"/>
  <c r="AC21" i="3"/>
  <c r="AB101" i="3"/>
  <c r="AB100" i="3" s="1"/>
  <c r="AB51" i="3"/>
  <c r="AB79" i="3"/>
  <c r="AB78" i="3" s="1"/>
  <c r="AB21" i="3"/>
  <c r="AB90" i="3"/>
  <c r="AB89" i="3" s="1"/>
  <c r="AB36" i="3"/>
  <c r="AA79" i="3"/>
  <c r="AA78" i="3" s="1"/>
  <c r="AA21" i="3"/>
  <c r="AA90" i="3"/>
  <c r="AA89" i="3" s="1"/>
  <c r="AA36" i="3"/>
  <c r="AA101" i="3"/>
  <c r="AA100" i="3" s="1"/>
  <c r="AA51" i="3"/>
  <c r="Z101" i="3"/>
  <c r="Z100" i="3" s="1"/>
  <c r="Z51" i="3"/>
  <c r="Z90" i="3"/>
  <c r="Z89" i="3" s="1"/>
  <c r="Z36" i="3"/>
  <c r="Z79" i="3"/>
  <c r="Z78" i="3" s="1"/>
  <c r="Z21" i="3"/>
  <c r="Y101" i="3"/>
  <c r="Y100" i="3" s="1"/>
  <c r="Y51" i="3"/>
  <c r="Y90" i="3"/>
  <c r="Y89" i="3" s="1"/>
  <c r="Y36" i="3"/>
  <c r="Y79" i="3"/>
  <c r="Y78" i="3" s="1"/>
  <c r="Y21" i="3"/>
  <c r="X79" i="3"/>
  <c r="X78" i="3" s="1"/>
  <c r="X21" i="3"/>
  <c r="X101" i="3"/>
  <c r="X100" i="3" s="1"/>
  <c r="X51" i="3"/>
  <c r="X90" i="3"/>
  <c r="X89" i="3" s="1"/>
  <c r="X36" i="3"/>
  <c r="W90" i="3"/>
  <c r="W89" i="3" s="1"/>
  <c r="W36" i="3"/>
  <c r="W101" i="3"/>
  <c r="W100" i="3" s="1"/>
  <c r="W51" i="3"/>
  <c r="W79" i="3"/>
  <c r="W78" i="3" s="1"/>
  <c r="W21" i="3"/>
  <c r="V90" i="3"/>
  <c r="V89" i="3" s="1"/>
  <c r="V36" i="3"/>
  <c r="V101" i="3"/>
  <c r="V100" i="3" s="1"/>
  <c r="V51" i="3"/>
  <c r="V79" i="3"/>
  <c r="V78" i="3" s="1"/>
  <c r="V21" i="3"/>
  <c r="U90" i="3"/>
  <c r="U89" i="3" s="1"/>
  <c r="U36" i="3"/>
  <c r="U101" i="3"/>
  <c r="U100" i="3" s="1"/>
  <c r="U51" i="3"/>
  <c r="U79" i="3"/>
  <c r="U78" i="3" s="1"/>
  <c r="U21" i="3"/>
  <c r="T90" i="3"/>
  <c r="T89" i="3" s="1"/>
  <c r="T36" i="3"/>
  <c r="T79" i="3"/>
  <c r="T78" i="3" s="1"/>
  <c r="T21" i="3"/>
  <c r="T101" i="3"/>
  <c r="T100" i="3" s="1"/>
  <c r="T51" i="3"/>
  <c r="S90" i="3"/>
  <c r="S89" i="3" s="1"/>
  <c r="S36" i="3"/>
  <c r="S79" i="3"/>
  <c r="S78" i="3" s="1"/>
  <c r="S21" i="3"/>
  <c r="S101" i="3"/>
  <c r="S100" i="3" s="1"/>
  <c r="S51" i="3"/>
  <c r="R90" i="3"/>
  <c r="R89" i="3" s="1"/>
  <c r="R36" i="3"/>
  <c r="R79" i="3"/>
  <c r="R78" i="3" s="1"/>
  <c r="R21" i="3"/>
  <c r="R101" i="3"/>
  <c r="R100" i="3" s="1"/>
  <c r="R51" i="3"/>
  <c r="Q90" i="3"/>
  <c r="Q89" i="3" s="1"/>
  <c r="Q36" i="3"/>
  <c r="Q79" i="3"/>
  <c r="Q78" i="3" s="1"/>
  <c r="Q21" i="3"/>
  <c r="Q101" i="3"/>
  <c r="Q100" i="3" s="1"/>
  <c r="Q51" i="3"/>
  <c r="P90" i="3"/>
  <c r="P89" i="3" s="1"/>
  <c r="P36" i="3"/>
  <c r="P101" i="3"/>
  <c r="P100" i="3" s="1"/>
  <c r="P51" i="3"/>
  <c r="P79" i="3"/>
  <c r="P78" i="3" s="1"/>
  <c r="P21" i="3"/>
  <c r="O90" i="3"/>
  <c r="O89" i="3" s="1"/>
  <c r="O36" i="3"/>
  <c r="O101" i="3"/>
  <c r="O100" i="3" s="1"/>
  <c r="O51" i="3"/>
  <c r="O79" i="3"/>
  <c r="O78" i="3" s="1"/>
  <c r="O21" i="3"/>
  <c r="N90" i="3"/>
  <c r="N89" i="3" s="1"/>
  <c r="N36" i="3"/>
  <c r="N101" i="3"/>
  <c r="N100" i="3" s="1"/>
  <c r="N51" i="3"/>
  <c r="N79" i="3"/>
  <c r="N78" i="3" s="1"/>
  <c r="N21" i="3"/>
  <c r="M90" i="3"/>
  <c r="M89" i="3" s="1"/>
  <c r="M36" i="3"/>
  <c r="M101" i="3"/>
  <c r="M100" i="3" s="1"/>
  <c r="M51" i="3"/>
  <c r="M79" i="3"/>
  <c r="M78" i="3" s="1"/>
  <c r="M21" i="3"/>
  <c r="L90" i="3"/>
  <c r="L89" i="3" s="1"/>
  <c r="L36" i="3"/>
  <c r="L101" i="3"/>
  <c r="L100" i="3" s="1"/>
  <c r="L51" i="3"/>
  <c r="L79" i="3"/>
  <c r="L78" i="3" s="1"/>
  <c r="L21" i="3"/>
  <c r="K90" i="3"/>
  <c r="K89" i="3" s="1"/>
  <c r="K36" i="3"/>
  <c r="K101" i="3"/>
  <c r="K100" i="3" s="1"/>
  <c r="K51" i="3"/>
  <c r="K79" i="3"/>
  <c r="K78" i="3" s="1"/>
  <c r="K21" i="3"/>
  <c r="J90" i="3"/>
  <c r="J89" i="3" s="1"/>
  <c r="J36" i="3"/>
  <c r="J79" i="3"/>
  <c r="J78" i="3" s="1"/>
  <c r="J21" i="3"/>
  <c r="J101" i="3"/>
  <c r="J100" i="3" s="1"/>
  <c r="J51" i="3"/>
  <c r="I79" i="3"/>
  <c r="I78" i="3" s="1"/>
  <c r="I21" i="3"/>
  <c r="I90" i="3"/>
  <c r="I89" i="3" s="1"/>
  <c r="I36" i="3"/>
  <c r="I101" i="3"/>
  <c r="I100" i="3" s="1"/>
  <c r="I51" i="3"/>
  <c r="H90" i="3"/>
  <c r="H89" i="3" s="1"/>
  <c r="H36" i="3"/>
  <c r="H101" i="3"/>
  <c r="H100" i="3" s="1"/>
  <c r="H51" i="3"/>
  <c r="H79" i="3"/>
  <c r="H78" i="3" s="1"/>
  <c r="H21" i="3"/>
  <c r="K66" i="3" l="1"/>
  <c r="K142" i="3"/>
  <c r="K141" i="3" s="1"/>
  <c r="K232" i="3"/>
  <c r="K231" i="3" s="1"/>
  <c r="K117" i="3"/>
  <c r="K116" i="3" s="1"/>
  <c r="L67" i="3"/>
  <c r="M73" i="3"/>
  <c r="I139" i="4"/>
  <c r="I138" i="4" s="1"/>
  <c r="I164" i="4"/>
  <c r="I163" i="4" s="1"/>
  <c r="I189" i="4"/>
  <c r="I188" i="4" s="1"/>
  <c r="I215" i="4"/>
  <c r="I214" i="4" s="1"/>
  <c r="I5" i="4"/>
  <c r="I114" i="4"/>
  <c r="I113" i="4" s="1"/>
  <c r="H5" i="4"/>
  <c r="H114" i="4"/>
  <c r="H113" i="4" s="1"/>
  <c r="H139" i="4"/>
  <c r="H138" i="4" s="1"/>
  <c r="H164" i="4"/>
  <c r="H163" i="4" s="1"/>
  <c r="H189" i="4"/>
  <c r="H188" i="4" s="1"/>
  <c r="H215" i="4"/>
  <c r="H214" i="4" s="1"/>
  <c r="H117" i="4"/>
  <c r="H116" i="4" s="1"/>
  <c r="H142" i="4"/>
  <c r="H141" i="4" s="1"/>
  <c r="H167" i="4"/>
  <c r="H166" i="4" s="1"/>
  <c r="H202" i="4"/>
  <c r="H201" i="4" s="1"/>
  <c r="H232" i="4"/>
  <c r="H231" i="4" s="1"/>
  <c r="H66" i="4"/>
  <c r="H249" i="4"/>
  <c r="H248" i="4" s="1"/>
  <c r="I232" i="4"/>
  <c r="I231" i="4" s="1"/>
  <c r="I167" i="4"/>
  <c r="I166" i="4" s="1"/>
  <c r="I117" i="4"/>
  <c r="I116" i="4" s="1"/>
  <c r="I249" i="4"/>
  <c r="I248" i="4" s="1"/>
  <c r="I66" i="4"/>
  <c r="I202" i="4"/>
  <c r="I201" i="4" s="1"/>
  <c r="I142" i="4"/>
  <c r="I141" i="4" s="1"/>
  <c r="J67" i="4"/>
  <c r="K73" i="4"/>
  <c r="L16" i="4"/>
  <c r="K6" i="4"/>
  <c r="J114" i="4"/>
  <c r="J113" i="4" s="1"/>
  <c r="J139" i="4"/>
  <c r="J138" i="4" s="1"/>
  <c r="J164" i="4"/>
  <c r="J163" i="4" s="1"/>
  <c r="J189" i="4"/>
  <c r="J188" i="4" s="1"/>
  <c r="J215" i="4"/>
  <c r="J214" i="4" s="1"/>
  <c r="J5" i="4"/>
  <c r="AQ99" i="4"/>
  <c r="AQ135" i="4"/>
  <c r="AQ134" i="4" s="1"/>
  <c r="AQ160" i="4"/>
  <c r="AQ159" i="4" s="1"/>
  <c r="AQ185" i="4"/>
  <c r="AQ184" i="4" s="1"/>
  <c r="AQ211" i="4"/>
  <c r="AQ210" i="4" s="1"/>
  <c r="AQ244" i="4"/>
  <c r="AQ243" i="4" s="1"/>
  <c r="AQ258" i="4"/>
  <c r="AQ257" i="4" s="1"/>
  <c r="AQ132" i="4"/>
  <c r="AQ131" i="4" s="1"/>
  <c r="AQ157" i="4"/>
  <c r="AQ156" i="4" s="1"/>
  <c r="AQ182" i="4"/>
  <c r="AQ181" i="4" s="1"/>
  <c r="AQ198" i="4"/>
  <c r="AQ197" i="4" s="1"/>
  <c r="AQ227" i="4"/>
  <c r="AQ226" i="4" s="1"/>
  <c r="AQ50" i="4"/>
  <c r="AQ205" i="4"/>
  <c r="AQ204" i="4" s="1"/>
  <c r="AQ236" i="4"/>
  <c r="AQ235" i="4" s="1"/>
  <c r="AQ252" i="4"/>
  <c r="AQ251" i="4" s="1"/>
  <c r="AQ123" i="4"/>
  <c r="AQ122" i="4" s="1"/>
  <c r="AQ148" i="4"/>
  <c r="AQ147" i="4" s="1"/>
  <c r="AQ173" i="4"/>
  <c r="AQ172" i="4" s="1"/>
  <c r="AQ77" i="4"/>
  <c r="AQ120" i="4"/>
  <c r="AQ119" i="4" s="1"/>
  <c r="AQ145" i="4"/>
  <c r="AQ144" i="4" s="1"/>
  <c r="AQ170" i="4"/>
  <c r="AQ169" i="4" s="1"/>
  <c r="AQ192" i="4"/>
  <c r="AQ191" i="4" s="1"/>
  <c r="AQ219" i="4"/>
  <c r="AQ218" i="4" s="1"/>
  <c r="AQ20" i="4"/>
  <c r="AQ179" i="4"/>
  <c r="AQ178" i="4" s="1"/>
  <c r="AQ208" i="4"/>
  <c r="AQ207" i="4" s="1"/>
  <c r="AQ240" i="4"/>
  <c r="AQ239" i="4" s="1"/>
  <c r="AQ255" i="4"/>
  <c r="AQ254" i="4" s="1"/>
  <c r="AQ88" i="4"/>
  <c r="AQ129" i="4"/>
  <c r="AQ128" i="4" s="1"/>
  <c r="AQ154" i="4"/>
  <c r="AQ153" i="4" s="1"/>
  <c r="AQ126" i="4"/>
  <c r="AQ125" i="4" s="1"/>
  <c r="AQ151" i="4"/>
  <c r="AQ150" i="4" s="1"/>
  <c r="AQ176" i="4"/>
  <c r="AQ175" i="4" s="1"/>
  <c r="AQ195" i="4"/>
  <c r="AQ194" i="4" s="1"/>
  <c r="AQ223" i="4"/>
  <c r="AQ222" i="4" s="1"/>
  <c r="AQ35" i="4"/>
  <c r="AP123" i="4"/>
  <c r="AP122" i="4" s="1"/>
  <c r="AP148" i="4"/>
  <c r="AP147" i="4" s="1"/>
  <c r="AP173" i="4"/>
  <c r="AP172" i="4" s="1"/>
  <c r="AP205" i="4"/>
  <c r="AP204" i="4" s="1"/>
  <c r="AP236" i="4"/>
  <c r="AP235" i="4" s="1"/>
  <c r="AP252" i="4"/>
  <c r="AP251" i="4" s="1"/>
  <c r="AP77" i="4"/>
  <c r="AP120" i="4"/>
  <c r="AP119" i="4" s="1"/>
  <c r="AP145" i="4"/>
  <c r="AP144" i="4" s="1"/>
  <c r="AP170" i="4"/>
  <c r="AP169" i="4" s="1"/>
  <c r="AP192" i="4"/>
  <c r="AP191" i="4" s="1"/>
  <c r="AP219" i="4"/>
  <c r="AP218" i="4" s="1"/>
  <c r="AP20" i="4"/>
  <c r="AP88" i="4"/>
  <c r="AP129" i="4"/>
  <c r="AP128" i="4" s="1"/>
  <c r="AP154" i="4"/>
  <c r="AP153" i="4" s="1"/>
  <c r="AP179" i="4"/>
  <c r="AP178" i="4" s="1"/>
  <c r="AP208" i="4"/>
  <c r="AP207" i="4" s="1"/>
  <c r="AP240" i="4"/>
  <c r="AP239" i="4" s="1"/>
  <c r="AP255" i="4"/>
  <c r="AP254" i="4" s="1"/>
  <c r="AP126" i="4"/>
  <c r="AP125" i="4" s="1"/>
  <c r="AP151" i="4"/>
  <c r="AP150" i="4" s="1"/>
  <c r="AP176" i="4"/>
  <c r="AP175" i="4" s="1"/>
  <c r="AP195" i="4"/>
  <c r="AP194" i="4" s="1"/>
  <c r="AP223" i="4"/>
  <c r="AP222" i="4" s="1"/>
  <c r="AP35" i="4"/>
  <c r="AP135" i="4"/>
  <c r="AP134" i="4" s="1"/>
  <c r="AP160" i="4"/>
  <c r="AP159" i="4" s="1"/>
  <c r="AP185" i="4"/>
  <c r="AP184" i="4" s="1"/>
  <c r="AP211" i="4"/>
  <c r="AP210" i="4" s="1"/>
  <c r="AP244" i="4"/>
  <c r="AP243" i="4" s="1"/>
  <c r="AP258" i="4"/>
  <c r="AP257" i="4" s="1"/>
  <c r="AP99" i="4"/>
  <c r="AP132" i="4"/>
  <c r="AP131" i="4" s="1"/>
  <c r="AP157" i="4"/>
  <c r="AP156" i="4" s="1"/>
  <c r="AP182" i="4"/>
  <c r="AP181" i="4" s="1"/>
  <c r="AP198" i="4"/>
  <c r="AP197" i="4" s="1"/>
  <c r="AP227" i="4"/>
  <c r="AP226" i="4" s="1"/>
  <c r="AP50" i="4"/>
  <c r="AO123" i="4"/>
  <c r="AO122" i="4" s="1"/>
  <c r="AO148" i="4"/>
  <c r="AO147" i="4" s="1"/>
  <c r="AO173" i="4"/>
  <c r="AO172" i="4" s="1"/>
  <c r="AO205" i="4"/>
  <c r="AO204" i="4" s="1"/>
  <c r="AO236" i="4"/>
  <c r="AO235" i="4" s="1"/>
  <c r="AO252" i="4"/>
  <c r="AO251" i="4" s="1"/>
  <c r="AO77" i="4"/>
  <c r="AO120" i="4"/>
  <c r="AO119" i="4" s="1"/>
  <c r="AO145" i="4"/>
  <c r="AO144" i="4" s="1"/>
  <c r="AO170" i="4"/>
  <c r="AO169" i="4" s="1"/>
  <c r="AO192" i="4"/>
  <c r="AO191" i="4" s="1"/>
  <c r="AO219" i="4"/>
  <c r="AO218" i="4" s="1"/>
  <c r="AO20" i="4"/>
  <c r="AO179" i="4"/>
  <c r="AO178" i="4" s="1"/>
  <c r="AO208" i="4"/>
  <c r="AO207" i="4" s="1"/>
  <c r="AO240" i="4"/>
  <c r="AO239" i="4" s="1"/>
  <c r="AO255" i="4"/>
  <c r="AO254" i="4" s="1"/>
  <c r="AO88" i="4"/>
  <c r="AO129" i="4"/>
  <c r="AO128" i="4" s="1"/>
  <c r="AO154" i="4"/>
  <c r="AO153" i="4" s="1"/>
  <c r="AO126" i="4"/>
  <c r="AO125" i="4" s="1"/>
  <c r="AO151" i="4"/>
  <c r="AO150" i="4" s="1"/>
  <c r="AO176" i="4"/>
  <c r="AO175" i="4" s="1"/>
  <c r="AO195" i="4"/>
  <c r="AO194" i="4" s="1"/>
  <c r="AO223" i="4"/>
  <c r="AO222" i="4" s="1"/>
  <c r="AO35" i="4"/>
  <c r="AO99" i="4"/>
  <c r="AO135" i="4"/>
  <c r="AO134" i="4" s="1"/>
  <c r="AO160" i="4"/>
  <c r="AO159" i="4" s="1"/>
  <c r="AO185" i="4"/>
  <c r="AO184" i="4" s="1"/>
  <c r="AO211" i="4"/>
  <c r="AO210" i="4" s="1"/>
  <c r="AO244" i="4"/>
  <c r="AO243" i="4" s="1"/>
  <c r="AO258" i="4"/>
  <c r="AO257" i="4" s="1"/>
  <c r="AO132" i="4"/>
  <c r="AO131" i="4" s="1"/>
  <c r="AO157" i="4"/>
  <c r="AO156" i="4" s="1"/>
  <c r="AO182" i="4"/>
  <c r="AO181" i="4" s="1"/>
  <c r="AO198" i="4"/>
  <c r="AO197" i="4" s="1"/>
  <c r="AO227" i="4"/>
  <c r="AO226" i="4" s="1"/>
  <c r="AO50" i="4"/>
  <c r="AN123" i="4"/>
  <c r="AN122" i="4" s="1"/>
  <c r="AN148" i="4"/>
  <c r="AN147" i="4" s="1"/>
  <c r="AN173" i="4"/>
  <c r="AN172" i="4" s="1"/>
  <c r="AN205" i="4"/>
  <c r="AN204" i="4" s="1"/>
  <c r="AN236" i="4"/>
  <c r="AN235" i="4" s="1"/>
  <c r="AN252" i="4"/>
  <c r="AN251" i="4" s="1"/>
  <c r="AN77" i="4"/>
  <c r="AN120" i="4"/>
  <c r="AN119" i="4" s="1"/>
  <c r="AN145" i="4"/>
  <c r="AN144" i="4" s="1"/>
  <c r="AN170" i="4"/>
  <c r="AN169" i="4" s="1"/>
  <c r="AN192" i="4"/>
  <c r="AN191" i="4" s="1"/>
  <c r="AN219" i="4"/>
  <c r="AN218" i="4" s="1"/>
  <c r="AN20" i="4"/>
  <c r="AN135" i="4"/>
  <c r="AN134" i="4" s="1"/>
  <c r="AN160" i="4"/>
  <c r="AN159" i="4" s="1"/>
  <c r="AN185" i="4"/>
  <c r="AN184" i="4" s="1"/>
  <c r="AN211" i="4"/>
  <c r="AN210" i="4" s="1"/>
  <c r="AN244" i="4"/>
  <c r="AN243" i="4" s="1"/>
  <c r="AN258" i="4"/>
  <c r="AN257" i="4" s="1"/>
  <c r="AN99" i="4"/>
  <c r="AN132" i="4"/>
  <c r="AN131" i="4" s="1"/>
  <c r="AN157" i="4"/>
  <c r="AN156" i="4" s="1"/>
  <c r="AN182" i="4"/>
  <c r="AN181" i="4" s="1"/>
  <c r="AN198" i="4"/>
  <c r="AN197" i="4" s="1"/>
  <c r="AN227" i="4"/>
  <c r="AN226" i="4" s="1"/>
  <c r="AN50" i="4"/>
  <c r="AN129" i="4"/>
  <c r="AN128" i="4" s="1"/>
  <c r="AN154" i="4"/>
  <c r="AN153" i="4" s="1"/>
  <c r="AN179" i="4"/>
  <c r="AN178" i="4" s="1"/>
  <c r="AN208" i="4"/>
  <c r="AN207" i="4" s="1"/>
  <c r="AN240" i="4"/>
  <c r="AN239" i="4" s="1"/>
  <c r="AN255" i="4"/>
  <c r="AN254" i="4" s="1"/>
  <c r="AN88" i="4"/>
  <c r="AN126" i="4"/>
  <c r="AN125" i="4" s="1"/>
  <c r="AN151" i="4"/>
  <c r="AN150" i="4" s="1"/>
  <c r="AN176" i="4"/>
  <c r="AN175" i="4" s="1"/>
  <c r="AN195" i="4"/>
  <c r="AN194" i="4" s="1"/>
  <c r="AN223" i="4"/>
  <c r="AN222" i="4" s="1"/>
  <c r="AN35" i="4"/>
  <c r="AM179" i="4"/>
  <c r="AM178" i="4" s="1"/>
  <c r="AM208" i="4"/>
  <c r="AM207" i="4" s="1"/>
  <c r="AM240" i="4"/>
  <c r="AM239" i="4" s="1"/>
  <c r="AM255" i="4"/>
  <c r="AM254" i="4" s="1"/>
  <c r="AM88" i="4"/>
  <c r="AM129" i="4"/>
  <c r="AM128" i="4" s="1"/>
  <c r="AM154" i="4"/>
  <c r="AM153" i="4" s="1"/>
  <c r="AM126" i="4"/>
  <c r="AM125" i="4" s="1"/>
  <c r="AM151" i="4"/>
  <c r="AM150" i="4" s="1"/>
  <c r="AM176" i="4"/>
  <c r="AM175" i="4" s="1"/>
  <c r="AM195" i="4"/>
  <c r="AM194" i="4" s="1"/>
  <c r="AM223" i="4"/>
  <c r="AM222" i="4" s="1"/>
  <c r="AM35" i="4"/>
  <c r="AM123" i="4"/>
  <c r="AM122" i="4" s="1"/>
  <c r="AM148" i="4"/>
  <c r="AM147" i="4" s="1"/>
  <c r="AM173" i="4"/>
  <c r="AM172" i="4" s="1"/>
  <c r="AM77" i="4"/>
  <c r="AM205" i="4"/>
  <c r="AM204" i="4" s="1"/>
  <c r="AM236" i="4"/>
  <c r="AM235" i="4" s="1"/>
  <c r="AM252" i="4"/>
  <c r="AM251" i="4" s="1"/>
  <c r="AM120" i="4"/>
  <c r="AM119" i="4" s="1"/>
  <c r="AM145" i="4"/>
  <c r="AM144" i="4" s="1"/>
  <c r="AM170" i="4"/>
  <c r="AM169" i="4" s="1"/>
  <c r="AM192" i="4"/>
  <c r="AM191" i="4" s="1"/>
  <c r="AM219" i="4"/>
  <c r="AM218" i="4" s="1"/>
  <c r="AM20" i="4"/>
  <c r="AM99" i="4"/>
  <c r="AM135" i="4"/>
  <c r="AM134" i="4" s="1"/>
  <c r="AM160" i="4"/>
  <c r="AM159" i="4" s="1"/>
  <c r="AM185" i="4"/>
  <c r="AM184" i="4" s="1"/>
  <c r="AM211" i="4"/>
  <c r="AM210" i="4" s="1"/>
  <c r="AM244" i="4"/>
  <c r="AM243" i="4" s="1"/>
  <c r="AM258" i="4"/>
  <c r="AM257" i="4" s="1"/>
  <c r="AM132" i="4"/>
  <c r="AM131" i="4" s="1"/>
  <c r="AM157" i="4"/>
  <c r="AM156" i="4" s="1"/>
  <c r="AM182" i="4"/>
  <c r="AM181" i="4" s="1"/>
  <c r="AM198" i="4"/>
  <c r="AM197" i="4" s="1"/>
  <c r="AM227" i="4"/>
  <c r="AM226" i="4" s="1"/>
  <c r="AM50" i="4"/>
  <c r="AL77" i="4"/>
  <c r="AL123" i="4"/>
  <c r="AL122" i="4" s="1"/>
  <c r="AL148" i="4"/>
  <c r="AL147" i="4" s="1"/>
  <c r="AL173" i="4"/>
  <c r="AL172" i="4" s="1"/>
  <c r="AL205" i="4"/>
  <c r="AL204" i="4" s="1"/>
  <c r="AL236" i="4"/>
  <c r="AL235" i="4" s="1"/>
  <c r="AL252" i="4"/>
  <c r="AL251" i="4" s="1"/>
  <c r="AL120" i="4"/>
  <c r="AL119" i="4" s="1"/>
  <c r="AL145" i="4"/>
  <c r="AL144" i="4" s="1"/>
  <c r="AL170" i="4"/>
  <c r="AL169" i="4" s="1"/>
  <c r="AL192" i="4"/>
  <c r="AL191" i="4" s="1"/>
  <c r="AL219" i="4"/>
  <c r="AL218" i="4" s="1"/>
  <c r="AL20" i="4"/>
  <c r="AL135" i="4"/>
  <c r="AL134" i="4" s="1"/>
  <c r="AL160" i="4"/>
  <c r="AL159" i="4" s="1"/>
  <c r="AL185" i="4"/>
  <c r="AL184" i="4" s="1"/>
  <c r="AL211" i="4"/>
  <c r="AL210" i="4" s="1"/>
  <c r="AL244" i="4"/>
  <c r="AL243" i="4" s="1"/>
  <c r="AL258" i="4"/>
  <c r="AL257" i="4" s="1"/>
  <c r="AL99" i="4"/>
  <c r="AL132" i="4"/>
  <c r="AL131" i="4" s="1"/>
  <c r="AL157" i="4"/>
  <c r="AL156" i="4" s="1"/>
  <c r="AL182" i="4"/>
  <c r="AL181" i="4" s="1"/>
  <c r="AL198" i="4"/>
  <c r="AL197" i="4" s="1"/>
  <c r="AL227" i="4"/>
  <c r="AL226" i="4" s="1"/>
  <c r="AL50" i="4"/>
  <c r="AL129" i="4"/>
  <c r="AL128" i="4" s="1"/>
  <c r="AL154" i="4"/>
  <c r="AL153" i="4" s="1"/>
  <c r="AL88" i="4"/>
  <c r="AL179" i="4"/>
  <c r="AL178" i="4" s="1"/>
  <c r="AL208" i="4"/>
  <c r="AL207" i="4" s="1"/>
  <c r="AL240" i="4"/>
  <c r="AL239" i="4" s="1"/>
  <c r="AL255" i="4"/>
  <c r="AL254" i="4" s="1"/>
  <c r="AL126" i="4"/>
  <c r="AL125" i="4" s="1"/>
  <c r="AL151" i="4"/>
  <c r="AL150" i="4" s="1"/>
  <c r="AL176" i="4"/>
  <c r="AL175" i="4" s="1"/>
  <c r="AL195" i="4"/>
  <c r="AL194" i="4" s="1"/>
  <c r="AL223" i="4"/>
  <c r="AL222" i="4" s="1"/>
  <c r="AL35" i="4"/>
  <c r="AK205" i="4"/>
  <c r="AK204" i="4" s="1"/>
  <c r="AK236" i="4"/>
  <c r="AK235" i="4" s="1"/>
  <c r="AK252" i="4"/>
  <c r="AK251" i="4" s="1"/>
  <c r="AK77" i="4"/>
  <c r="AK123" i="4"/>
  <c r="AK122" i="4" s="1"/>
  <c r="AK148" i="4"/>
  <c r="AK147" i="4" s="1"/>
  <c r="AK173" i="4"/>
  <c r="AK172" i="4" s="1"/>
  <c r="AK120" i="4"/>
  <c r="AK119" i="4" s="1"/>
  <c r="AK145" i="4"/>
  <c r="AK144" i="4" s="1"/>
  <c r="AK170" i="4"/>
  <c r="AK169" i="4" s="1"/>
  <c r="AK192" i="4"/>
  <c r="AK191" i="4" s="1"/>
  <c r="AK219" i="4"/>
  <c r="AK218" i="4" s="1"/>
  <c r="AK20" i="4"/>
  <c r="AK179" i="4"/>
  <c r="AK178" i="4" s="1"/>
  <c r="AK208" i="4"/>
  <c r="AK207" i="4" s="1"/>
  <c r="AK240" i="4"/>
  <c r="AK239" i="4" s="1"/>
  <c r="AK255" i="4"/>
  <c r="AK254" i="4" s="1"/>
  <c r="AK88" i="4"/>
  <c r="AK129" i="4"/>
  <c r="AK128" i="4" s="1"/>
  <c r="AK154" i="4"/>
  <c r="AK153" i="4" s="1"/>
  <c r="AK126" i="4"/>
  <c r="AK125" i="4" s="1"/>
  <c r="AK151" i="4"/>
  <c r="AK150" i="4" s="1"/>
  <c r="AK176" i="4"/>
  <c r="AK175" i="4" s="1"/>
  <c r="AK195" i="4"/>
  <c r="AK194" i="4" s="1"/>
  <c r="AK223" i="4"/>
  <c r="AK222" i="4" s="1"/>
  <c r="AK35" i="4"/>
  <c r="AK135" i="4"/>
  <c r="AK134" i="4" s="1"/>
  <c r="AK160" i="4"/>
  <c r="AK159" i="4" s="1"/>
  <c r="AK185" i="4"/>
  <c r="AK184" i="4" s="1"/>
  <c r="AK211" i="4"/>
  <c r="AK210" i="4" s="1"/>
  <c r="AK244" i="4"/>
  <c r="AK243" i="4" s="1"/>
  <c r="AK258" i="4"/>
  <c r="AK257" i="4" s="1"/>
  <c r="AK99" i="4"/>
  <c r="AK132" i="4"/>
  <c r="AK131" i="4" s="1"/>
  <c r="AK157" i="4"/>
  <c r="AK156" i="4" s="1"/>
  <c r="AK182" i="4"/>
  <c r="AK181" i="4" s="1"/>
  <c r="AK198" i="4"/>
  <c r="AK197" i="4" s="1"/>
  <c r="AK227" i="4"/>
  <c r="AK226" i="4" s="1"/>
  <c r="AK50" i="4"/>
  <c r="AJ205" i="4"/>
  <c r="AJ204" i="4" s="1"/>
  <c r="AJ236" i="4"/>
  <c r="AJ235" i="4" s="1"/>
  <c r="AJ252" i="4"/>
  <c r="AJ251" i="4" s="1"/>
  <c r="AJ77" i="4"/>
  <c r="AJ123" i="4"/>
  <c r="AJ122" i="4" s="1"/>
  <c r="AJ148" i="4"/>
  <c r="AJ147" i="4" s="1"/>
  <c r="AJ173" i="4"/>
  <c r="AJ172" i="4" s="1"/>
  <c r="AJ120" i="4"/>
  <c r="AJ119" i="4" s="1"/>
  <c r="AJ145" i="4"/>
  <c r="AJ144" i="4" s="1"/>
  <c r="AJ170" i="4"/>
  <c r="AJ169" i="4" s="1"/>
  <c r="AJ192" i="4"/>
  <c r="AJ191" i="4" s="1"/>
  <c r="AJ219" i="4"/>
  <c r="AJ218" i="4" s="1"/>
  <c r="AJ20" i="4"/>
  <c r="AJ129" i="4"/>
  <c r="AJ128" i="4" s="1"/>
  <c r="AJ154" i="4"/>
  <c r="AJ153" i="4" s="1"/>
  <c r="AJ88" i="4"/>
  <c r="AJ179" i="4"/>
  <c r="AJ178" i="4" s="1"/>
  <c r="AJ208" i="4"/>
  <c r="AJ207" i="4" s="1"/>
  <c r="AJ240" i="4"/>
  <c r="AJ239" i="4" s="1"/>
  <c r="AJ255" i="4"/>
  <c r="AJ254" i="4" s="1"/>
  <c r="AJ126" i="4"/>
  <c r="AJ125" i="4" s="1"/>
  <c r="AJ151" i="4"/>
  <c r="AJ150" i="4" s="1"/>
  <c r="AJ176" i="4"/>
  <c r="AJ175" i="4" s="1"/>
  <c r="AJ195" i="4"/>
  <c r="AJ194" i="4" s="1"/>
  <c r="AJ223" i="4"/>
  <c r="AJ222" i="4" s="1"/>
  <c r="AJ35" i="4"/>
  <c r="AJ99" i="4"/>
  <c r="AJ135" i="4"/>
  <c r="AJ134" i="4" s="1"/>
  <c r="AJ160" i="4"/>
  <c r="AJ159" i="4" s="1"/>
  <c r="AJ185" i="4"/>
  <c r="AJ184" i="4" s="1"/>
  <c r="AJ211" i="4"/>
  <c r="AJ210" i="4" s="1"/>
  <c r="AJ244" i="4"/>
  <c r="AJ243" i="4" s="1"/>
  <c r="AJ258" i="4"/>
  <c r="AJ257" i="4" s="1"/>
  <c r="AJ132" i="4"/>
  <c r="AJ131" i="4" s="1"/>
  <c r="AJ157" i="4"/>
  <c r="AJ156" i="4" s="1"/>
  <c r="AJ182" i="4"/>
  <c r="AJ181" i="4" s="1"/>
  <c r="AJ198" i="4"/>
  <c r="AJ197" i="4" s="1"/>
  <c r="AJ227" i="4"/>
  <c r="AJ226" i="4" s="1"/>
  <c r="AJ50" i="4"/>
  <c r="AI205" i="4"/>
  <c r="AI204" i="4" s="1"/>
  <c r="AI236" i="4"/>
  <c r="AI235" i="4" s="1"/>
  <c r="AI252" i="4"/>
  <c r="AI251" i="4" s="1"/>
  <c r="AI123" i="4"/>
  <c r="AI122" i="4" s="1"/>
  <c r="AI148" i="4"/>
  <c r="AI147" i="4" s="1"/>
  <c r="AI173" i="4"/>
  <c r="AI172" i="4" s="1"/>
  <c r="AI77" i="4"/>
  <c r="AI120" i="4"/>
  <c r="AI119" i="4" s="1"/>
  <c r="AI145" i="4"/>
  <c r="AI144" i="4" s="1"/>
  <c r="AI170" i="4"/>
  <c r="AI169" i="4" s="1"/>
  <c r="AI192" i="4"/>
  <c r="AI191" i="4" s="1"/>
  <c r="AI219" i="4"/>
  <c r="AI218" i="4" s="1"/>
  <c r="AI20" i="4"/>
  <c r="AI129" i="4"/>
  <c r="AI128" i="4" s="1"/>
  <c r="AI154" i="4"/>
  <c r="AI153" i="4" s="1"/>
  <c r="AI179" i="4"/>
  <c r="AI178" i="4" s="1"/>
  <c r="AI208" i="4"/>
  <c r="AI207" i="4" s="1"/>
  <c r="AI240" i="4"/>
  <c r="AI239" i="4" s="1"/>
  <c r="AI255" i="4"/>
  <c r="AI254" i="4" s="1"/>
  <c r="AI88" i="4"/>
  <c r="AI126" i="4"/>
  <c r="AI125" i="4" s="1"/>
  <c r="AI151" i="4"/>
  <c r="AI150" i="4" s="1"/>
  <c r="AI176" i="4"/>
  <c r="AI175" i="4" s="1"/>
  <c r="AI195" i="4"/>
  <c r="AI194" i="4" s="1"/>
  <c r="AI223" i="4"/>
  <c r="AI222" i="4" s="1"/>
  <c r="AI35" i="4"/>
  <c r="AI135" i="4"/>
  <c r="AI134" i="4" s="1"/>
  <c r="AI160" i="4"/>
  <c r="AI159" i="4" s="1"/>
  <c r="AI185" i="4"/>
  <c r="AI184" i="4" s="1"/>
  <c r="AI211" i="4"/>
  <c r="AI210" i="4" s="1"/>
  <c r="AI244" i="4"/>
  <c r="AI243" i="4" s="1"/>
  <c r="AI258" i="4"/>
  <c r="AI257" i="4" s="1"/>
  <c r="AI99" i="4"/>
  <c r="AI132" i="4"/>
  <c r="AI131" i="4" s="1"/>
  <c r="AI157" i="4"/>
  <c r="AI156" i="4" s="1"/>
  <c r="AI182" i="4"/>
  <c r="AI181" i="4" s="1"/>
  <c r="AI198" i="4"/>
  <c r="AI197" i="4" s="1"/>
  <c r="AI227" i="4"/>
  <c r="AI226" i="4" s="1"/>
  <c r="AI50" i="4"/>
  <c r="AH88" i="4"/>
  <c r="AH129" i="4"/>
  <c r="AH128" i="4" s="1"/>
  <c r="AH154" i="4"/>
  <c r="AH153" i="4" s="1"/>
  <c r="AH179" i="4"/>
  <c r="AH178" i="4" s="1"/>
  <c r="AH208" i="4"/>
  <c r="AH207" i="4" s="1"/>
  <c r="AH240" i="4"/>
  <c r="AH239" i="4" s="1"/>
  <c r="AH255" i="4"/>
  <c r="AH254" i="4" s="1"/>
  <c r="AH126" i="4"/>
  <c r="AH125" i="4" s="1"/>
  <c r="AH151" i="4"/>
  <c r="AH150" i="4" s="1"/>
  <c r="AH176" i="4"/>
  <c r="AH175" i="4" s="1"/>
  <c r="AH195" i="4"/>
  <c r="AH194" i="4" s="1"/>
  <c r="AH223" i="4"/>
  <c r="AH222" i="4" s="1"/>
  <c r="AH35" i="4"/>
  <c r="AH205" i="4"/>
  <c r="AH204" i="4" s="1"/>
  <c r="AH236" i="4"/>
  <c r="AH235" i="4" s="1"/>
  <c r="AH252" i="4"/>
  <c r="AH251" i="4" s="1"/>
  <c r="AH77" i="4"/>
  <c r="AH123" i="4"/>
  <c r="AH122" i="4" s="1"/>
  <c r="AH148" i="4"/>
  <c r="AH147" i="4" s="1"/>
  <c r="AH173" i="4"/>
  <c r="AH172" i="4" s="1"/>
  <c r="AH120" i="4"/>
  <c r="AH119" i="4" s="1"/>
  <c r="AH145" i="4"/>
  <c r="AH144" i="4" s="1"/>
  <c r="AH170" i="4"/>
  <c r="AH169" i="4" s="1"/>
  <c r="AH192" i="4"/>
  <c r="AH191" i="4" s="1"/>
  <c r="AH219" i="4"/>
  <c r="AH218" i="4" s="1"/>
  <c r="AH20" i="4"/>
  <c r="AH99" i="4"/>
  <c r="AH135" i="4"/>
  <c r="AH134" i="4" s="1"/>
  <c r="AH160" i="4"/>
  <c r="AH159" i="4" s="1"/>
  <c r="AH185" i="4"/>
  <c r="AH184" i="4" s="1"/>
  <c r="AH211" i="4"/>
  <c r="AH210" i="4" s="1"/>
  <c r="AH244" i="4"/>
  <c r="AH243" i="4" s="1"/>
  <c r="AH258" i="4"/>
  <c r="AH257" i="4" s="1"/>
  <c r="AH132" i="4"/>
  <c r="AH131" i="4" s="1"/>
  <c r="AH157" i="4"/>
  <c r="AH156" i="4" s="1"/>
  <c r="AH182" i="4"/>
  <c r="AH181" i="4" s="1"/>
  <c r="AH198" i="4"/>
  <c r="AH197" i="4" s="1"/>
  <c r="AH227" i="4"/>
  <c r="AH226" i="4" s="1"/>
  <c r="AH50" i="4"/>
  <c r="AG129" i="4"/>
  <c r="AG128" i="4" s="1"/>
  <c r="AG154" i="4"/>
  <c r="AG153" i="4" s="1"/>
  <c r="AG88" i="4"/>
  <c r="AG179" i="4"/>
  <c r="AG178" i="4" s="1"/>
  <c r="AG208" i="4"/>
  <c r="AG207" i="4" s="1"/>
  <c r="AG240" i="4"/>
  <c r="AG239" i="4" s="1"/>
  <c r="AG255" i="4"/>
  <c r="AG254" i="4" s="1"/>
  <c r="AG126" i="4"/>
  <c r="AG125" i="4" s="1"/>
  <c r="AG151" i="4"/>
  <c r="AG150" i="4" s="1"/>
  <c r="AG176" i="4"/>
  <c r="AG175" i="4" s="1"/>
  <c r="AG195" i="4"/>
  <c r="AG194" i="4" s="1"/>
  <c r="AG223" i="4"/>
  <c r="AG222" i="4" s="1"/>
  <c r="AG35" i="4"/>
  <c r="AG123" i="4"/>
  <c r="AG122" i="4" s="1"/>
  <c r="AG148" i="4"/>
  <c r="AG147" i="4" s="1"/>
  <c r="AG173" i="4"/>
  <c r="AG172" i="4" s="1"/>
  <c r="AG205" i="4"/>
  <c r="AG204" i="4" s="1"/>
  <c r="AG236" i="4"/>
  <c r="AG235" i="4" s="1"/>
  <c r="AG252" i="4"/>
  <c r="AG251" i="4" s="1"/>
  <c r="AG77" i="4"/>
  <c r="AG120" i="4"/>
  <c r="AG119" i="4" s="1"/>
  <c r="AG145" i="4"/>
  <c r="AG144" i="4" s="1"/>
  <c r="AG170" i="4"/>
  <c r="AG169" i="4" s="1"/>
  <c r="AG192" i="4"/>
  <c r="AG191" i="4" s="1"/>
  <c r="AG219" i="4"/>
  <c r="AG218" i="4" s="1"/>
  <c r="AG20" i="4"/>
  <c r="AG135" i="4"/>
  <c r="AG134" i="4" s="1"/>
  <c r="AG160" i="4"/>
  <c r="AG159" i="4" s="1"/>
  <c r="AG185" i="4"/>
  <c r="AG184" i="4" s="1"/>
  <c r="AG211" i="4"/>
  <c r="AG210" i="4" s="1"/>
  <c r="AG244" i="4"/>
  <c r="AG243" i="4" s="1"/>
  <c r="AG258" i="4"/>
  <c r="AG257" i="4" s="1"/>
  <c r="AG99" i="4"/>
  <c r="AG132" i="4"/>
  <c r="AG131" i="4" s="1"/>
  <c r="AG157" i="4"/>
  <c r="AG156" i="4" s="1"/>
  <c r="AG182" i="4"/>
  <c r="AG181" i="4" s="1"/>
  <c r="AG198" i="4"/>
  <c r="AG197" i="4" s="1"/>
  <c r="AG227" i="4"/>
  <c r="AG226" i="4" s="1"/>
  <c r="AG50" i="4"/>
  <c r="AF99" i="4"/>
  <c r="AF135" i="4"/>
  <c r="AF134" i="4" s="1"/>
  <c r="AF160" i="4"/>
  <c r="AF159" i="4" s="1"/>
  <c r="AF185" i="4"/>
  <c r="AF184" i="4" s="1"/>
  <c r="AF211" i="4"/>
  <c r="AF210" i="4" s="1"/>
  <c r="AF244" i="4"/>
  <c r="AF243" i="4" s="1"/>
  <c r="AF258" i="4"/>
  <c r="AF257" i="4" s="1"/>
  <c r="AF132" i="4"/>
  <c r="AF131" i="4" s="1"/>
  <c r="AF157" i="4"/>
  <c r="AF156" i="4" s="1"/>
  <c r="AF182" i="4"/>
  <c r="AF181" i="4" s="1"/>
  <c r="AF198" i="4"/>
  <c r="AF197" i="4" s="1"/>
  <c r="AF227" i="4"/>
  <c r="AF226" i="4" s="1"/>
  <c r="AF50" i="4"/>
  <c r="AF123" i="4"/>
  <c r="AF122" i="4" s="1"/>
  <c r="AF148" i="4"/>
  <c r="AF147" i="4" s="1"/>
  <c r="AF173" i="4"/>
  <c r="AF172" i="4" s="1"/>
  <c r="AF77" i="4"/>
  <c r="AF205" i="4"/>
  <c r="AF204" i="4" s="1"/>
  <c r="AF236" i="4"/>
  <c r="AF235" i="4" s="1"/>
  <c r="AF252" i="4"/>
  <c r="AF251" i="4" s="1"/>
  <c r="AF120" i="4"/>
  <c r="AF119" i="4" s="1"/>
  <c r="AF145" i="4"/>
  <c r="AF144" i="4" s="1"/>
  <c r="AF170" i="4"/>
  <c r="AF169" i="4" s="1"/>
  <c r="AF192" i="4"/>
  <c r="AF191" i="4" s="1"/>
  <c r="AF219" i="4"/>
  <c r="AF218" i="4" s="1"/>
  <c r="AF20" i="4"/>
  <c r="AF179" i="4"/>
  <c r="AF178" i="4" s="1"/>
  <c r="AF208" i="4"/>
  <c r="AF207" i="4" s="1"/>
  <c r="AF240" i="4"/>
  <c r="AF239" i="4" s="1"/>
  <c r="AF255" i="4"/>
  <c r="AF254" i="4" s="1"/>
  <c r="AF88" i="4"/>
  <c r="AF129" i="4"/>
  <c r="AF128" i="4" s="1"/>
  <c r="AF154" i="4"/>
  <c r="AF153" i="4" s="1"/>
  <c r="AF126" i="4"/>
  <c r="AF125" i="4" s="1"/>
  <c r="AF151" i="4"/>
  <c r="AF150" i="4" s="1"/>
  <c r="AF176" i="4"/>
  <c r="AF175" i="4" s="1"/>
  <c r="AF195" i="4"/>
  <c r="AF194" i="4" s="1"/>
  <c r="AF223" i="4"/>
  <c r="AF222" i="4" s="1"/>
  <c r="AF35" i="4"/>
  <c r="AE99" i="4"/>
  <c r="AE135" i="4"/>
  <c r="AE134" i="4" s="1"/>
  <c r="AE160" i="4"/>
  <c r="AE159" i="4" s="1"/>
  <c r="AE185" i="4"/>
  <c r="AE184" i="4" s="1"/>
  <c r="AE211" i="4"/>
  <c r="AE210" i="4" s="1"/>
  <c r="AE244" i="4"/>
  <c r="AE243" i="4" s="1"/>
  <c r="AE258" i="4"/>
  <c r="AE257" i="4" s="1"/>
  <c r="AE132" i="4"/>
  <c r="AE131" i="4" s="1"/>
  <c r="AE157" i="4"/>
  <c r="AE156" i="4" s="1"/>
  <c r="AE182" i="4"/>
  <c r="AE181" i="4" s="1"/>
  <c r="AE198" i="4"/>
  <c r="AE197" i="4" s="1"/>
  <c r="AE227" i="4"/>
  <c r="AE226" i="4" s="1"/>
  <c r="AE50" i="4"/>
  <c r="AE123" i="4"/>
  <c r="AE122" i="4" s="1"/>
  <c r="AE148" i="4"/>
  <c r="AE147" i="4" s="1"/>
  <c r="AE173" i="4"/>
  <c r="AE172" i="4" s="1"/>
  <c r="AE77" i="4"/>
  <c r="AE205" i="4"/>
  <c r="AE204" i="4" s="1"/>
  <c r="AE236" i="4"/>
  <c r="AE235" i="4" s="1"/>
  <c r="AE252" i="4"/>
  <c r="AE251" i="4" s="1"/>
  <c r="AE120" i="4"/>
  <c r="AE119" i="4" s="1"/>
  <c r="AE145" i="4"/>
  <c r="AE144" i="4" s="1"/>
  <c r="AE170" i="4"/>
  <c r="AE169" i="4" s="1"/>
  <c r="AE192" i="4"/>
  <c r="AE191" i="4" s="1"/>
  <c r="AE219" i="4"/>
  <c r="AE218" i="4" s="1"/>
  <c r="AE20" i="4"/>
  <c r="AE88" i="4"/>
  <c r="AE129" i="4"/>
  <c r="AE128" i="4" s="1"/>
  <c r="AE154" i="4"/>
  <c r="AE153" i="4" s="1"/>
  <c r="AE179" i="4"/>
  <c r="AE178" i="4" s="1"/>
  <c r="AE208" i="4"/>
  <c r="AE207" i="4" s="1"/>
  <c r="AE240" i="4"/>
  <c r="AE239" i="4" s="1"/>
  <c r="AE255" i="4"/>
  <c r="AE254" i="4" s="1"/>
  <c r="AE126" i="4"/>
  <c r="AE125" i="4" s="1"/>
  <c r="AE151" i="4"/>
  <c r="AE150" i="4" s="1"/>
  <c r="AE176" i="4"/>
  <c r="AE175" i="4" s="1"/>
  <c r="AE195" i="4"/>
  <c r="AE194" i="4" s="1"/>
  <c r="AE223" i="4"/>
  <c r="AE222" i="4" s="1"/>
  <c r="AE35" i="4"/>
  <c r="AD135" i="4"/>
  <c r="AD134" i="4" s="1"/>
  <c r="AD160" i="4"/>
  <c r="AD159" i="4" s="1"/>
  <c r="AD185" i="4"/>
  <c r="AD184" i="4" s="1"/>
  <c r="AD211" i="4"/>
  <c r="AD210" i="4" s="1"/>
  <c r="AD244" i="4"/>
  <c r="AD243" i="4" s="1"/>
  <c r="AD258" i="4"/>
  <c r="AD257" i="4" s="1"/>
  <c r="AD99" i="4"/>
  <c r="AD132" i="4"/>
  <c r="AD131" i="4" s="1"/>
  <c r="AD157" i="4"/>
  <c r="AD156" i="4" s="1"/>
  <c r="AD182" i="4"/>
  <c r="AD181" i="4" s="1"/>
  <c r="AD198" i="4"/>
  <c r="AD197" i="4" s="1"/>
  <c r="AD227" i="4"/>
  <c r="AD226" i="4" s="1"/>
  <c r="AD50" i="4"/>
  <c r="AD205" i="4"/>
  <c r="AD204" i="4" s="1"/>
  <c r="AD236" i="4"/>
  <c r="AD235" i="4" s="1"/>
  <c r="AD252" i="4"/>
  <c r="AD251" i="4" s="1"/>
  <c r="AD123" i="4"/>
  <c r="AD122" i="4" s="1"/>
  <c r="AD148" i="4"/>
  <c r="AD147" i="4" s="1"/>
  <c r="AD173" i="4"/>
  <c r="AD172" i="4" s="1"/>
  <c r="AD77" i="4"/>
  <c r="AD120" i="4"/>
  <c r="AD119" i="4" s="1"/>
  <c r="AD145" i="4"/>
  <c r="AD144" i="4" s="1"/>
  <c r="AD170" i="4"/>
  <c r="AD169" i="4" s="1"/>
  <c r="AD192" i="4"/>
  <c r="AD191" i="4" s="1"/>
  <c r="AD219" i="4"/>
  <c r="AD218" i="4" s="1"/>
  <c r="AD20" i="4"/>
  <c r="AD179" i="4"/>
  <c r="AD178" i="4" s="1"/>
  <c r="AD208" i="4"/>
  <c r="AD207" i="4" s="1"/>
  <c r="AD240" i="4"/>
  <c r="AD239" i="4" s="1"/>
  <c r="AD255" i="4"/>
  <c r="AD254" i="4" s="1"/>
  <c r="AD129" i="4"/>
  <c r="AD128" i="4" s="1"/>
  <c r="AD154" i="4"/>
  <c r="AD153" i="4" s="1"/>
  <c r="AD88" i="4"/>
  <c r="AD126" i="4"/>
  <c r="AD125" i="4" s="1"/>
  <c r="AD151" i="4"/>
  <c r="AD150" i="4" s="1"/>
  <c r="AD176" i="4"/>
  <c r="AD175" i="4" s="1"/>
  <c r="AD195" i="4"/>
  <c r="AD194" i="4" s="1"/>
  <c r="AD223" i="4"/>
  <c r="AD222" i="4" s="1"/>
  <c r="AD35" i="4"/>
  <c r="AC99" i="4"/>
  <c r="AC135" i="4"/>
  <c r="AC134" i="4" s="1"/>
  <c r="AC160" i="4"/>
  <c r="AC159" i="4" s="1"/>
  <c r="AC185" i="4"/>
  <c r="AC184" i="4" s="1"/>
  <c r="AC211" i="4"/>
  <c r="AC210" i="4" s="1"/>
  <c r="AC244" i="4"/>
  <c r="AC243" i="4" s="1"/>
  <c r="AC258" i="4"/>
  <c r="AC257" i="4" s="1"/>
  <c r="AC132" i="4"/>
  <c r="AC131" i="4" s="1"/>
  <c r="AC157" i="4"/>
  <c r="AC156" i="4" s="1"/>
  <c r="AC182" i="4"/>
  <c r="AC181" i="4" s="1"/>
  <c r="AC198" i="4"/>
  <c r="AC197" i="4" s="1"/>
  <c r="AC227" i="4"/>
  <c r="AC226" i="4" s="1"/>
  <c r="AC50" i="4"/>
  <c r="AC123" i="4"/>
  <c r="AC122" i="4" s="1"/>
  <c r="AC148" i="4"/>
  <c r="AC147" i="4" s="1"/>
  <c r="AC173" i="4"/>
  <c r="AC172" i="4" s="1"/>
  <c r="AC205" i="4"/>
  <c r="AC204" i="4" s="1"/>
  <c r="AC236" i="4"/>
  <c r="AC235" i="4" s="1"/>
  <c r="AC252" i="4"/>
  <c r="AC251" i="4" s="1"/>
  <c r="AC77" i="4"/>
  <c r="AC120" i="4"/>
  <c r="AC119" i="4" s="1"/>
  <c r="AC145" i="4"/>
  <c r="AC144" i="4" s="1"/>
  <c r="AC170" i="4"/>
  <c r="AC169" i="4" s="1"/>
  <c r="AC192" i="4"/>
  <c r="AC191" i="4" s="1"/>
  <c r="AC219" i="4"/>
  <c r="AC218" i="4" s="1"/>
  <c r="AC20" i="4"/>
  <c r="AC129" i="4"/>
  <c r="AC128" i="4" s="1"/>
  <c r="AC154" i="4"/>
  <c r="AC153" i="4" s="1"/>
  <c r="AC88" i="4"/>
  <c r="AC179" i="4"/>
  <c r="AC178" i="4" s="1"/>
  <c r="AC208" i="4"/>
  <c r="AC207" i="4" s="1"/>
  <c r="AC240" i="4"/>
  <c r="AC239" i="4" s="1"/>
  <c r="AC255" i="4"/>
  <c r="AC254" i="4" s="1"/>
  <c r="AC126" i="4"/>
  <c r="AC125" i="4" s="1"/>
  <c r="AC151" i="4"/>
  <c r="AC150" i="4" s="1"/>
  <c r="AC176" i="4"/>
  <c r="AC175" i="4" s="1"/>
  <c r="AC195" i="4"/>
  <c r="AC194" i="4" s="1"/>
  <c r="AC223" i="4"/>
  <c r="AC222" i="4" s="1"/>
  <c r="AC35" i="4"/>
  <c r="AB135" i="4"/>
  <c r="AB134" i="4" s="1"/>
  <c r="AB160" i="4"/>
  <c r="AB159" i="4" s="1"/>
  <c r="AB185" i="4"/>
  <c r="AB184" i="4" s="1"/>
  <c r="AB211" i="4"/>
  <c r="AB210" i="4" s="1"/>
  <c r="AB244" i="4"/>
  <c r="AB243" i="4" s="1"/>
  <c r="AB258" i="4"/>
  <c r="AB257" i="4" s="1"/>
  <c r="AB99" i="4"/>
  <c r="AB132" i="4"/>
  <c r="AB131" i="4" s="1"/>
  <c r="AB157" i="4"/>
  <c r="AB156" i="4" s="1"/>
  <c r="AB182" i="4"/>
  <c r="AB181" i="4" s="1"/>
  <c r="AB198" i="4"/>
  <c r="AB197" i="4" s="1"/>
  <c r="AB227" i="4"/>
  <c r="AB226" i="4" s="1"/>
  <c r="AB50" i="4"/>
  <c r="AB179" i="4"/>
  <c r="AB178" i="4" s="1"/>
  <c r="AB208" i="4"/>
  <c r="AB207" i="4" s="1"/>
  <c r="AB240" i="4"/>
  <c r="AB239" i="4" s="1"/>
  <c r="AB255" i="4"/>
  <c r="AB254" i="4" s="1"/>
  <c r="AB129" i="4"/>
  <c r="AB128" i="4" s="1"/>
  <c r="AB154" i="4"/>
  <c r="AB153" i="4" s="1"/>
  <c r="AB88" i="4"/>
  <c r="AB126" i="4"/>
  <c r="AB125" i="4" s="1"/>
  <c r="AB151" i="4"/>
  <c r="AB150" i="4" s="1"/>
  <c r="AB176" i="4"/>
  <c r="AB175" i="4" s="1"/>
  <c r="AB195" i="4"/>
  <c r="AB194" i="4" s="1"/>
  <c r="AB223" i="4"/>
  <c r="AB222" i="4" s="1"/>
  <c r="AB35" i="4"/>
  <c r="AB123" i="4"/>
  <c r="AB122" i="4" s="1"/>
  <c r="AB148" i="4"/>
  <c r="AB147" i="4" s="1"/>
  <c r="AB173" i="4"/>
  <c r="AB172" i="4" s="1"/>
  <c r="AB205" i="4"/>
  <c r="AB204" i="4" s="1"/>
  <c r="AB236" i="4"/>
  <c r="AB235" i="4" s="1"/>
  <c r="AB252" i="4"/>
  <c r="AB251" i="4" s="1"/>
  <c r="AB77" i="4"/>
  <c r="AB120" i="4"/>
  <c r="AB119" i="4" s="1"/>
  <c r="AB145" i="4"/>
  <c r="AB144" i="4" s="1"/>
  <c r="AB170" i="4"/>
  <c r="AB169" i="4" s="1"/>
  <c r="AB192" i="4"/>
  <c r="AB191" i="4" s="1"/>
  <c r="AB219" i="4"/>
  <c r="AB218" i="4" s="1"/>
  <c r="AB20" i="4"/>
  <c r="AA129" i="4"/>
  <c r="AA128" i="4" s="1"/>
  <c r="AA154" i="4"/>
  <c r="AA153" i="4" s="1"/>
  <c r="AA179" i="4"/>
  <c r="AA178" i="4" s="1"/>
  <c r="AA208" i="4"/>
  <c r="AA207" i="4" s="1"/>
  <c r="AA240" i="4"/>
  <c r="AA239" i="4" s="1"/>
  <c r="AA255" i="4"/>
  <c r="AA254" i="4" s="1"/>
  <c r="AA88" i="4"/>
  <c r="AA126" i="4"/>
  <c r="AA125" i="4" s="1"/>
  <c r="AA151" i="4"/>
  <c r="AA150" i="4" s="1"/>
  <c r="AA176" i="4"/>
  <c r="AA175" i="4" s="1"/>
  <c r="AA195" i="4"/>
  <c r="AA194" i="4" s="1"/>
  <c r="AA223" i="4"/>
  <c r="AA222" i="4" s="1"/>
  <c r="AA35" i="4"/>
  <c r="AA123" i="4"/>
  <c r="AA122" i="4" s="1"/>
  <c r="AA148" i="4"/>
  <c r="AA147" i="4" s="1"/>
  <c r="AA173" i="4"/>
  <c r="AA172" i="4" s="1"/>
  <c r="AA205" i="4"/>
  <c r="AA204" i="4" s="1"/>
  <c r="AA236" i="4"/>
  <c r="AA235" i="4" s="1"/>
  <c r="AA252" i="4"/>
  <c r="AA251" i="4" s="1"/>
  <c r="AA77" i="4"/>
  <c r="AA120" i="4"/>
  <c r="AA119" i="4" s="1"/>
  <c r="AA145" i="4"/>
  <c r="AA144" i="4" s="1"/>
  <c r="AA170" i="4"/>
  <c r="AA169" i="4" s="1"/>
  <c r="AA192" i="4"/>
  <c r="AA191" i="4" s="1"/>
  <c r="AA219" i="4"/>
  <c r="AA218" i="4" s="1"/>
  <c r="AA20" i="4"/>
  <c r="AA99" i="4"/>
  <c r="AA135" i="4"/>
  <c r="AA134" i="4" s="1"/>
  <c r="AA160" i="4"/>
  <c r="AA159" i="4" s="1"/>
  <c r="AA185" i="4"/>
  <c r="AA184" i="4" s="1"/>
  <c r="AA211" i="4"/>
  <c r="AA210" i="4" s="1"/>
  <c r="AA244" i="4"/>
  <c r="AA243" i="4" s="1"/>
  <c r="AA258" i="4"/>
  <c r="AA257" i="4" s="1"/>
  <c r="AA132" i="4"/>
  <c r="AA131" i="4" s="1"/>
  <c r="AA157" i="4"/>
  <c r="AA156" i="4" s="1"/>
  <c r="AA182" i="4"/>
  <c r="AA181" i="4" s="1"/>
  <c r="AA198" i="4"/>
  <c r="AA197" i="4" s="1"/>
  <c r="AA227" i="4"/>
  <c r="AA226" i="4" s="1"/>
  <c r="AA50" i="4"/>
  <c r="Z129" i="4"/>
  <c r="Z128" i="4" s="1"/>
  <c r="Z154" i="4"/>
  <c r="Z153" i="4" s="1"/>
  <c r="Z88" i="4"/>
  <c r="Z179" i="4"/>
  <c r="Z178" i="4" s="1"/>
  <c r="Z208" i="4"/>
  <c r="Z207" i="4" s="1"/>
  <c r="Z240" i="4"/>
  <c r="Z239" i="4" s="1"/>
  <c r="Z255" i="4"/>
  <c r="Z254" i="4" s="1"/>
  <c r="Z126" i="4"/>
  <c r="Z125" i="4" s="1"/>
  <c r="Z151" i="4"/>
  <c r="Z150" i="4" s="1"/>
  <c r="Z176" i="4"/>
  <c r="Z175" i="4" s="1"/>
  <c r="Z195" i="4"/>
  <c r="Z194" i="4" s="1"/>
  <c r="Z223" i="4"/>
  <c r="Z222" i="4" s="1"/>
  <c r="Z35" i="4"/>
  <c r="Z99" i="4"/>
  <c r="Z135" i="4"/>
  <c r="Z134" i="4" s="1"/>
  <c r="Z160" i="4"/>
  <c r="Z159" i="4" s="1"/>
  <c r="Z185" i="4"/>
  <c r="Z184" i="4" s="1"/>
  <c r="Z211" i="4"/>
  <c r="Z210" i="4" s="1"/>
  <c r="Z244" i="4"/>
  <c r="Z243" i="4" s="1"/>
  <c r="Z258" i="4"/>
  <c r="Z257" i="4" s="1"/>
  <c r="Z132" i="4"/>
  <c r="Z131" i="4" s="1"/>
  <c r="Z157" i="4"/>
  <c r="Z156" i="4" s="1"/>
  <c r="Z182" i="4"/>
  <c r="Z181" i="4" s="1"/>
  <c r="Z198" i="4"/>
  <c r="Z197" i="4" s="1"/>
  <c r="Z227" i="4"/>
  <c r="Z226" i="4" s="1"/>
  <c r="Z50" i="4"/>
  <c r="Z205" i="4"/>
  <c r="Z204" i="4" s="1"/>
  <c r="Z236" i="4"/>
  <c r="Z235" i="4" s="1"/>
  <c r="Z252" i="4"/>
  <c r="Z251" i="4" s="1"/>
  <c r="Z77" i="4"/>
  <c r="Z123" i="4"/>
  <c r="Z122" i="4" s="1"/>
  <c r="Z148" i="4"/>
  <c r="Z147" i="4" s="1"/>
  <c r="Z173" i="4"/>
  <c r="Z172" i="4" s="1"/>
  <c r="Z120" i="4"/>
  <c r="Z119" i="4" s="1"/>
  <c r="Z145" i="4"/>
  <c r="Z144" i="4" s="1"/>
  <c r="Z170" i="4"/>
  <c r="Z169" i="4" s="1"/>
  <c r="Z192" i="4"/>
  <c r="Z191" i="4" s="1"/>
  <c r="Z219" i="4"/>
  <c r="Z218" i="4" s="1"/>
  <c r="Z20" i="4"/>
  <c r="Y135" i="4"/>
  <c r="Y134" i="4" s="1"/>
  <c r="Y160" i="4"/>
  <c r="Y159" i="4" s="1"/>
  <c r="Y185" i="4"/>
  <c r="Y184" i="4" s="1"/>
  <c r="Y211" i="4"/>
  <c r="Y210" i="4" s="1"/>
  <c r="Y244" i="4"/>
  <c r="Y243" i="4" s="1"/>
  <c r="Y258" i="4"/>
  <c r="Y257" i="4" s="1"/>
  <c r="Y99" i="4"/>
  <c r="Y132" i="4"/>
  <c r="Y131" i="4" s="1"/>
  <c r="Y157" i="4"/>
  <c r="Y156" i="4" s="1"/>
  <c r="Y182" i="4"/>
  <c r="Y181" i="4" s="1"/>
  <c r="Y198" i="4"/>
  <c r="Y197" i="4" s="1"/>
  <c r="Y227" i="4"/>
  <c r="Y226" i="4" s="1"/>
  <c r="Y50" i="4"/>
  <c r="Y123" i="4"/>
  <c r="Y122" i="4" s="1"/>
  <c r="Y148" i="4"/>
  <c r="Y147" i="4" s="1"/>
  <c r="Y173" i="4"/>
  <c r="Y172" i="4" s="1"/>
  <c r="Y77" i="4"/>
  <c r="Y205" i="4"/>
  <c r="Y204" i="4" s="1"/>
  <c r="Y236" i="4"/>
  <c r="Y235" i="4" s="1"/>
  <c r="Y252" i="4"/>
  <c r="Y251" i="4" s="1"/>
  <c r="Y120" i="4"/>
  <c r="Y119" i="4" s="1"/>
  <c r="Y145" i="4"/>
  <c r="Y144" i="4" s="1"/>
  <c r="Y170" i="4"/>
  <c r="Y169" i="4" s="1"/>
  <c r="Y192" i="4"/>
  <c r="Y191" i="4" s="1"/>
  <c r="Y219" i="4"/>
  <c r="Y218" i="4" s="1"/>
  <c r="Y20" i="4"/>
  <c r="Y129" i="4"/>
  <c r="Y128" i="4" s="1"/>
  <c r="Y154" i="4"/>
  <c r="Y153" i="4" s="1"/>
  <c r="Y88" i="4"/>
  <c r="Y179" i="4"/>
  <c r="Y178" i="4" s="1"/>
  <c r="Y208" i="4"/>
  <c r="Y207" i="4" s="1"/>
  <c r="Y240" i="4"/>
  <c r="Y239" i="4" s="1"/>
  <c r="Y255" i="4"/>
  <c r="Y254" i="4" s="1"/>
  <c r="Y126" i="4"/>
  <c r="Y125" i="4" s="1"/>
  <c r="Y151" i="4"/>
  <c r="Y150" i="4" s="1"/>
  <c r="Y176" i="4"/>
  <c r="Y175" i="4" s="1"/>
  <c r="Y195" i="4"/>
  <c r="Y194" i="4" s="1"/>
  <c r="Y223" i="4"/>
  <c r="Y222" i="4" s="1"/>
  <c r="Y35" i="4"/>
  <c r="X179" i="4"/>
  <c r="X178" i="4" s="1"/>
  <c r="X208" i="4"/>
  <c r="X207" i="4" s="1"/>
  <c r="X240" i="4"/>
  <c r="X239" i="4" s="1"/>
  <c r="X255" i="4"/>
  <c r="X254" i="4" s="1"/>
  <c r="X129" i="4"/>
  <c r="X128" i="4" s="1"/>
  <c r="X154" i="4"/>
  <c r="X153" i="4" s="1"/>
  <c r="X88" i="4"/>
  <c r="X126" i="4"/>
  <c r="X125" i="4" s="1"/>
  <c r="X151" i="4"/>
  <c r="X150" i="4" s="1"/>
  <c r="X176" i="4"/>
  <c r="X175" i="4" s="1"/>
  <c r="X195" i="4"/>
  <c r="X194" i="4" s="1"/>
  <c r="X223" i="4"/>
  <c r="X222" i="4" s="1"/>
  <c r="X35" i="4"/>
  <c r="X135" i="4"/>
  <c r="X134" i="4" s="1"/>
  <c r="X160" i="4"/>
  <c r="X159" i="4" s="1"/>
  <c r="X185" i="4"/>
  <c r="X184" i="4" s="1"/>
  <c r="X211" i="4"/>
  <c r="X210" i="4" s="1"/>
  <c r="X244" i="4"/>
  <c r="X243" i="4" s="1"/>
  <c r="X258" i="4"/>
  <c r="X257" i="4" s="1"/>
  <c r="X99" i="4"/>
  <c r="X132" i="4"/>
  <c r="X131" i="4" s="1"/>
  <c r="X157" i="4"/>
  <c r="X156" i="4" s="1"/>
  <c r="X182" i="4"/>
  <c r="X181" i="4" s="1"/>
  <c r="X198" i="4"/>
  <c r="X197" i="4" s="1"/>
  <c r="X227" i="4"/>
  <c r="X226" i="4" s="1"/>
  <c r="X50" i="4"/>
  <c r="X123" i="4"/>
  <c r="X122" i="4" s="1"/>
  <c r="X148" i="4"/>
  <c r="X147" i="4" s="1"/>
  <c r="X173" i="4"/>
  <c r="X172" i="4" s="1"/>
  <c r="X205" i="4"/>
  <c r="X204" i="4" s="1"/>
  <c r="X236" i="4"/>
  <c r="X235" i="4" s="1"/>
  <c r="X252" i="4"/>
  <c r="X251" i="4" s="1"/>
  <c r="X77" i="4"/>
  <c r="X120" i="4"/>
  <c r="X119" i="4" s="1"/>
  <c r="X145" i="4"/>
  <c r="X144" i="4" s="1"/>
  <c r="X170" i="4"/>
  <c r="X169" i="4" s="1"/>
  <c r="X192" i="4"/>
  <c r="X191" i="4" s="1"/>
  <c r="X219" i="4"/>
  <c r="X218" i="4" s="1"/>
  <c r="X20" i="4"/>
  <c r="W99" i="4"/>
  <c r="W135" i="4"/>
  <c r="W134" i="4" s="1"/>
  <c r="W160" i="4"/>
  <c r="W159" i="4" s="1"/>
  <c r="W185" i="4"/>
  <c r="W184" i="4" s="1"/>
  <c r="W211" i="4"/>
  <c r="W210" i="4" s="1"/>
  <c r="W244" i="4"/>
  <c r="W243" i="4" s="1"/>
  <c r="W258" i="4"/>
  <c r="W257" i="4" s="1"/>
  <c r="W132" i="4"/>
  <c r="W131" i="4" s="1"/>
  <c r="W157" i="4"/>
  <c r="W156" i="4" s="1"/>
  <c r="W182" i="4"/>
  <c r="W181" i="4" s="1"/>
  <c r="W198" i="4"/>
  <c r="W197" i="4" s="1"/>
  <c r="W227" i="4"/>
  <c r="W226" i="4" s="1"/>
  <c r="W50" i="4"/>
  <c r="W123" i="4"/>
  <c r="W122" i="4" s="1"/>
  <c r="W148" i="4"/>
  <c r="W147" i="4" s="1"/>
  <c r="W173" i="4"/>
  <c r="W172" i="4" s="1"/>
  <c r="W77" i="4"/>
  <c r="W205" i="4"/>
  <c r="W204" i="4" s="1"/>
  <c r="W236" i="4"/>
  <c r="W235" i="4" s="1"/>
  <c r="W252" i="4"/>
  <c r="W251" i="4" s="1"/>
  <c r="W120" i="4"/>
  <c r="W119" i="4" s="1"/>
  <c r="W145" i="4"/>
  <c r="W144" i="4" s="1"/>
  <c r="W170" i="4"/>
  <c r="W169" i="4" s="1"/>
  <c r="W192" i="4"/>
  <c r="W191" i="4" s="1"/>
  <c r="W219" i="4"/>
  <c r="W218" i="4" s="1"/>
  <c r="W20" i="4"/>
  <c r="W129" i="4"/>
  <c r="W128" i="4" s="1"/>
  <c r="W154" i="4"/>
  <c r="W153" i="4" s="1"/>
  <c r="W88" i="4"/>
  <c r="W179" i="4"/>
  <c r="W178" i="4" s="1"/>
  <c r="W208" i="4"/>
  <c r="W207" i="4" s="1"/>
  <c r="W240" i="4"/>
  <c r="W239" i="4" s="1"/>
  <c r="W255" i="4"/>
  <c r="W254" i="4" s="1"/>
  <c r="W126" i="4"/>
  <c r="W125" i="4" s="1"/>
  <c r="W151" i="4"/>
  <c r="W150" i="4" s="1"/>
  <c r="W176" i="4"/>
  <c r="W175" i="4" s="1"/>
  <c r="W195" i="4"/>
  <c r="W194" i="4" s="1"/>
  <c r="W223" i="4"/>
  <c r="W222" i="4" s="1"/>
  <c r="W35" i="4"/>
  <c r="V135" i="4"/>
  <c r="V134" i="4" s="1"/>
  <c r="V160" i="4"/>
  <c r="V159" i="4" s="1"/>
  <c r="V185" i="4"/>
  <c r="V184" i="4" s="1"/>
  <c r="V211" i="4"/>
  <c r="V210" i="4" s="1"/>
  <c r="V244" i="4"/>
  <c r="V243" i="4" s="1"/>
  <c r="V258" i="4"/>
  <c r="V257" i="4" s="1"/>
  <c r="V99" i="4"/>
  <c r="V132" i="4"/>
  <c r="V131" i="4" s="1"/>
  <c r="V157" i="4"/>
  <c r="V156" i="4" s="1"/>
  <c r="V182" i="4"/>
  <c r="V181" i="4" s="1"/>
  <c r="V198" i="4"/>
  <c r="V197" i="4" s="1"/>
  <c r="V227" i="4"/>
  <c r="V226" i="4" s="1"/>
  <c r="V50" i="4"/>
  <c r="V179" i="4"/>
  <c r="V178" i="4" s="1"/>
  <c r="V208" i="4"/>
  <c r="V207" i="4" s="1"/>
  <c r="V240" i="4"/>
  <c r="V239" i="4" s="1"/>
  <c r="V255" i="4"/>
  <c r="V254" i="4" s="1"/>
  <c r="V88" i="4"/>
  <c r="V129" i="4"/>
  <c r="V128" i="4" s="1"/>
  <c r="V154" i="4"/>
  <c r="V153" i="4" s="1"/>
  <c r="V126" i="4"/>
  <c r="V125" i="4" s="1"/>
  <c r="V151" i="4"/>
  <c r="V150" i="4" s="1"/>
  <c r="V176" i="4"/>
  <c r="V175" i="4" s="1"/>
  <c r="V195" i="4"/>
  <c r="V194" i="4" s="1"/>
  <c r="V223" i="4"/>
  <c r="V222" i="4" s="1"/>
  <c r="V35" i="4"/>
  <c r="V123" i="4"/>
  <c r="V122" i="4" s="1"/>
  <c r="V148" i="4"/>
  <c r="V147" i="4" s="1"/>
  <c r="V173" i="4"/>
  <c r="V172" i="4" s="1"/>
  <c r="V205" i="4"/>
  <c r="V204" i="4" s="1"/>
  <c r="V236" i="4"/>
  <c r="V235" i="4" s="1"/>
  <c r="V252" i="4"/>
  <c r="V251" i="4" s="1"/>
  <c r="V77" i="4"/>
  <c r="V120" i="4"/>
  <c r="V119" i="4" s="1"/>
  <c r="V145" i="4"/>
  <c r="V144" i="4" s="1"/>
  <c r="V170" i="4"/>
  <c r="V169" i="4" s="1"/>
  <c r="V192" i="4"/>
  <c r="V191" i="4" s="1"/>
  <c r="V219" i="4"/>
  <c r="V218" i="4" s="1"/>
  <c r="V20" i="4"/>
  <c r="U123" i="4"/>
  <c r="U122" i="4" s="1"/>
  <c r="U148" i="4"/>
  <c r="U147" i="4" s="1"/>
  <c r="U173" i="4"/>
  <c r="U172" i="4" s="1"/>
  <c r="U205" i="4"/>
  <c r="U204" i="4" s="1"/>
  <c r="U236" i="4"/>
  <c r="U235" i="4" s="1"/>
  <c r="U252" i="4"/>
  <c r="U251" i="4" s="1"/>
  <c r="U77" i="4"/>
  <c r="U120" i="4"/>
  <c r="U119" i="4" s="1"/>
  <c r="U145" i="4"/>
  <c r="U144" i="4" s="1"/>
  <c r="U170" i="4"/>
  <c r="U169" i="4" s="1"/>
  <c r="U192" i="4"/>
  <c r="U191" i="4" s="1"/>
  <c r="U219" i="4"/>
  <c r="U218" i="4" s="1"/>
  <c r="U20" i="4"/>
  <c r="U135" i="4"/>
  <c r="U134" i="4" s="1"/>
  <c r="U160" i="4"/>
  <c r="U159" i="4" s="1"/>
  <c r="U185" i="4"/>
  <c r="U184" i="4" s="1"/>
  <c r="U211" i="4"/>
  <c r="U210" i="4" s="1"/>
  <c r="U244" i="4"/>
  <c r="U243" i="4" s="1"/>
  <c r="U258" i="4"/>
  <c r="U257" i="4" s="1"/>
  <c r="U99" i="4"/>
  <c r="U132" i="4"/>
  <c r="U131" i="4" s="1"/>
  <c r="U157" i="4"/>
  <c r="U156" i="4" s="1"/>
  <c r="U182" i="4"/>
  <c r="U181" i="4" s="1"/>
  <c r="U198" i="4"/>
  <c r="U197" i="4" s="1"/>
  <c r="U227" i="4"/>
  <c r="U226" i="4" s="1"/>
  <c r="U50" i="4"/>
  <c r="U129" i="4"/>
  <c r="U128" i="4" s="1"/>
  <c r="U154" i="4"/>
  <c r="U153" i="4" s="1"/>
  <c r="U88" i="4"/>
  <c r="U179" i="4"/>
  <c r="U178" i="4" s="1"/>
  <c r="U208" i="4"/>
  <c r="U207" i="4" s="1"/>
  <c r="U240" i="4"/>
  <c r="U239" i="4" s="1"/>
  <c r="U255" i="4"/>
  <c r="U254" i="4" s="1"/>
  <c r="U126" i="4"/>
  <c r="U125" i="4" s="1"/>
  <c r="U151" i="4"/>
  <c r="U150" i="4" s="1"/>
  <c r="U176" i="4"/>
  <c r="U175" i="4" s="1"/>
  <c r="U195" i="4"/>
  <c r="U194" i="4" s="1"/>
  <c r="U223" i="4"/>
  <c r="U222" i="4" s="1"/>
  <c r="U35" i="4"/>
  <c r="T135" i="4"/>
  <c r="T134" i="4" s="1"/>
  <c r="T160" i="4"/>
  <c r="T159" i="4" s="1"/>
  <c r="T185" i="4"/>
  <c r="T184" i="4" s="1"/>
  <c r="T211" i="4"/>
  <c r="T210" i="4" s="1"/>
  <c r="T244" i="4"/>
  <c r="T243" i="4" s="1"/>
  <c r="T258" i="4"/>
  <c r="T257" i="4" s="1"/>
  <c r="T99" i="4"/>
  <c r="T132" i="4"/>
  <c r="T131" i="4" s="1"/>
  <c r="T157" i="4"/>
  <c r="T156" i="4" s="1"/>
  <c r="T182" i="4"/>
  <c r="T181" i="4" s="1"/>
  <c r="T198" i="4"/>
  <c r="T197" i="4" s="1"/>
  <c r="T227" i="4"/>
  <c r="T226" i="4" s="1"/>
  <c r="T50" i="4"/>
  <c r="T179" i="4"/>
  <c r="T178" i="4" s="1"/>
  <c r="T208" i="4"/>
  <c r="T207" i="4" s="1"/>
  <c r="T240" i="4"/>
  <c r="T239" i="4" s="1"/>
  <c r="T255" i="4"/>
  <c r="T254" i="4" s="1"/>
  <c r="T129" i="4"/>
  <c r="T128" i="4" s="1"/>
  <c r="T154" i="4"/>
  <c r="T153" i="4" s="1"/>
  <c r="T88" i="4"/>
  <c r="T126" i="4"/>
  <c r="T125" i="4" s="1"/>
  <c r="T151" i="4"/>
  <c r="T150" i="4" s="1"/>
  <c r="T176" i="4"/>
  <c r="T175" i="4" s="1"/>
  <c r="T195" i="4"/>
  <c r="T194" i="4" s="1"/>
  <c r="T223" i="4"/>
  <c r="T222" i="4" s="1"/>
  <c r="T35" i="4"/>
  <c r="T205" i="4"/>
  <c r="T204" i="4" s="1"/>
  <c r="T236" i="4"/>
  <c r="T235" i="4" s="1"/>
  <c r="T252" i="4"/>
  <c r="T251" i="4" s="1"/>
  <c r="T123" i="4"/>
  <c r="T122" i="4" s="1"/>
  <c r="T148" i="4"/>
  <c r="T147" i="4" s="1"/>
  <c r="T173" i="4"/>
  <c r="T172" i="4" s="1"/>
  <c r="T77" i="4"/>
  <c r="T120" i="4"/>
  <c r="T119" i="4" s="1"/>
  <c r="T145" i="4"/>
  <c r="T144" i="4" s="1"/>
  <c r="T170" i="4"/>
  <c r="T169" i="4" s="1"/>
  <c r="T192" i="4"/>
  <c r="T191" i="4" s="1"/>
  <c r="T219" i="4"/>
  <c r="T218" i="4" s="1"/>
  <c r="T20" i="4"/>
  <c r="S135" i="4"/>
  <c r="S134" i="4" s="1"/>
  <c r="S160" i="4"/>
  <c r="S159" i="4" s="1"/>
  <c r="S185" i="4"/>
  <c r="S184" i="4" s="1"/>
  <c r="S211" i="4"/>
  <c r="S210" i="4" s="1"/>
  <c r="S244" i="4"/>
  <c r="S243" i="4" s="1"/>
  <c r="S258" i="4"/>
  <c r="S257" i="4" s="1"/>
  <c r="S99" i="4"/>
  <c r="S132" i="4"/>
  <c r="S131" i="4" s="1"/>
  <c r="S157" i="4"/>
  <c r="S156" i="4" s="1"/>
  <c r="S182" i="4"/>
  <c r="S181" i="4" s="1"/>
  <c r="S198" i="4"/>
  <c r="S197" i="4" s="1"/>
  <c r="S227" i="4"/>
  <c r="S226" i="4" s="1"/>
  <c r="S50" i="4"/>
  <c r="S129" i="4"/>
  <c r="S128" i="4" s="1"/>
  <c r="S154" i="4"/>
  <c r="S153" i="4" s="1"/>
  <c r="S179" i="4"/>
  <c r="S178" i="4" s="1"/>
  <c r="S208" i="4"/>
  <c r="S207" i="4" s="1"/>
  <c r="S240" i="4"/>
  <c r="S239" i="4" s="1"/>
  <c r="S255" i="4"/>
  <c r="S254" i="4" s="1"/>
  <c r="S88" i="4"/>
  <c r="S126" i="4"/>
  <c r="S125" i="4" s="1"/>
  <c r="S151" i="4"/>
  <c r="S150" i="4" s="1"/>
  <c r="S176" i="4"/>
  <c r="S175" i="4" s="1"/>
  <c r="S195" i="4"/>
  <c r="S194" i="4" s="1"/>
  <c r="S223" i="4"/>
  <c r="S222" i="4" s="1"/>
  <c r="S35" i="4"/>
  <c r="S123" i="4"/>
  <c r="S122" i="4" s="1"/>
  <c r="S148" i="4"/>
  <c r="S147" i="4" s="1"/>
  <c r="S173" i="4"/>
  <c r="S172" i="4" s="1"/>
  <c r="S205" i="4"/>
  <c r="S204" i="4" s="1"/>
  <c r="S236" i="4"/>
  <c r="S235" i="4" s="1"/>
  <c r="S252" i="4"/>
  <c r="S251" i="4" s="1"/>
  <c r="S77" i="4"/>
  <c r="S120" i="4"/>
  <c r="S119" i="4" s="1"/>
  <c r="S145" i="4"/>
  <c r="S144" i="4" s="1"/>
  <c r="S170" i="4"/>
  <c r="S169" i="4" s="1"/>
  <c r="S192" i="4"/>
  <c r="S191" i="4" s="1"/>
  <c r="S219" i="4"/>
  <c r="S218" i="4" s="1"/>
  <c r="S20" i="4"/>
  <c r="R135" i="4"/>
  <c r="R134" i="4" s="1"/>
  <c r="R160" i="4"/>
  <c r="R159" i="4" s="1"/>
  <c r="R185" i="4"/>
  <c r="R184" i="4" s="1"/>
  <c r="R211" i="4"/>
  <c r="R210" i="4" s="1"/>
  <c r="R244" i="4"/>
  <c r="R243" i="4" s="1"/>
  <c r="R258" i="4"/>
  <c r="R257" i="4" s="1"/>
  <c r="R99" i="4"/>
  <c r="R132" i="4"/>
  <c r="R131" i="4" s="1"/>
  <c r="R157" i="4"/>
  <c r="R156" i="4" s="1"/>
  <c r="R182" i="4"/>
  <c r="R181" i="4" s="1"/>
  <c r="R198" i="4"/>
  <c r="R197" i="4" s="1"/>
  <c r="R227" i="4"/>
  <c r="R226" i="4" s="1"/>
  <c r="R50" i="4"/>
  <c r="R205" i="4"/>
  <c r="R204" i="4" s="1"/>
  <c r="R236" i="4"/>
  <c r="R235" i="4" s="1"/>
  <c r="R252" i="4"/>
  <c r="R251" i="4" s="1"/>
  <c r="R77" i="4"/>
  <c r="R123" i="4"/>
  <c r="R122" i="4" s="1"/>
  <c r="R148" i="4"/>
  <c r="R147" i="4" s="1"/>
  <c r="R173" i="4"/>
  <c r="R172" i="4" s="1"/>
  <c r="R120" i="4"/>
  <c r="R119" i="4" s="1"/>
  <c r="R145" i="4"/>
  <c r="R144" i="4" s="1"/>
  <c r="R170" i="4"/>
  <c r="R169" i="4" s="1"/>
  <c r="R192" i="4"/>
  <c r="R191" i="4" s="1"/>
  <c r="R219" i="4"/>
  <c r="R218" i="4" s="1"/>
  <c r="R20" i="4"/>
  <c r="R129" i="4"/>
  <c r="R128" i="4" s="1"/>
  <c r="R154" i="4"/>
  <c r="R153" i="4" s="1"/>
  <c r="R88" i="4"/>
  <c r="R179" i="4"/>
  <c r="R178" i="4" s="1"/>
  <c r="R208" i="4"/>
  <c r="R207" i="4" s="1"/>
  <c r="R240" i="4"/>
  <c r="R239" i="4" s="1"/>
  <c r="R255" i="4"/>
  <c r="R254" i="4" s="1"/>
  <c r="R126" i="4"/>
  <c r="R125" i="4" s="1"/>
  <c r="R151" i="4"/>
  <c r="R150" i="4" s="1"/>
  <c r="R176" i="4"/>
  <c r="R175" i="4" s="1"/>
  <c r="R195" i="4"/>
  <c r="R194" i="4" s="1"/>
  <c r="R223" i="4"/>
  <c r="R222" i="4" s="1"/>
  <c r="R35" i="4"/>
  <c r="Q135" i="4"/>
  <c r="Q134" i="4" s="1"/>
  <c r="Q160" i="4"/>
  <c r="Q159" i="4" s="1"/>
  <c r="Q185" i="4"/>
  <c r="Q184" i="4" s="1"/>
  <c r="Q211" i="4"/>
  <c r="Q210" i="4" s="1"/>
  <c r="Q244" i="4"/>
  <c r="Q243" i="4" s="1"/>
  <c r="Q258" i="4"/>
  <c r="Q257" i="4" s="1"/>
  <c r="Q99" i="4"/>
  <c r="Q132" i="4"/>
  <c r="Q131" i="4" s="1"/>
  <c r="Q157" i="4"/>
  <c r="Q156" i="4" s="1"/>
  <c r="Q182" i="4"/>
  <c r="Q181" i="4" s="1"/>
  <c r="Q198" i="4"/>
  <c r="Q197" i="4" s="1"/>
  <c r="Q227" i="4"/>
  <c r="Q226" i="4" s="1"/>
  <c r="Q50" i="4"/>
  <c r="Q77" i="4"/>
  <c r="Q123" i="4"/>
  <c r="Q122" i="4" s="1"/>
  <c r="Q148" i="4"/>
  <c r="Q147" i="4" s="1"/>
  <c r="Q173" i="4"/>
  <c r="Q172" i="4" s="1"/>
  <c r="Q205" i="4"/>
  <c r="Q204" i="4" s="1"/>
  <c r="Q236" i="4"/>
  <c r="Q235" i="4" s="1"/>
  <c r="Q252" i="4"/>
  <c r="Q251" i="4" s="1"/>
  <c r="Q120" i="4"/>
  <c r="Q119" i="4" s="1"/>
  <c r="Q145" i="4"/>
  <c r="Q144" i="4" s="1"/>
  <c r="Q170" i="4"/>
  <c r="Q169" i="4" s="1"/>
  <c r="Q192" i="4"/>
  <c r="Q191" i="4" s="1"/>
  <c r="Q219" i="4"/>
  <c r="Q218" i="4" s="1"/>
  <c r="Q20" i="4"/>
  <c r="Q129" i="4"/>
  <c r="Q128" i="4" s="1"/>
  <c r="Q154" i="4"/>
  <c r="Q153" i="4" s="1"/>
  <c r="Q88" i="4"/>
  <c r="Q179" i="4"/>
  <c r="Q178" i="4" s="1"/>
  <c r="Q208" i="4"/>
  <c r="Q207" i="4" s="1"/>
  <c r="Q240" i="4"/>
  <c r="Q239" i="4" s="1"/>
  <c r="Q255" i="4"/>
  <c r="Q254" i="4" s="1"/>
  <c r="Q126" i="4"/>
  <c r="Q125" i="4" s="1"/>
  <c r="Q151" i="4"/>
  <c r="Q150" i="4" s="1"/>
  <c r="Q176" i="4"/>
  <c r="Q175" i="4" s="1"/>
  <c r="Q195" i="4"/>
  <c r="Q194" i="4" s="1"/>
  <c r="Q223" i="4"/>
  <c r="Q222" i="4" s="1"/>
  <c r="Q35" i="4"/>
  <c r="P99" i="4"/>
  <c r="P135" i="4"/>
  <c r="P134" i="4" s="1"/>
  <c r="P160" i="4"/>
  <c r="P159" i="4" s="1"/>
  <c r="P185" i="4"/>
  <c r="P184" i="4" s="1"/>
  <c r="P211" i="4"/>
  <c r="P210" i="4" s="1"/>
  <c r="P244" i="4"/>
  <c r="P243" i="4" s="1"/>
  <c r="P258" i="4"/>
  <c r="P257" i="4" s="1"/>
  <c r="P132" i="4"/>
  <c r="P131" i="4" s="1"/>
  <c r="P157" i="4"/>
  <c r="P156" i="4" s="1"/>
  <c r="P182" i="4"/>
  <c r="P181" i="4" s="1"/>
  <c r="P198" i="4"/>
  <c r="P197" i="4" s="1"/>
  <c r="P227" i="4"/>
  <c r="P226" i="4" s="1"/>
  <c r="P50" i="4"/>
  <c r="P205" i="4"/>
  <c r="P204" i="4" s="1"/>
  <c r="P236" i="4"/>
  <c r="P235" i="4" s="1"/>
  <c r="P252" i="4"/>
  <c r="P251" i="4" s="1"/>
  <c r="P77" i="4"/>
  <c r="P123" i="4"/>
  <c r="P122" i="4" s="1"/>
  <c r="P148" i="4"/>
  <c r="P147" i="4" s="1"/>
  <c r="P173" i="4"/>
  <c r="P172" i="4" s="1"/>
  <c r="P120" i="4"/>
  <c r="P119" i="4" s="1"/>
  <c r="P145" i="4"/>
  <c r="P144" i="4" s="1"/>
  <c r="P170" i="4"/>
  <c r="P169" i="4" s="1"/>
  <c r="P192" i="4"/>
  <c r="P191" i="4" s="1"/>
  <c r="P219" i="4"/>
  <c r="P218" i="4" s="1"/>
  <c r="P20" i="4"/>
  <c r="P129" i="4"/>
  <c r="P128" i="4" s="1"/>
  <c r="P154" i="4"/>
  <c r="P153" i="4" s="1"/>
  <c r="P179" i="4"/>
  <c r="P178" i="4" s="1"/>
  <c r="P208" i="4"/>
  <c r="P207" i="4" s="1"/>
  <c r="P240" i="4"/>
  <c r="P239" i="4" s="1"/>
  <c r="P255" i="4"/>
  <c r="P254" i="4" s="1"/>
  <c r="P88" i="4"/>
  <c r="P126" i="4"/>
  <c r="P125" i="4" s="1"/>
  <c r="P151" i="4"/>
  <c r="P150" i="4" s="1"/>
  <c r="P176" i="4"/>
  <c r="P175" i="4" s="1"/>
  <c r="P195" i="4"/>
  <c r="P194" i="4" s="1"/>
  <c r="P223" i="4"/>
  <c r="P222" i="4" s="1"/>
  <c r="P35" i="4"/>
  <c r="O135" i="4"/>
  <c r="O134" i="4" s="1"/>
  <c r="O160" i="4"/>
  <c r="O159" i="4" s="1"/>
  <c r="O185" i="4"/>
  <c r="O184" i="4" s="1"/>
  <c r="O211" i="4"/>
  <c r="O210" i="4" s="1"/>
  <c r="O244" i="4"/>
  <c r="O243" i="4" s="1"/>
  <c r="O258" i="4"/>
  <c r="O257" i="4" s="1"/>
  <c r="O99" i="4"/>
  <c r="O132" i="4"/>
  <c r="O131" i="4" s="1"/>
  <c r="O157" i="4"/>
  <c r="O156" i="4" s="1"/>
  <c r="O182" i="4"/>
  <c r="O181" i="4" s="1"/>
  <c r="O198" i="4"/>
  <c r="O197" i="4" s="1"/>
  <c r="O227" i="4"/>
  <c r="O226" i="4" s="1"/>
  <c r="O50" i="4"/>
  <c r="O129" i="4"/>
  <c r="O128" i="4" s="1"/>
  <c r="O154" i="4"/>
  <c r="O153" i="4" s="1"/>
  <c r="O88" i="4"/>
  <c r="O179" i="4"/>
  <c r="O178" i="4" s="1"/>
  <c r="O208" i="4"/>
  <c r="O207" i="4" s="1"/>
  <c r="O240" i="4"/>
  <c r="O239" i="4" s="1"/>
  <c r="O255" i="4"/>
  <c r="O254" i="4" s="1"/>
  <c r="O126" i="4"/>
  <c r="O125" i="4" s="1"/>
  <c r="O151" i="4"/>
  <c r="O150" i="4" s="1"/>
  <c r="O176" i="4"/>
  <c r="O175" i="4" s="1"/>
  <c r="O195" i="4"/>
  <c r="O194" i="4" s="1"/>
  <c r="O223" i="4"/>
  <c r="O222" i="4" s="1"/>
  <c r="O35" i="4"/>
  <c r="O123" i="4"/>
  <c r="O122" i="4" s="1"/>
  <c r="O148" i="4"/>
  <c r="O147" i="4" s="1"/>
  <c r="O173" i="4"/>
  <c r="O172" i="4" s="1"/>
  <c r="O77" i="4"/>
  <c r="O205" i="4"/>
  <c r="O204" i="4" s="1"/>
  <c r="O236" i="4"/>
  <c r="O235" i="4" s="1"/>
  <c r="O252" i="4"/>
  <c r="O251" i="4" s="1"/>
  <c r="O120" i="4"/>
  <c r="O119" i="4" s="1"/>
  <c r="O145" i="4"/>
  <c r="O144" i="4" s="1"/>
  <c r="O170" i="4"/>
  <c r="O169" i="4" s="1"/>
  <c r="O192" i="4"/>
  <c r="O191" i="4" s="1"/>
  <c r="O219" i="4"/>
  <c r="O218" i="4" s="1"/>
  <c r="O20" i="4"/>
  <c r="N77" i="4"/>
  <c r="N123" i="4"/>
  <c r="N122" i="4" s="1"/>
  <c r="N148" i="4"/>
  <c r="N147" i="4" s="1"/>
  <c r="N173" i="4"/>
  <c r="N172" i="4" s="1"/>
  <c r="N205" i="4"/>
  <c r="N204" i="4" s="1"/>
  <c r="N236" i="4"/>
  <c r="N235" i="4" s="1"/>
  <c r="N252" i="4"/>
  <c r="N251" i="4" s="1"/>
  <c r="N120" i="4"/>
  <c r="N119" i="4" s="1"/>
  <c r="N145" i="4"/>
  <c r="N144" i="4" s="1"/>
  <c r="N170" i="4"/>
  <c r="N169" i="4" s="1"/>
  <c r="N192" i="4"/>
  <c r="N191" i="4" s="1"/>
  <c r="N219" i="4"/>
  <c r="N218" i="4" s="1"/>
  <c r="N20" i="4"/>
  <c r="N135" i="4"/>
  <c r="N134" i="4" s="1"/>
  <c r="N160" i="4"/>
  <c r="N159" i="4" s="1"/>
  <c r="N185" i="4"/>
  <c r="N184" i="4" s="1"/>
  <c r="N211" i="4"/>
  <c r="N210" i="4" s="1"/>
  <c r="N244" i="4"/>
  <c r="N243" i="4" s="1"/>
  <c r="N258" i="4"/>
  <c r="N257" i="4" s="1"/>
  <c r="N99" i="4"/>
  <c r="N132" i="4"/>
  <c r="N131" i="4" s="1"/>
  <c r="N157" i="4"/>
  <c r="N156" i="4" s="1"/>
  <c r="N182" i="4"/>
  <c r="N181" i="4" s="1"/>
  <c r="N198" i="4"/>
  <c r="N197" i="4" s="1"/>
  <c r="N227" i="4"/>
  <c r="N226" i="4" s="1"/>
  <c r="N50" i="4"/>
  <c r="N179" i="4"/>
  <c r="N178" i="4" s="1"/>
  <c r="N208" i="4"/>
  <c r="N207" i="4" s="1"/>
  <c r="N240" i="4"/>
  <c r="N239" i="4" s="1"/>
  <c r="N255" i="4"/>
  <c r="N254" i="4" s="1"/>
  <c r="N88" i="4"/>
  <c r="N129" i="4"/>
  <c r="N128" i="4" s="1"/>
  <c r="N154" i="4"/>
  <c r="N153" i="4" s="1"/>
  <c r="N126" i="4"/>
  <c r="N125" i="4" s="1"/>
  <c r="N151" i="4"/>
  <c r="N150" i="4" s="1"/>
  <c r="N176" i="4"/>
  <c r="N175" i="4" s="1"/>
  <c r="N195" i="4"/>
  <c r="N194" i="4" s="1"/>
  <c r="N223" i="4"/>
  <c r="N222" i="4" s="1"/>
  <c r="N35" i="4"/>
  <c r="M123" i="4"/>
  <c r="M122" i="4" s="1"/>
  <c r="M148" i="4"/>
  <c r="M147" i="4" s="1"/>
  <c r="M173" i="4"/>
  <c r="M172" i="4" s="1"/>
  <c r="M205" i="4"/>
  <c r="M204" i="4" s="1"/>
  <c r="M236" i="4"/>
  <c r="M235" i="4" s="1"/>
  <c r="M252" i="4"/>
  <c r="M251" i="4" s="1"/>
  <c r="M77" i="4"/>
  <c r="M120" i="4"/>
  <c r="M119" i="4" s="1"/>
  <c r="M145" i="4"/>
  <c r="M144" i="4" s="1"/>
  <c r="M170" i="4"/>
  <c r="M169" i="4" s="1"/>
  <c r="M192" i="4"/>
  <c r="M191" i="4" s="1"/>
  <c r="M219" i="4"/>
  <c r="M218" i="4" s="1"/>
  <c r="M20" i="4"/>
  <c r="M135" i="4"/>
  <c r="M134" i="4" s="1"/>
  <c r="M160" i="4"/>
  <c r="M159" i="4" s="1"/>
  <c r="M185" i="4"/>
  <c r="M184" i="4" s="1"/>
  <c r="M211" i="4"/>
  <c r="M210" i="4" s="1"/>
  <c r="M244" i="4"/>
  <c r="M243" i="4" s="1"/>
  <c r="M258" i="4"/>
  <c r="M257" i="4" s="1"/>
  <c r="M99" i="4"/>
  <c r="M132" i="4"/>
  <c r="M131" i="4" s="1"/>
  <c r="M157" i="4"/>
  <c r="M156" i="4" s="1"/>
  <c r="M182" i="4"/>
  <c r="M181" i="4" s="1"/>
  <c r="M198" i="4"/>
  <c r="M197" i="4" s="1"/>
  <c r="M227" i="4"/>
  <c r="M226" i="4" s="1"/>
  <c r="M50" i="4"/>
  <c r="M129" i="4"/>
  <c r="M128" i="4" s="1"/>
  <c r="M154" i="4"/>
  <c r="M153" i="4" s="1"/>
  <c r="M88" i="4"/>
  <c r="M179" i="4"/>
  <c r="M178" i="4" s="1"/>
  <c r="M208" i="4"/>
  <c r="M207" i="4" s="1"/>
  <c r="M240" i="4"/>
  <c r="M239" i="4" s="1"/>
  <c r="M255" i="4"/>
  <c r="M254" i="4" s="1"/>
  <c r="M126" i="4"/>
  <c r="M125" i="4" s="1"/>
  <c r="M151" i="4"/>
  <c r="M150" i="4" s="1"/>
  <c r="M176" i="4"/>
  <c r="M175" i="4" s="1"/>
  <c r="M195" i="4"/>
  <c r="M194" i="4" s="1"/>
  <c r="M223" i="4"/>
  <c r="M222" i="4" s="1"/>
  <c r="M35" i="4"/>
  <c r="L135" i="4"/>
  <c r="L134" i="4" s="1"/>
  <c r="L160" i="4"/>
  <c r="L159" i="4" s="1"/>
  <c r="L185" i="4"/>
  <c r="L184" i="4" s="1"/>
  <c r="L211" i="4"/>
  <c r="L210" i="4" s="1"/>
  <c r="L244" i="4"/>
  <c r="L243" i="4" s="1"/>
  <c r="L258" i="4"/>
  <c r="L257" i="4" s="1"/>
  <c r="L99" i="4"/>
  <c r="L132" i="4"/>
  <c r="L131" i="4" s="1"/>
  <c r="L157" i="4"/>
  <c r="L156" i="4" s="1"/>
  <c r="L182" i="4"/>
  <c r="L181" i="4" s="1"/>
  <c r="L198" i="4"/>
  <c r="L197" i="4" s="1"/>
  <c r="L227" i="4"/>
  <c r="L226" i="4" s="1"/>
  <c r="L50" i="4"/>
  <c r="L205" i="4"/>
  <c r="L204" i="4" s="1"/>
  <c r="L236" i="4"/>
  <c r="L235" i="4" s="1"/>
  <c r="L252" i="4"/>
  <c r="L251" i="4" s="1"/>
  <c r="L77" i="4"/>
  <c r="L123" i="4"/>
  <c r="L122" i="4" s="1"/>
  <c r="L148" i="4"/>
  <c r="L147" i="4" s="1"/>
  <c r="L173" i="4"/>
  <c r="L172" i="4" s="1"/>
  <c r="L120" i="4"/>
  <c r="L119" i="4" s="1"/>
  <c r="L145" i="4"/>
  <c r="L144" i="4" s="1"/>
  <c r="L170" i="4"/>
  <c r="L169" i="4" s="1"/>
  <c r="L192" i="4"/>
  <c r="L191" i="4" s="1"/>
  <c r="L219" i="4"/>
  <c r="L218" i="4" s="1"/>
  <c r="L20" i="4"/>
  <c r="L179" i="4"/>
  <c r="L178" i="4" s="1"/>
  <c r="L208" i="4"/>
  <c r="L207" i="4" s="1"/>
  <c r="L240" i="4"/>
  <c r="L239" i="4" s="1"/>
  <c r="L255" i="4"/>
  <c r="L254" i="4" s="1"/>
  <c r="L88" i="4"/>
  <c r="L129" i="4"/>
  <c r="L128" i="4" s="1"/>
  <c r="L154" i="4"/>
  <c r="L153" i="4" s="1"/>
  <c r="L126" i="4"/>
  <c r="L125" i="4" s="1"/>
  <c r="L151" i="4"/>
  <c r="L150" i="4" s="1"/>
  <c r="L176" i="4"/>
  <c r="L175" i="4" s="1"/>
  <c r="L195" i="4"/>
  <c r="L194" i="4" s="1"/>
  <c r="L223" i="4"/>
  <c r="L222" i="4" s="1"/>
  <c r="L35" i="4"/>
  <c r="K129" i="4"/>
  <c r="K128" i="4" s="1"/>
  <c r="K154" i="4"/>
  <c r="K153" i="4" s="1"/>
  <c r="K179" i="4"/>
  <c r="K178" i="4" s="1"/>
  <c r="K208" i="4"/>
  <c r="K207" i="4" s="1"/>
  <c r="K240" i="4"/>
  <c r="K239" i="4" s="1"/>
  <c r="K255" i="4"/>
  <c r="K254" i="4" s="1"/>
  <c r="K88" i="4"/>
  <c r="K126" i="4"/>
  <c r="K125" i="4" s="1"/>
  <c r="K151" i="4"/>
  <c r="K150" i="4" s="1"/>
  <c r="K176" i="4"/>
  <c r="K175" i="4" s="1"/>
  <c r="K195" i="4"/>
  <c r="K194" i="4" s="1"/>
  <c r="K223" i="4"/>
  <c r="K222" i="4" s="1"/>
  <c r="K35" i="4"/>
  <c r="K135" i="4"/>
  <c r="K134" i="4" s="1"/>
  <c r="K160" i="4"/>
  <c r="K159" i="4" s="1"/>
  <c r="K185" i="4"/>
  <c r="K184" i="4" s="1"/>
  <c r="K211" i="4"/>
  <c r="K210" i="4" s="1"/>
  <c r="K244" i="4"/>
  <c r="K243" i="4" s="1"/>
  <c r="K258" i="4"/>
  <c r="K257" i="4" s="1"/>
  <c r="K99" i="4"/>
  <c r="K132" i="4"/>
  <c r="K131" i="4" s="1"/>
  <c r="K157" i="4"/>
  <c r="K156" i="4" s="1"/>
  <c r="K182" i="4"/>
  <c r="K181" i="4" s="1"/>
  <c r="K198" i="4"/>
  <c r="K197" i="4" s="1"/>
  <c r="K227" i="4"/>
  <c r="K226" i="4" s="1"/>
  <c r="K50" i="4"/>
  <c r="K123" i="4"/>
  <c r="K122" i="4" s="1"/>
  <c r="K148" i="4"/>
  <c r="K147" i="4" s="1"/>
  <c r="K173" i="4"/>
  <c r="K172" i="4" s="1"/>
  <c r="K205" i="4"/>
  <c r="K204" i="4" s="1"/>
  <c r="K236" i="4"/>
  <c r="K235" i="4" s="1"/>
  <c r="K252" i="4"/>
  <c r="K251" i="4" s="1"/>
  <c r="K77" i="4"/>
  <c r="K120" i="4"/>
  <c r="K119" i="4" s="1"/>
  <c r="K145" i="4"/>
  <c r="K144" i="4" s="1"/>
  <c r="K170" i="4"/>
  <c r="K169" i="4" s="1"/>
  <c r="K192" i="4"/>
  <c r="K191" i="4" s="1"/>
  <c r="K219" i="4"/>
  <c r="K218" i="4" s="1"/>
  <c r="K20" i="4"/>
  <c r="J179" i="4"/>
  <c r="J178" i="4" s="1"/>
  <c r="J208" i="4"/>
  <c r="J207" i="4" s="1"/>
  <c r="J240" i="4"/>
  <c r="J239" i="4" s="1"/>
  <c r="J255" i="4"/>
  <c r="J254" i="4" s="1"/>
  <c r="J129" i="4"/>
  <c r="J128" i="4" s="1"/>
  <c r="J154" i="4"/>
  <c r="J153" i="4" s="1"/>
  <c r="J88" i="4"/>
  <c r="J126" i="4"/>
  <c r="J125" i="4" s="1"/>
  <c r="J151" i="4"/>
  <c r="J150" i="4" s="1"/>
  <c r="J176" i="4"/>
  <c r="J175" i="4" s="1"/>
  <c r="J195" i="4"/>
  <c r="J194" i="4" s="1"/>
  <c r="J223" i="4"/>
  <c r="J222" i="4" s="1"/>
  <c r="J35" i="4"/>
  <c r="J135" i="4"/>
  <c r="J134" i="4" s="1"/>
  <c r="J160" i="4"/>
  <c r="J159" i="4" s="1"/>
  <c r="J185" i="4"/>
  <c r="J184" i="4" s="1"/>
  <c r="J211" i="4"/>
  <c r="J210" i="4" s="1"/>
  <c r="J244" i="4"/>
  <c r="J243" i="4" s="1"/>
  <c r="J258" i="4"/>
  <c r="J257" i="4" s="1"/>
  <c r="J99" i="4"/>
  <c r="J132" i="4"/>
  <c r="J131" i="4" s="1"/>
  <c r="J157" i="4"/>
  <c r="J156" i="4" s="1"/>
  <c r="J182" i="4"/>
  <c r="J181" i="4" s="1"/>
  <c r="J198" i="4"/>
  <c r="J197" i="4" s="1"/>
  <c r="J227" i="4"/>
  <c r="J226" i="4" s="1"/>
  <c r="J50" i="4"/>
  <c r="J123" i="4"/>
  <c r="J122" i="4" s="1"/>
  <c r="J148" i="4"/>
  <c r="J147" i="4" s="1"/>
  <c r="J173" i="4"/>
  <c r="J172" i="4" s="1"/>
  <c r="J77" i="4"/>
  <c r="J205" i="4"/>
  <c r="J204" i="4" s="1"/>
  <c r="J236" i="4"/>
  <c r="J235" i="4" s="1"/>
  <c r="J252" i="4"/>
  <c r="J251" i="4" s="1"/>
  <c r="J120" i="4"/>
  <c r="J119" i="4" s="1"/>
  <c r="J145" i="4"/>
  <c r="J144" i="4" s="1"/>
  <c r="J170" i="4"/>
  <c r="J169" i="4" s="1"/>
  <c r="J192" i="4"/>
  <c r="J191" i="4" s="1"/>
  <c r="J219" i="4"/>
  <c r="J218" i="4" s="1"/>
  <c r="J20" i="4"/>
  <c r="I205" i="4"/>
  <c r="I204" i="4" s="1"/>
  <c r="I236" i="4"/>
  <c r="I235" i="4" s="1"/>
  <c r="I252" i="4"/>
  <c r="I251" i="4" s="1"/>
  <c r="I77" i="4"/>
  <c r="I123" i="4"/>
  <c r="I122" i="4" s="1"/>
  <c r="I148" i="4"/>
  <c r="I147" i="4" s="1"/>
  <c r="I173" i="4"/>
  <c r="I172" i="4" s="1"/>
  <c r="I120" i="4"/>
  <c r="I119" i="4" s="1"/>
  <c r="I145" i="4"/>
  <c r="I144" i="4" s="1"/>
  <c r="I170" i="4"/>
  <c r="I169" i="4" s="1"/>
  <c r="I192" i="4"/>
  <c r="I191" i="4" s="1"/>
  <c r="I219" i="4"/>
  <c r="I218" i="4" s="1"/>
  <c r="I20" i="4"/>
  <c r="I99" i="4"/>
  <c r="I135" i="4"/>
  <c r="I134" i="4" s="1"/>
  <c r="I160" i="4"/>
  <c r="I159" i="4" s="1"/>
  <c r="I185" i="4"/>
  <c r="I184" i="4" s="1"/>
  <c r="I211" i="4"/>
  <c r="I210" i="4" s="1"/>
  <c r="I244" i="4"/>
  <c r="I243" i="4" s="1"/>
  <c r="I258" i="4"/>
  <c r="I257" i="4" s="1"/>
  <c r="I132" i="4"/>
  <c r="I131" i="4" s="1"/>
  <c r="I157" i="4"/>
  <c r="I156" i="4" s="1"/>
  <c r="I182" i="4"/>
  <c r="I181" i="4" s="1"/>
  <c r="I198" i="4"/>
  <c r="I197" i="4" s="1"/>
  <c r="I227" i="4"/>
  <c r="I226" i="4" s="1"/>
  <c r="I50" i="4"/>
  <c r="I129" i="4"/>
  <c r="I128" i="4" s="1"/>
  <c r="I154" i="4"/>
  <c r="I153" i="4" s="1"/>
  <c r="I88" i="4"/>
  <c r="I179" i="4"/>
  <c r="I178" i="4" s="1"/>
  <c r="I208" i="4"/>
  <c r="I207" i="4" s="1"/>
  <c r="I240" i="4"/>
  <c r="I239" i="4" s="1"/>
  <c r="I255" i="4"/>
  <c r="I254" i="4" s="1"/>
  <c r="I126" i="4"/>
  <c r="I125" i="4" s="1"/>
  <c r="I151" i="4"/>
  <c r="I150" i="4" s="1"/>
  <c r="I176" i="4"/>
  <c r="I175" i="4" s="1"/>
  <c r="I195" i="4"/>
  <c r="I194" i="4" s="1"/>
  <c r="I223" i="4"/>
  <c r="I222" i="4" s="1"/>
  <c r="I35" i="4"/>
  <c r="H99" i="4"/>
  <c r="H135" i="4"/>
  <c r="H134" i="4" s="1"/>
  <c r="H160" i="4"/>
  <c r="H159" i="4" s="1"/>
  <c r="H185" i="4"/>
  <c r="H184" i="4" s="1"/>
  <c r="H211" i="4"/>
  <c r="H210" i="4" s="1"/>
  <c r="H244" i="4"/>
  <c r="H243" i="4" s="1"/>
  <c r="H258" i="4"/>
  <c r="H257" i="4" s="1"/>
  <c r="H132" i="4"/>
  <c r="H131" i="4" s="1"/>
  <c r="H157" i="4"/>
  <c r="H156" i="4" s="1"/>
  <c r="H182" i="4"/>
  <c r="H181" i="4" s="1"/>
  <c r="H198" i="4"/>
  <c r="H197" i="4" s="1"/>
  <c r="H227" i="4"/>
  <c r="H226" i="4" s="1"/>
  <c r="H50" i="4"/>
  <c r="H179" i="4"/>
  <c r="H178" i="4" s="1"/>
  <c r="H208" i="4"/>
  <c r="H207" i="4" s="1"/>
  <c r="H240" i="4"/>
  <c r="H239" i="4" s="1"/>
  <c r="H255" i="4"/>
  <c r="H254" i="4" s="1"/>
  <c r="H88" i="4"/>
  <c r="H129" i="4"/>
  <c r="H128" i="4" s="1"/>
  <c r="H154" i="4"/>
  <c r="H153" i="4" s="1"/>
  <c r="H126" i="4"/>
  <c r="H125" i="4" s="1"/>
  <c r="H151" i="4"/>
  <c r="H150" i="4" s="1"/>
  <c r="H176" i="4"/>
  <c r="H175" i="4" s="1"/>
  <c r="H195" i="4"/>
  <c r="H194" i="4" s="1"/>
  <c r="H223" i="4"/>
  <c r="H222" i="4" s="1"/>
  <c r="H35" i="4"/>
  <c r="H77" i="4"/>
  <c r="H123" i="4"/>
  <c r="H122" i="4" s="1"/>
  <c r="H148" i="4"/>
  <c r="H147" i="4" s="1"/>
  <c r="H173" i="4"/>
  <c r="H172" i="4" s="1"/>
  <c r="H205" i="4"/>
  <c r="H204" i="4" s="1"/>
  <c r="H236" i="4"/>
  <c r="H235" i="4" s="1"/>
  <c r="H252" i="4"/>
  <c r="H251" i="4" s="1"/>
  <c r="H120" i="4"/>
  <c r="H119" i="4" s="1"/>
  <c r="H145" i="4"/>
  <c r="H144" i="4" s="1"/>
  <c r="H170" i="4"/>
  <c r="H169" i="4" s="1"/>
  <c r="H192" i="4"/>
  <c r="H191" i="4" s="1"/>
  <c r="H219" i="4"/>
  <c r="H218" i="4" s="1"/>
  <c r="H20" i="4"/>
  <c r="L16" i="3"/>
  <c r="K6" i="3"/>
  <c r="J5" i="3"/>
  <c r="J114" i="3"/>
  <c r="J113" i="3" s="1"/>
  <c r="J139" i="3"/>
  <c r="J138" i="3" s="1"/>
  <c r="J164" i="3"/>
  <c r="J163" i="3" s="1"/>
  <c r="J189" i="3"/>
  <c r="J188" i="3" s="1"/>
  <c r="J215" i="3"/>
  <c r="J214" i="3" s="1"/>
  <c r="AQ132" i="3"/>
  <c r="AQ131" i="3" s="1"/>
  <c r="AQ157" i="3"/>
  <c r="AQ156" i="3" s="1"/>
  <c r="AQ182" i="3"/>
  <c r="AQ181" i="3" s="1"/>
  <c r="AQ198" i="3"/>
  <c r="AQ197" i="3" s="1"/>
  <c r="AQ227" i="3"/>
  <c r="AQ226" i="3" s="1"/>
  <c r="AQ50" i="3"/>
  <c r="AQ135" i="3"/>
  <c r="AQ134" i="3" s="1"/>
  <c r="AQ160" i="3"/>
  <c r="AQ159" i="3" s="1"/>
  <c r="AQ185" i="3"/>
  <c r="AQ184" i="3" s="1"/>
  <c r="AQ211" i="3"/>
  <c r="AQ210" i="3" s="1"/>
  <c r="AQ244" i="3"/>
  <c r="AQ243" i="3" s="1"/>
  <c r="AQ258" i="3"/>
  <c r="AQ257" i="3" s="1"/>
  <c r="AQ99" i="3"/>
  <c r="AQ129" i="3"/>
  <c r="AQ128" i="3" s="1"/>
  <c r="AQ154" i="3"/>
  <c r="AQ153" i="3" s="1"/>
  <c r="AQ179" i="3"/>
  <c r="AQ178" i="3" s="1"/>
  <c r="AQ208" i="3"/>
  <c r="AQ207" i="3" s="1"/>
  <c r="AQ240" i="3"/>
  <c r="AQ239" i="3" s="1"/>
  <c r="AQ255" i="3"/>
  <c r="AQ254" i="3" s="1"/>
  <c r="AQ88" i="3"/>
  <c r="AQ126" i="3"/>
  <c r="AQ125" i="3" s="1"/>
  <c r="AQ151" i="3"/>
  <c r="AQ150" i="3" s="1"/>
  <c r="AQ176" i="3"/>
  <c r="AQ175" i="3" s="1"/>
  <c r="AQ195" i="3"/>
  <c r="AQ194" i="3" s="1"/>
  <c r="AQ223" i="3"/>
  <c r="AQ222" i="3" s="1"/>
  <c r="AQ35" i="3"/>
  <c r="AQ123" i="3"/>
  <c r="AQ122" i="3" s="1"/>
  <c r="AQ148" i="3"/>
  <c r="AQ147" i="3" s="1"/>
  <c r="AQ173" i="3"/>
  <c r="AQ172" i="3" s="1"/>
  <c r="AQ205" i="3"/>
  <c r="AQ204" i="3" s="1"/>
  <c r="AQ236" i="3"/>
  <c r="AQ235" i="3" s="1"/>
  <c r="AQ252" i="3"/>
  <c r="AQ251" i="3" s="1"/>
  <c r="AQ77" i="3"/>
  <c r="AQ120" i="3"/>
  <c r="AQ119" i="3" s="1"/>
  <c r="AQ145" i="3"/>
  <c r="AQ144" i="3" s="1"/>
  <c r="AQ170" i="3"/>
  <c r="AQ169" i="3" s="1"/>
  <c r="AQ192" i="3"/>
  <c r="AQ191" i="3" s="1"/>
  <c r="AQ219" i="3"/>
  <c r="AQ218" i="3" s="1"/>
  <c r="AQ20" i="3"/>
  <c r="AP132" i="3"/>
  <c r="AP131" i="3" s="1"/>
  <c r="AP157" i="3"/>
  <c r="AP156" i="3" s="1"/>
  <c r="AP182" i="3"/>
  <c r="AP181" i="3" s="1"/>
  <c r="AP198" i="3"/>
  <c r="AP197" i="3" s="1"/>
  <c r="AP227" i="3"/>
  <c r="AP226" i="3" s="1"/>
  <c r="AP50" i="3"/>
  <c r="AP135" i="3"/>
  <c r="AP134" i="3" s="1"/>
  <c r="AP160" i="3"/>
  <c r="AP159" i="3" s="1"/>
  <c r="AP185" i="3"/>
  <c r="AP184" i="3" s="1"/>
  <c r="AP211" i="3"/>
  <c r="AP210" i="3" s="1"/>
  <c r="AP244" i="3"/>
  <c r="AP243" i="3" s="1"/>
  <c r="AP258" i="3"/>
  <c r="AP257" i="3" s="1"/>
  <c r="AP99" i="3"/>
  <c r="AP123" i="3"/>
  <c r="AP122" i="3" s="1"/>
  <c r="AP148" i="3"/>
  <c r="AP147" i="3" s="1"/>
  <c r="AP173" i="3"/>
  <c r="AP172" i="3" s="1"/>
  <c r="AP205" i="3"/>
  <c r="AP204" i="3" s="1"/>
  <c r="AP236" i="3"/>
  <c r="AP235" i="3" s="1"/>
  <c r="AP252" i="3"/>
  <c r="AP251" i="3" s="1"/>
  <c r="AP77" i="3"/>
  <c r="AP120" i="3"/>
  <c r="AP119" i="3" s="1"/>
  <c r="AP145" i="3"/>
  <c r="AP144" i="3" s="1"/>
  <c r="AP170" i="3"/>
  <c r="AP169" i="3" s="1"/>
  <c r="AP192" i="3"/>
  <c r="AP191" i="3" s="1"/>
  <c r="AP219" i="3"/>
  <c r="AP218" i="3" s="1"/>
  <c r="AP20" i="3"/>
  <c r="AP129" i="3"/>
  <c r="AP128" i="3" s="1"/>
  <c r="AP154" i="3"/>
  <c r="AP153" i="3" s="1"/>
  <c r="AP179" i="3"/>
  <c r="AP178" i="3" s="1"/>
  <c r="AP208" i="3"/>
  <c r="AP207" i="3" s="1"/>
  <c r="AP240" i="3"/>
  <c r="AP239" i="3" s="1"/>
  <c r="AP255" i="3"/>
  <c r="AP254" i="3" s="1"/>
  <c r="AP88" i="3"/>
  <c r="AP126" i="3"/>
  <c r="AP125" i="3" s="1"/>
  <c r="AP151" i="3"/>
  <c r="AP150" i="3" s="1"/>
  <c r="AP176" i="3"/>
  <c r="AP175" i="3" s="1"/>
  <c r="AP195" i="3"/>
  <c r="AP194" i="3" s="1"/>
  <c r="AP223" i="3"/>
  <c r="AP222" i="3" s="1"/>
  <c r="AP35" i="3"/>
  <c r="AO135" i="3"/>
  <c r="AO134" i="3" s="1"/>
  <c r="AO160" i="3"/>
  <c r="AO159" i="3" s="1"/>
  <c r="AO185" i="3"/>
  <c r="AO184" i="3" s="1"/>
  <c r="AO211" i="3"/>
  <c r="AO210" i="3" s="1"/>
  <c r="AO244" i="3"/>
  <c r="AO243" i="3" s="1"/>
  <c r="AO258" i="3"/>
  <c r="AO257" i="3" s="1"/>
  <c r="AO99" i="3"/>
  <c r="AO132" i="3"/>
  <c r="AO131" i="3" s="1"/>
  <c r="AO157" i="3"/>
  <c r="AO156" i="3" s="1"/>
  <c r="AO182" i="3"/>
  <c r="AO181" i="3" s="1"/>
  <c r="AO198" i="3"/>
  <c r="AO197" i="3" s="1"/>
  <c r="AO227" i="3"/>
  <c r="AO226" i="3" s="1"/>
  <c r="AO50" i="3"/>
  <c r="AO123" i="3"/>
  <c r="AO122" i="3" s="1"/>
  <c r="AO148" i="3"/>
  <c r="AO147" i="3" s="1"/>
  <c r="AO173" i="3"/>
  <c r="AO172" i="3" s="1"/>
  <c r="AO205" i="3"/>
  <c r="AO204" i="3" s="1"/>
  <c r="AO236" i="3"/>
  <c r="AO235" i="3" s="1"/>
  <c r="AO252" i="3"/>
  <c r="AO251" i="3" s="1"/>
  <c r="AO77" i="3"/>
  <c r="AO120" i="3"/>
  <c r="AO119" i="3" s="1"/>
  <c r="AO145" i="3"/>
  <c r="AO144" i="3" s="1"/>
  <c r="AO170" i="3"/>
  <c r="AO169" i="3" s="1"/>
  <c r="AO192" i="3"/>
  <c r="AO191" i="3" s="1"/>
  <c r="AO219" i="3"/>
  <c r="AO218" i="3" s="1"/>
  <c r="AO20" i="3"/>
  <c r="AO129" i="3"/>
  <c r="AO128" i="3" s="1"/>
  <c r="AO154" i="3"/>
  <c r="AO153" i="3" s="1"/>
  <c r="AO179" i="3"/>
  <c r="AO178" i="3" s="1"/>
  <c r="AO208" i="3"/>
  <c r="AO207" i="3" s="1"/>
  <c r="AO240" i="3"/>
  <c r="AO239" i="3" s="1"/>
  <c r="AO255" i="3"/>
  <c r="AO254" i="3" s="1"/>
  <c r="AO88" i="3"/>
  <c r="AO126" i="3"/>
  <c r="AO125" i="3" s="1"/>
  <c r="AO151" i="3"/>
  <c r="AO150" i="3" s="1"/>
  <c r="AO176" i="3"/>
  <c r="AO175" i="3" s="1"/>
  <c r="AO195" i="3"/>
  <c r="AO194" i="3" s="1"/>
  <c r="AO223" i="3"/>
  <c r="AO222" i="3" s="1"/>
  <c r="AO35" i="3"/>
  <c r="AN123" i="3"/>
  <c r="AN122" i="3" s="1"/>
  <c r="AN148" i="3"/>
  <c r="AN147" i="3" s="1"/>
  <c r="AN173" i="3"/>
  <c r="AN172" i="3" s="1"/>
  <c r="AN205" i="3"/>
  <c r="AN204" i="3" s="1"/>
  <c r="AN236" i="3"/>
  <c r="AN235" i="3" s="1"/>
  <c r="AN252" i="3"/>
  <c r="AN251" i="3" s="1"/>
  <c r="AN77" i="3"/>
  <c r="AN120" i="3"/>
  <c r="AN119" i="3" s="1"/>
  <c r="AN145" i="3"/>
  <c r="AN144" i="3" s="1"/>
  <c r="AN170" i="3"/>
  <c r="AN169" i="3" s="1"/>
  <c r="AN192" i="3"/>
  <c r="AN191" i="3" s="1"/>
  <c r="AN219" i="3"/>
  <c r="AN218" i="3" s="1"/>
  <c r="AN20" i="3"/>
  <c r="AN132" i="3"/>
  <c r="AN131" i="3" s="1"/>
  <c r="AN157" i="3"/>
  <c r="AN156" i="3" s="1"/>
  <c r="AN182" i="3"/>
  <c r="AN181" i="3" s="1"/>
  <c r="AN198" i="3"/>
  <c r="AN197" i="3" s="1"/>
  <c r="AN227" i="3"/>
  <c r="AN226" i="3" s="1"/>
  <c r="AN50" i="3"/>
  <c r="AN135" i="3"/>
  <c r="AN134" i="3" s="1"/>
  <c r="AN160" i="3"/>
  <c r="AN159" i="3" s="1"/>
  <c r="AN185" i="3"/>
  <c r="AN184" i="3" s="1"/>
  <c r="AN211" i="3"/>
  <c r="AN210" i="3" s="1"/>
  <c r="AN244" i="3"/>
  <c r="AN243" i="3" s="1"/>
  <c r="AN258" i="3"/>
  <c r="AN257" i="3" s="1"/>
  <c r="AN99" i="3"/>
  <c r="AN129" i="3"/>
  <c r="AN128" i="3" s="1"/>
  <c r="AN154" i="3"/>
  <c r="AN153" i="3" s="1"/>
  <c r="AN179" i="3"/>
  <c r="AN178" i="3" s="1"/>
  <c r="AN208" i="3"/>
  <c r="AN207" i="3" s="1"/>
  <c r="AN240" i="3"/>
  <c r="AN239" i="3" s="1"/>
  <c r="AN255" i="3"/>
  <c r="AN254" i="3" s="1"/>
  <c r="AN88" i="3"/>
  <c r="AN126" i="3"/>
  <c r="AN125" i="3" s="1"/>
  <c r="AN151" i="3"/>
  <c r="AN150" i="3" s="1"/>
  <c r="AN176" i="3"/>
  <c r="AN175" i="3" s="1"/>
  <c r="AN195" i="3"/>
  <c r="AN194" i="3" s="1"/>
  <c r="AN223" i="3"/>
  <c r="AN222" i="3" s="1"/>
  <c r="AN35" i="3"/>
  <c r="AM123" i="3"/>
  <c r="AM122" i="3" s="1"/>
  <c r="AM148" i="3"/>
  <c r="AM147" i="3" s="1"/>
  <c r="AM173" i="3"/>
  <c r="AM172" i="3" s="1"/>
  <c r="AM205" i="3"/>
  <c r="AM204" i="3" s="1"/>
  <c r="AM236" i="3"/>
  <c r="AM235" i="3" s="1"/>
  <c r="AM252" i="3"/>
  <c r="AM251" i="3" s="1"/>
  <c r="AM77" i="3"/>
  <c r="AM120" i="3"/>
  <c r="AM119" i="3" s="1"/>
  <c r="AM145" i="3"/>
  <c r="AM144" i="3" s="1"/>
  <c r="AM170" i="3"/>
  <c r="AM169" i="3" s="1"/>
  <c r="AM192" i="3"/>
  <c r="AM191" i="3" s="1"/>
  <c r="AM219" i="3"/>
  <c r="AM218" i="3" s="1"/>
  <c r="AM20" i="3"/>
  <c r="AM132" i="3"/>
  <c r="AM131" i="3" s="1"/>
  <c r="AM157" i="3"/>
  <c r="AM156" i="3" s="1"/>
  <c r="AM182" i="3"/>
  <c r="AM181" i="3" s="1"/>
  <c r="AM198" i="3"/>
  <c r="AM197" i="3" s="1"/>
  <c r="AM227" i="3"/>
  <c r="AM226" i="3" s="1"/>
  <c r="AM50" i="3"/>
  <c r="AM135" i="3"/>
  <c r="AM134" i="3" s="1"/>
  <c r="AM160" i="3"/>
  <c r="AM159" i="3" s="1"/>
  <c r="AM185" i="3"/>
  <c r="AM184" i="3" s="1"/>
  <c r="AM211" i="3"/>
  <c r="AM210" i="3" s="1"/>
  <c r="AM244" i="3"/>
  <c r="AM243" i="3" s="1"/>
  <c r="AM258" i="3"/>
  <c r="AM257" i="3" s="1"/>
  <c r="AM99" i="3"/>
  <c r="AM129" i="3"/>
  <c r="AM128" i="3" s="1"/>
  <c r="AM154" i="3"/>
  <c r="AM153" i="3" s="1"/>
  <c r="AM179" i="3"/>
  <c r="AM178" i="3" s="1"/>
  <c r="AM208" i="3"/>
  <c r="AM207" i="3" s="1"/>
  <c r="AM240" i="3"/>
  <c r="AM239" i="3" s="1"/>
  <c r="AM255" i="3"/>
  <c r="AM254" i="3" s="1"/>
  <c r="AM88" i="3"/>
  <c r="AM126" i="3"/>
  <c r="AM125" i="3" s="1"/>
  <c r="AM151" i="3"/>
  <c r="AM150" i="3" s="1"/>
  <c r="AM176" i="3"/>
  <c r="AM175" i="3" s="1"/>
  <c r="AM195" i="3"/>
  <c r="AM194" i="3" s="1"/>
  <c r="AM223" i="3"/>
  <c r="AM222" i="3" s="1"/>
  <c r="AM35" i="3"/>
  <c r="AL132" i="3"/>
  <c r="AL131" i="3" s="1"/>
  <c r="AL157" i="3"/>
  <c r="AL156" i="3" s="1"/>
  <c r="AL182" i="3"/>
  <c r="AL181" i="3" s="1"/>
  <c r="AL198" i="3"/>
  <c r="AL197" i="3" s="1"/>
  <c r="AL227" i="3"/>
  <c r="AL226" i="3" s="1"/>
  <c r="AL50" i="3"/>
  <c r="AL135" i="3"/>
  <c r="AL134" i="3" s="1"/>
  <c r="AL160" i="3"/>
  <c r="AL159" i="3" s="1"/>
  <c r="AL185" i="3"/>
  <c r="AL184" i="3" s="1"/>
  <c r="AL211" i="3"/>
  <c r="AL210" i="3" s="1"/>
  <c r="AL244" i="3"/>
  <c r="AL243" i="3" s="1"/>
  <c r="AL258" i="3"/>
  <c r="AL257" i="3" s="1"/>
  <c r="AL99" i="3"/>
  <c r="AL129" i="3"/>
  <c r="AL128" i="3" s="1"/>
  <c r="AL154" i="3"/>
  <c r="AL153" i="3" s="1"/>
  <c r="AL179" i="3"/>
  <c r="AL178" i="3" s="1"/>
  <c r="AL208" i="3"/>
  <c r="AL207" i="3" s="1"/>
  <c r="AL240" i="3"/>
  <c r="AL239" i="3" s="1"/>
  <c r="AL255" i="3"/>
  <c r="AL254" i="3" s="1"/>
  <c r="AL88" i="3"/>
  <c r="AL126" i="3"/>
  <c r="AL125" i="3" s="1"/>
  <c r="AL151" i="3"/>
  <c r="AL150" i="3" s="1"/>
  <c r="AL176" i="3"/>
  <c r="AL175" i="3" s="1"/>
  <c r="AL195" i="3"/>
  <c r="AL194" i="3" s="1"/>
  <c r="AL223" i="3"/>
  <c r="AL222" i="3" s="1"/>
  <c r="AL35" i="3"/>
  <c r="AL123" i="3"/>
  <c r="AL122" i="3" s="1"/>
  <c r="AL148" i="3"/>
  <c r="AL147" i="3" s="1"/>
  <c r="AL173" i="3"/>
  <c r="AL172" i="3" s="1"/>
  <c r="AL205" i="3"/>
  <c r="AL204" i="3" s="1"/>
  <c r="AL236" i="3"/>
  <c r="AL235" i="3" s="1"/>
  <c r="AL252" i="3"/>
  <c r="AL251" i="3" s="1"/>
  <c r="AL77" i="3"/>
  <c r="AL120" i="3"/>
  <c r="AL119" i="3" s="1"/>
  <c r="AL145" i="3"/>
  <c r="AL144" i="3" s="1"/>
  <c r="AL170" i="3"/>
  <c r="AL169" i="3" s="1"/>
  <c r="AL192" i="3"/>
  <c r="AL191" i="3" s="1"/>
  <c r="AL219" i="3"/>
  <c r="AL218" i="3" s="1"/>
  <c r="AL20" i="3"/>
  <c r="AK129" i="3"/>
  <c r="AK128" i="3" s="1"/>
  <c r="AK154" i="3"/>
  <c r="AK153" i="3" s="1"/>
  <c r="AK179" i="3"/>
  <c r="AK178" i="3" s="1"/>
  <c r="AK208" i="3"/>
  <c r="AK207" i="3" s="1"/>
  <c r="AK240" i="3"/>
  <c r="AK239" i="3" s="1"/>
  <c r="AK255" i="3"/>
  <c r="AK254" i="3" s="1"/>
  <c r="AK88" i="3"/>
  <c r="AK126" i="3"/>
  <c r="AK125" i="3" s="1"/>
  <c r="AK151" i="3"/>
  <c r="AK150" i="3" s="1"/>
  <c r="AK176" i="3"/>
  <c r="AK175" i="3" s="1"/>
  <c r="AK195" i="3"/>
  <c r="AK194" i="3" s="1"/>
  <c r="AK223" i="3"/>
  <c r="AK222" i="3" s="1"/>
  <c r="AK35" i="3"/>
  <c r="AK132" i="3"/>
  <c r="AK131" i="3" s="1"/>
  <c r="AK157" i="3"/>
  <c r="AK156" i="3" s="1"/>
  <c r="AK182" i="3"/>
  <c r="AK181" i="3" s="1"/>
  <c r="AK198" i="3"/>
  <c r="AK197" i="3" s="1"/>
  <c r="AK227" i="3"/>
  <c r="AK226" i="3" s="1"/>
  <c r="AK50" i="3"/>
  <c r="AK135" i="3"/>
  <c r="AK134" i="3" s="1"/>
  <c r="AK160" i="3"/>
  <c r="AK159" i="3" s="1"/>
  <c r="AK185" i="3"/>
  <c r="AK184" i="3" s="1"/>
  <c r="AK211" i="3"/>
  <c r="AK210" i="3" s="1"/>
  <c r="AK244" i="3"/>
  <c r="AK243" i="3" s="1"/>
  <c r="AK258" i="3"/>
  <c r="AK257" i="3" s="1"/>
  <c r="AK99" i="3"/>
  <c r="AK123" i="3"/>
  <c r="AK122" i="3" s="1"/>
  <c r="AK148" i="3"/>
  <c r="AK147" i="3" s="1"/>
  <c r="AK173" i="3"/>
  <c r="AK172" i="3" s="1"/>
  <c r="AK205" i="3"/>
  <c r="AK204" i="3" s="1"/>
  <c r="AK236" i="3"/>
  <c r="AK235" i="3" s="1"/>
  <c r="AK252" i="3"/>
  <c r="AK251" i="3" s="1"/>
  <c r="AK77" i="3"/>
  <c r="AK120" i="3"/>
  <c r="AK119" i="3" s="1"/>
  <c r="AK145" i="3"/>
  <c r="AK144" i="3" s="1"/>
  <c r="AK170" i="3"/>
  <c r="AK169" i="3" s="1"/>
  <c r="AK192" i="3"/>
  <c r="AK191" i="3" s="1"/>
  <c r="AK219" i="3"/>
  <c r="AK218" i="3" s="1"/>
  <c r="AK20" i="3"/>
  <c r="AJ132" i="3"/>
  <c r="AJ131" i="3" s="1"/>
  <c r="AJ157" i="3"/>
  <c r="AJ156" i="3" s="1"/>
  <c r="AJ182" i="3"/>
  <c r="AJ181" i="3" s="1"/>
  <c r="AJ198" i="3"/>
  <c r="AJ197" i="3" s="1"/>
  <c r="AJ227" i="3"/>
  <c r="AJ226" i="3" s="1"/>
  <c r="AJ50" i="3"/>
  <c r="AJ135" i="3"/>
  <c r="AJ134" i="3" s="1"/>
  <c r="AJ160" i="3"/>
  <c r="AJ159" i="3" s="1"/>
  <c r="AJ185" i="3"/>
  <c r="AJ184" i="3" s="1"/>
  <c r="AJ211" i="3"/>
  <c r="AJ210" i="3" s="1"/>
  <c r="AJ244" i="3"/>
  <c r="AJ243" i="3" s="1"/>
  <c r="AJ258" i="3"/>
  <c r="AJ257" i="3" s="1"/>
  <c r="AJ99" i="3"/>
  <c r="AJ129" i="3"/>
  <c r="AJ128" i="3" s="1"/>
  <c r="AJ154" i="3"/>
  <c r="AJ153" i="3" s="1"/>
  <c r="AJ179" i="3"/>
  <c r="AJ178" i="3" s="1"/>
  <c r="AJ208" i="3"/>
  <c r="AJ207" i="3" s="1"/>
  <c r="AJ240" i="3"/>
  <c r="AJ239" i="3" s="1"/>
  <c r="AJ255" i="3"/>
  <c r="AJ254" i="3" s="1"/>
  <c r="AJ88" i="3"/>
  <c r="AJ126" i="3"/>
  <c r="AJ125" i="3" s="1"/>
  <c r="AJ151" i="3"/>
  <c r="AJ150" i="3" s="1"/>
  <c r="AJ176" i="3"/>
  <c r="AJ175" i="3" s="1"/>
  <c r="AJ195" i="3"/>
  <c r="AJ194" i="3" s="1"/>
  <c r="AJ223" i="3"/>
  <c r="AJ222" i="3" s="1"/>
  <c r="AJ35" i="3"/>
  <c r="AJ123" i="3"/>
  <c r="AJ122" i="3" s="1"/>
  <c r="AJ148" i="3"/>
  <c r="AJ147" i="3" s="1"/>
  <c r="AJ173" i="3"/>
  <c r="AJ172" i="3" s="1"/>
  <c r="AJ205" i="3"/>
  <c r="AJ204" i="3" s="1"/>
  <c r="AJ236" i="3"/>
  <c r="AJ235" i="3" s="1"/>
  <c r="AJ252" i="3"/>
  <c r="AJ251" i="3" s="1"/>
  <c r="AJ77" i="3"/>
  <c r="AJ120" i="3"/>
  <c r="AJ119" i="3" s="1"/>
  <c r="AJ145" i="3"/>
  <c r="AJ144" i="3" s="1"/>
  <c r="AJ170" i="3"/>
  <c r="AJ169" i="3" s="1"/>
  <c r="AJ192" i="3"/>
  <c r="AJ191" i="3" s="1"/>
  <c r="AJ219" i="3"/>
  <c r="AJ218" i="3" s="1"/>
  <c r="AJ20" i="3"/>
  <c r="AI123" i="3"/>
  <c r="AI122" i="3" s="1"/>
  <c r="AI148" i="3"/>
  <c r="AI147" i="3" s="1"/>
  <c r="AI173" i="3"/>
  <c r="AI172" i="3" s="1"/>
  <c r="AI205" i="3"/>
  <c r="AI204" i="3" s="1"/>
  <c r="AI236" i="3"/>
  <c r="AI235" i="3" s="1"/>
  <c r="AI252" i="3"/>
  <c r="AI251" i="3" s="1"/>
  <c r="AI77" i="3"/>
  <c r="AI120" i="3"/>
  <c r="AI119" i="3" s="1"/>
  <c r="AI145" i="3"/>
  <c r="AI144" i="3" s="1"/>
  <c r="AI170" i="3"/>
  <c r="AI169" i="3" s="1"/>
  <c r="AI192" i="3"/>
  <c r="AI191" i="3" s="1"/>
  <c r="AI219" i="3"/>
  <c r="AI218" i="3" s="1"/>
  <c r="AI20" i="3"/>
  <c r="AI129" i="3"/>
  <c r="AI128" i="3" s="1"/>
  <c r="AI154" i="3"/>
  <c r="AI153" i="3" s="1"/>
  <c r="AI179" i="3"/>
  <c r="AI178" i="3" s="1"/>
  <c r="AI208" i="3"/>
  <c r="AI207" i="3" s="1"/>
  <c r="AI240" i="3"/>
  <c r="AI239" i="3" s="1"/>
  <c r="AI255" i="3"/>
  <c r="AI254" i="3" s="1"/>
  <c r="AI88" i="3"/>
  <c r="AI126" i="3"/>
  <c r="AI125" i="3" s="1"/>
  <c r="AI151" i="3"/>
  <c r="AI150" i="3" s="1"/>
  <c r="AI176" i="3"/>
  <c r="AI175" i="3" s="1"/>
  <c r="AI195" i="3"/>
  <c r="AI194" i="3" s="1"/>
  <c r="AI223" i="3"/>
  <c r="AI222" i="3" s="1"/>
  <c r="AI35" i="3"/>
  <c r="AI132" i="3"/>
  <c r="AI131" i="3" s="1"/>
  <c r="AI157" i="3"/>
  <c r="AI156" i="3" s="1"/>
  <c r="AI182" i="3"/>
  <c r="AI181" i="3" s="1"/>
  <c r="AI198" i="3"/>
  <c r="AI197" i="3" s="1"/>
  <c r="AI227" i="3"/>
  <c r="AI226" i="3" s="1"/>
  <c r="AI50" i="3"/>
  <c r="AI135" i="3"/>
  <c r="AI134" i="3" s="1"/>
  <c r="AI160" i="3"/>
  <c r="AI159" i="3" s="1"/>
  <c r="AI185" i="3"/>
  <c r="AI184" i="3" s="1"/>
  <c r="AI211" i="3"/>
  <c r="AI210" i="3" s="1"/>
  <c r="AI244" i="3"/>
  <c r="AI243" i="3" s="1"/>
  <c r="AI258" i="3"/>
  <c r="AI257" i="3" s="1"/>
  <c r="AI99" i="3"/>
  <c r="AH129" i="3"/>
  <c r="AH128" i="3" s="1"/>
  <c r="AH154" i="3"/>
  <c r="AH153" i="3" s="1"/>
  <c r="AH179" i="3"/>
  <c r="AH178" i="3" s="1"/>
  <c r="AH208" i="3"/>
  <c r="AH207" i="3" s="1"/>
  <c r="AH240" i="3"/>
  <c r="AH239" i="3" s="1"/>
  <c r="AH255" i="3"/>
  <c r="AH254" i="3" s="1"/>
  <c r="AH88" i="3"/>
  <c r="AH126" i="3"/>
  <c r="AH125" i="3" s="1"/>
  <c r="AH151" i="3"/>
  <c r="AH150" i="3" s="1"/>
  <c r="AH176" i="3"/>
  <c r="AH175" i="3" s="1"/>
  <c r="AH195" i="3"/>
  <c r="AH194" i="3" s="1"/>
  <c r="AH223" i="3"/>
  <c r="AH222" i="3" s="1"/>
  <c r="AH35" i="3"/>
  <c r="AH132" i="3"/>
  <c r="AH131" i="3" s="1"/>
  <c r="AH157" i="3"/>
  <c r="AH156" i="3" s="1"/>
  <c r="AH182" i="3"/>
  <c r="AH181" i="3" s="1"/>
  <c r="AH198" i="3"/>
  <c r="AH197" i="3" s="1"/>
  <c r="AH227" i="3"/>
  <c r="AH226" i="3" s="1"/>
  <c r="AH50" i="3"/>
  <c r="AH135" i="3"/>
  <c r="AH134" i="3" s="1"/>
  <c r="AH160" i="3"/>
  <c r="AH159" i="3" s="1"/>
  <c r="AH185" i="3"/>
  <c r="AH184" i="3" s="1"/>
  <c r="AH211" i="3"/>
  <c r="AH210" i="3" s="1"/>
  <c r="AH244" i="3"/>
  <c r="AH243" i="3" s="1"/>
  <c r="AH258" i="3"/>
  <c r="AH257" i="3" s="1"/>
  <c r="AH99" i="3"/>
  <c r="AH123" i="3"/>
  <c r="AH122" i="3" s="1"/>
  <c r="AH148" i="3"/>
  <c r="AH147" i="3" s="1"/>
  <c r="AH173" i="3"/>
  <c r="AH172" i="3" s="1"/>
  <c r="AH205" i="3"/>
  <c r="AH204" i="3" s="1"/>
  <c r="AH236" i="3"/>
  <c r="AH235" i="3" s="1"/>
  <c r="AH252" i="3"/>
  <c r="AH251" i="3" s="1"/>
  <c r="AH77" i="3"/>
  <c r="AH120" i="3"/>
  <c r="AH119" i="3" s="1"/>
  <c r="AH145" i="3"/>
  <c r="AH144" i="3" s="1"/>
  <c r="AH170" i="3"/>
  <c r="AH169" i="3" s="1"/>
  <c r="AH192" i="3"/>
  <c r="AH191" i="3" s="1"/>
  <c r="AH219" i="3"/>
  <c r="AH218" i="3" s="1"/>
  <c r="AH20" i="3"/>
  <c r="AG129" i="3"/>
  <c r="AG128" i="3" s="1"/>
  <c r="AG154" i="3"/>
  <c r="AG153" i="3" s="1"/>
  <c r="AG179" i="3"/>
  <c r="AG178" i="3" s="1"/>
  <c r="AG208" i="3"/>
  <c r="AG207" i="3" s="1"/>
  <c r="AG240" i="3"/>
  <c r="AG239" i="3" s="1"/>
  <c r="AG255" i="3"/>
  <c r="AG254" i="3" s="1"/>
  <c r="AG88" i="3"/>
  <c r="AG126" i="3"/>
  <c r="AG125" i="3" s="1"/>
  <c r="AG151" i="3"/>
  <c r="AG150" i="3" s="1"/>
  <c r="AG176" i="3"/>
  <c r="AG175" i="3" s="1"/>
  <c r="AG195" i="3"/>
  <c r="AG194" i="3" s="1"/>
  <c r="AG223" i="3"/>
  <c r="AG222" i="3" s="1"/>
  <c r="AG35" i="3"/>
  <c r="AG132" i="3"/>
  <c r="AG131" i="3" s="1"/>
  <c r="AG157" i="3"/>
  <c r="AG156" i="3" s="1"/>
  <c r="AG182" i="3"/>
  <c r="AG181" i="3" s="1"/>
  <c r="AG198" i="3"/>
  <c r="AG197" i="3" s="1"/>
  <c r="AG227" i="3"/>
  <c r="AG226" i="3" s="1"/>
  <c r="AG50" i="3"/>
  <c r="AG135" i="3"/>
  <c r="AG134" i="3" s="1"/>
  <c r="AG160" i="3"/>
  <c r="AG159" i="3" s="1"/>
  <c r="AG185" i="3"/>
  <c r="AG184" i="3" s="1"/>
  <c r="AG211" i="3"/>
  <c r="AG210" i="3" s="1"/>
  <c r="AG244" i="3"/>
  <c r="AG243" i="3" s="1"/>
  <c r="AG258" i="3"/>
  <c r="AG257" i="3" s="1"/>
  <c r="AG99" i="3"/>
  <c r="AG123" i="3"/>
  <c r="AG122" i="3" s="1"/>
  <c r="AG148" i="3"/>
  <c r="AG147" i="3" s="1"/>
  <c r="AG173" i="3"/>
  <c r="AG172" i="3" s="1"/>
  <c r="AG205" i="3"/>
  <c r="AG204" i="3" s="1"/>
  <c r="AG236" i="3"/>
  <c r="AG235" i="3" s="1"/>
  <c r="AG252" i="3"/>
  <c r="AG251" i="3" s="1"/>
  <c r="AG77" i="3"/>
  <c r="AG120" i="3"/>
  <c r="AG119" i="3" s="1"/>
  <c r="AG145" i="3"/>
  <c r="AG144" i="3" s="1"/>
  <c r="AG170" i="3"/>
  <c r="AG169" i="3" s="1"/>
  <c r="AG192" i="3"/>
  <c r="AG191" i="3" s="1"/>
  <c r="AG219" i="3"/>
  <c r="AG218" i="3" s="1"/>
  <c r="AG20" i="3"/>
  <c r="AF129" i="3"/>
  <c r="AF128" i="3" s="1"/>
  <c r="AF154" i="3"/>
  <c r="AF153" i="3" s="1"/>
  <c r="AF179" i="3"/>
  <c r="AF178" i="3" s="1"/>
  <c r="AF208" i="3"/>
  <c r="AF207" i="3" s="1"/>
  <c r="AF240" i="3"/>
  <c r="AF239" i="3" s="1"/>
  <c r="AF255" i="3"/>
  <c r="AF254" i="3" s="1"/>
  <c r="AF88" i="3"/>
  <c r="AF126" i="3"/>
  <c r="AF125" i="3" s="1"/>
  <c r="AF151" i="3"/>
  <c r="AF150" i="3" s="1"/>
  <c r="AF176" i="3"/>
  <c r="AF175" i="3" s="1"/>
  <c r="AF195" i="3"/>
  <c r="AF194" i="3" s="1"/>
  <c r="AF223" i="3"/>
  <c r="AF222" i="3" s="1"/>
  <c r="AF35" i="3"/>
  <c r="AF123" i="3"/>
  <c r="AF122" i="3" s="1"/>
  <c r="AF148" i="3"/>
  <c r="AF147" i="3" s="1"/>
  <c r="AF173" i="3"/>
  <c r="AF172" i="3" s="1"/>
  <c r="AF205" i="3"/>
  <c r="AF204" i="3" s="1"/>
  <c r="AF236" i="3"/>
  <c r="AF235" i="3" s="1"/>
  <c r="AF252" i="3"/>
  <c r="AF251" i="3" s="1"/>
  <c r="AF77" i="3"/>
  <c r="AF120" i="3"/>
  <c r="AF119" i="3" s="1"/>
  <c r="AF145" i="3"/>
  <c r="AF144" i="3" s="1"/>
  <c r="AF170" i="3"/>
  <c r="AF169" i="3" s="1"/>
  <c r="AF192" i="3"/>
  <c r="AF191" i="3" s="1"/>
  <c r="AF219" i="3"/>
  <c r="AF218" i="3" s="1"/>
  <c r="AF20" i="3"/>
  <c r="AF132" i="3"/>
  <c r="AF131" i="3" s="1"/>
  <c r="AF157" i="3"/>
  <c r="AF156" i="3" s="1"/>
  <c r="AF182" i="3"/>
  <c r="AF181" i="3" s="1"/>
  <c r="AF198" i="3"/>
  <c r="AF197" i="3" s="1"/>
  <c r="AF227" i="3"/>
  <c r="AF226" i="3" s="1"/>
  <c r="AF50" i="3"/>
  <c r="AF135" i="3"/>
  <c r="AF134" i="3" s="1"/>
  <c r="AF160" i="3"/>
  <c r="AF159" i="3" s="1"/>
  <c r="AF185" i="3"/>
  <c r="AF184" i="3" s="1"/>
  <c r="AF211" i="3"/>
  <c r="AF210" i="3" s="1"/>
  <c r="AF244" i="3"/>
  <c r="AF243" i="3" s="1"/>
  <c r="AF258" i="3"/>
  <c r="AF257" i="3" s="1"/>
  <c r="AF99" i="3"/>
  <c r="AE129" i="3"/>
  <c r="AE128" i="3" s="1"/>
  <c r="AE154" i="3"/>
  <c r="AE153" i="3" s="1"/>
  <c r="AE179" i="3"/>
  <c r="AE178" i="3" s="1"/>
  <c r="AE208" i="3"/>
  <c r="AE207" i="3" s="1"/>
  <c r="AE240" i="3"/>
  <c r="AE239" i="3" s="1"/>
  <c r="AE255" i="3"/>
  <c r="AE254" i="3" s="1"/>
  <c r="AE88" i="3"/>
  <c r="AE126" i="3"/>
  <c r="AE125" i="3" s="1"/>
  <c r="AE151" i="3"/>
  <c r="AE150" i="3" s="1"/>
  <c r="AE176" i="3"/>
  <c r="AE175" i="3" s="1"/>
  <c r="AE195" i="3"/>
  <c r="AE194" i="3" s="1"/>
  <c r="AE223" i="3"/>
  <c r="AE222" i="3" s="1"/>
  <c r="AE35" i="3"/>
  <c r="AE132" i="3"/>
  <c r="AE131" i="3" s="1"/>
  <c r="AE157" i="3"/>
  <c r="AE156" i="3" s="1"/>
  <c r="AE182" i="3"/>
  <c r="AE181" i="3" s="1"/>
  <c r="AE198" i="3"/>
  <c r="AE197" i="3" s="1"/>
  <c r="AE227" i="3"/>
  <c r="AE226" i="3" s="1"/>
  <c r="AE50" i="3"/>
  <c r="AE135" i="3"/>
  <c r="AE134" i="3" s="1"/>
  <c r="AE160" i="3"/>
  <c r="AE159" i="3" s="1"/>
  <c r="AE185" i="3"/>
  <c r="AE184" i="3" s="1"/>
  <c r="AE211" i="3"/>
  <c r="AE210" i="3" s="1"/>
  <c r="AE244" i="3"/>
  <c r="AE243" i="3" s="1"/>
  <c r="AE258" i="3"/>
  <c r="AE257" i="3" s="1"/>
  <c r="AE99" i="3"/>
  <c r="AE123" i="3"/>
  <c r="AE122" i="3" s="1"/>
  <c r="AE148" i="3"/>
  <c r="AE147" i="3" s="1"/>
  <c r="AE173" i="3"/>
  <c r="AE172" i="3" s="1"/>
  <c r="AE205" i="3"/>
  <c r="AE204" i="3" s="1"/>
  <c r="AE236" i="3"/>
  <c r="AE235" i="3" s="1"/>
  <c r="AE252" i="3"/>
  <c r="AE251" i="3" s="1"/>
  <c r="AE77" i="3"/>
  <c r="AE120" i="3"/>
  <c r="AE119" i="3" s="1"/>
  <c r="AE145" i="3"/>
  <c r="AE144" i="3" s="1"/>
  <c r="AE170" i="3"/>
  <c r="AE169" i="3" s="1"/>
  <c r="AE192" i="3"/>
  <c r="AE191" i="3" s="1"/>
  <c r="AE219" i="3"/>
  <c r="AE218" i="3" s="1"/>
  <c r="AE20" i="3"/>
  <c r="AD129" i="3"/>
  <c r="AD128" i="3" s="1"/>
  <c r="AD154" i="3"/>
  <c r="AD153" i="3" s="1"/>
  <c r="AD179" i="3"/>
  <c r="AD178" i="3" s="1"/>
  <c r="AD208" i="3"/>
  <c r="AD207" i="3" s="1"/>
  <c r="AD240" i="3"/>
  <c r="AD239" i="3" s="1"/>
  <c r="AD255" i="3"/>
  <c r="AD254" i="3" s="1"/>
  <c r="AD88" i="3"/>
  <c r="AD126" i="3"/>
  <c r="AD125" i="3" s="1"/>
  <c r="AD151" i="3"/>
  <c r="AD150" i="3" s="1"/>
  <c r="AD176" i="3"/>
  <c r="AD175" i="3" s="1"/>
  <c r="AD195" i="3"/>
  <c r="AD194" i="3" s="1"/>
  <c r="AD223" i="3"/>
  <c r="AD222" i="3" s="1"/>
  <c r="AD35" i="3"/>
  <c r="AD135" i="3"/>
  <c r="AD134" i="3" s="1"/>
  <c r="AD160" i="3"/>
  <c r="AD159" i="3" s="1"/>
  <c r="AD185" i="3"/>
  <c r="AD184" i="3" s="1"/>
  <c r="AD211" i="3"/>
  <c r="AD210" i="3" s="1"/>
  <c r="AD244" i="3"/>
  <c r="AD243" i="3" s="1"/>
  <c r="AD258" i="3"/>
  <c r="AD257" i="3" s="1"/>
  <c r="AD99" i="3"/>
  <c r="AD132" i="3"/>
  <c r="AD131" i="3" s="1"/>
  <c r="AD157" i="3"/>
  <c r="AD156" i="3" s="1"/>
  <c r="AD182" i="3"/>
  <c r="AD181" i="3" s="1"/>
  <c r="AD198" i="3"/>
  <c r="AD197" i="3" s="1"/>
  <c r="AD227" i="3"/>
  <c r="AD226" i="3" s="1"/>
  <c r="AD50" i="3"/>
  <c r="AD123" i="3"/>
  <c r="AD122" i="3" s="1"/>
  <c r="AD148" i="3"/>
  <c r="AD147" i="3" s="1"/>
  <c r="AD173" i="3"/>
  <c r="AD172" i="3" s="1"/>
  <c r="AD205" i="3"/>
  <c r="AD204" i="3" s="1"/>
  <c r="AD236" i="3"/>
  <c r="AD235" i="3" s="1"/>
  <c r="AD252" i="3"/>
  <c r="AD251" i="3" s="1"/>
  <c r="AD77" i="3"/>
  <c r="AD120" i="3"/>
  <c r="AD119" i="3" s="1"/>
  <c r="AD145" i="3"/>
  <c r="AD144" i="3" s="1"/>
  <c r="AD170" i="3"/>
  <c r="AD169" i="3" s="1"/>
  <c r="AD192" i="3"/>
  <c r="AD191" i="3" s="1"/>
  <c r="AD219" i="3"/>
  <c r="AD218" i="3" s="1"/>
  <c r="AD20" i="3"/>
  <c r="AC129" i="3"/>
  <c r="AC128" i="3" s="1"/>
  <c r="AC154" i="3"/>
  <c r="AC153" i="3" s="1"/>
  <c r="AC179" i="3"/>
  <c r="AC178" i="3" s="1"/>
  <c r="AC208" i="3"/>
  <c r="AC207" i="3" s="1"/>
  <c r="AC240" i="3"/>
  <c r="AC239" i="3" s="1"/>
  <c r="AC255" i="3"/>
  <c r="AC254" i="3" s="1"/>
  <c r="AC88" i="3"/>
  <c r="AC126" i="3"/>
  <c r="AC125" i="3" s="1"/>
  <c r="AC151" i="3"/>
  <c r="AC150" i="3" s="1"/>
  <c r="AC176" i="3"/>
  <c r="AC175" i="3" s="1"/>
  <c r="AC195" i="3"/>
  <c r="AC194" i="3" s="1"/>
  <c r="AC223" i="3"/>
  <c r="AC222" i="3" s="1"/>
  <c r="AC35" i="3"/>
  <c r="AC135" i="3"/>
  <c r="AC134" i="3" s="1"/>
  <c r="AC160" i="3"/>
  <c r="AC159" i="3" s="1"/>
  <c r="AC185" i="3"/>
  <c r="AC184" i="3" s="1"/>
  <c r="AC211" i="3"/>
  <c r="AC210" i="3" s="1"/>
  <c r="AC244" i="3"/>
  <c r="AC243" i="3" s="1"/>
  <c r="AC258" i="3"/>
  <c r="AC257" i="3" s="1"/>
  <c r="AC99" i="3"/>
  <c r="AC132" i="3"/>
  <c r="AC131" i="3" s="1"/>
  <c r="AC157" i="3"/>
  <c r="AC156" i="3" s="1"/>
  <c r="AC182" i="3"/>
  <c r="AC181" i="3" s="1"/>
  <c r="AC198" i="3"/>
  <c r="AC197" i="3" s="1"/>
  <c r="AC227" i="3"/>
  <c r="AC226" i="3" s="1"/>
  <c r="AC50" i="3"/>
  <c r="AC123" i="3"/>
  <c r="AC122" i="3" s="1"/>
  <c r="AC148" i="3"/>
  <c r="AC147" i="3" s="1"/>
  <c r="AC173" i="3"/>
  <c r="AC172" i="3" s="1"/>
  <c r="AC205" i="3"/>
  <c r="AC204" i="3" s="1"/>
  <c r="AC236" i="3"/>
  <c r="AC235" i="3" s="1"/>
  <c r="AC252" i="3"/>
  <c r="AC251" i="3" s="1"/>
  <c r="AC77" i="3"/>
  <c r="AC120" i="3"/>
  <c r="AC119" i="3" s="1"/>
  <c r="AC145" i="3"/>
  <c r="AC144" i="3" s="1"/>
  <c r="AC170" i="3"/>
  <c r="AC169" i="3" s="1"/>
  <c r="AC192" i="3"/>
  <c r="AC191" i="3" s="1"/>
  <c r="AC219" i="3"/>
  <c r="AC218" i="3" s="1"/>
  <c r="AC20" i="3"/>
  <c r="AB135" i="3"/>
  <c r="AB134" i="3" s="1"/>
  <c r="AB160" i="3"/>
  <c r="AB159" i="3" s="1"/>
  <c r="AB185" i="3"/>
  <c r="AB184" i="3" s="1"/>
  <c r="AB211" i="3"/>
  <c r="AB210" i="3" s="1"/>
  <c r="AB244" i="3"/>
  <c r="AB243" i="3" s="1"/>
  <c r="AB258" i="3"/>
  <c r="AB257" i="3" s="1"/>
  <c r="AB99" i="3"/>
  <c r="AB132" i="3"/>
  <c r="AB131" i="3" s="1"/>
  <c r="AB157" i="3"/>
  <c r="AB156" i="3" s="1"/>
  <c r="AB182" i="3"/>
  <c r="AB181" i="3" s="1"/>
  <c r="AB198" i="3"/>
  <c r="AB197" i="3" s="1"/>
  <c r="AB227" i="3"/>
  <c r="AB226" i="3" s="1"/>
  <c r="AB50" i="3"/>
  <c r="AB123" i="3"/>
  <c r="AB122" i="3" s="1"/>
  <c r="AB148" i="3"/>
  <c r="AB147" i="3" s="1"/>
  <c r="AB173" i="3"/>
  <c r="AB172" i="3" s="1"/>
  <c r="AB205" i="3"/>
  <c r="AB204" i="3" s="1"/>
  <c r="AB236" i="3"/>
  <c r="AB235" i="3" s="1"/>
  <c r="AB252" i="3"/>
  <c r="AB251" i="3" s="1"/>
  <c r="AB77" i="3"/>
  <c r="AB120" i="3"/>
  <c r="AB119" i="3" s="1"/>
  <c r="AB145" i="3"/>
  <c r="AB144" i="3" s="1"/>
  <c r="AB170" i="3"/>
  <c r="AB169" i="3" s="1"/>
  <c r="AB192" i="3"/>
  <c r="AB191" i="3" s="1"/>
  <c r="AB219" i="3"/>
  <c r="AB218" i="3" s="1"/>
  <c r="AB20" i="3"/>
  <c r="AB129" i="3"/>
  <c r="AB128" i="3" s="1"/>
  <c r="AB154" i="3"/>
  <c r="AB153" i="3" s="1"/>
  <c r="AB179" i="3"/>
  <c r="AB178" i="3" s="1"/>
  <c r="AB208" i="3"/>
  <c r="AB207" i="3" s="1"/>
  <c r="AB240" i="3"/>
  <c r="AB239" i="3" s="1"/>
  <c r="AB255" i="3"/>
  <c r="AB254" i="3" s="1"/>
  <c r="AB88" i="3"/>
  <c r="AB126" i="3"/>
  <c r="AB125" i="3" s="1"/>
  <c r="AB151" i="3"/>
  <c r="AB150" i="3" s="1"/>
  <c r="AB176" i="3"/>
  <c r="AB175" i="3" s="1"/>
  <c r="AB195" i="3"/>
  <c r="AB194" i="3" s="1"/>
  <c r="AB223" i="3"/>
  <c r="AB222" i="3" s="1"/>
  <c r="AB35" i="3"/>
  <c r="AA123" i="3"/>
  <c r="AA122" i="3" s="1"/>
  <c r="AA148" i="3"/>
  <c r="AA147" i="3" s="1"/>
  <c r="AA173" i="3"/>
  <c r="AA172" i="3" s="1"/>
  <c r="AA205" i="3"/>
  <c r="AA204" i="3" s="1"/>
  <c r="AA236" i="3"/>
  <c r="AA235" i="3" s="1"/>
  <c r="AA252" i="3"/>
  <c r="AA251" i="3" s="1"/>
  <c r="AA77" i="3"/>
  <c r="AA120" i="3"/>
  <c r="AA119" i="3" s="1"/>
  <c r="AA145" i="3"/>
  <c r="AA144" i="3" s="1"/>
  <c r="AA170" i="3"/>
  <c r="AA169" i="3" s="1"/>
  <c r="AA192" i="3"/>
  <c r="AA191" i="3" s="1"/>
  <c r="AA219" i="3"/>
  <c r="AA218" i="3" s="1"/>
  <c r="AA20" i="3"/>
  <c r="AA129" i="3"/>
  <c r="AA128" i="3" s="1"/>
  <c r="AA154" i="3"/>
  <c r="AA153" i="3" s="1"/>
  <c r="AA179" i="3"/>
  <c r="AA178" i="3" s="1"/>
  <c r="AA208" i="3"/>
  <c r="AA207" i="3" s="1"/>
  <c r="AA240" i="3"/>
  <c r="AA239" i="3" s="1"/>
  <c r="AA255" i="3"/>
  <c r="AA254" i="3" s="1"/>
  <c r="AA88" i="3"/>
  <c r="AA126" i="3"/>
  <c r="AA125" i="3" s="1"/>
  <c r="AA151" i="3"/>
  <c r="AA150" i="3" s="1"/>
  <c r="AA176" i="3"/>
  <c r="AA175" i="3" s="1"/>
  <c r="AA195" i="3"/>
  <c r="AA194" i="3" s="1"/>
  <c r="AA223" i="3"/>
  <c r="AA222" i="3" s="1"/>
  <c r="AA35" i="3"/>
  <c r="AA135" i="3"/>
  <c r="AA134" i="3" s="1"/>
  <c r="AA160" i="3"/>
  <c r="AA159" i="3" s="1"/>
  <c r="AA185" i="3"/>
  <c r="AA184" i="3" s="1"/>
  <c r="AA211" i="3"/>
  <c r="AA210" i="3" s="1"/>
  <c r="AA244" i="3"/>
  <c r="AA243" i="3" s="1"/>
  <c r="AA258" i="3"/>
  <c r="AA257" i="3" s="1"/>
  <c r="AA99" i="3"/>
  <c r="AA132" i="3"/>
  <c r="AA131" i="3" s="1"/>
  <c r="AA157" i="3"/>
  <c r="AA156" i="3" s="1"/>
  <c r="AA182" i="3"/>
  <c r="AA181" i="3" s="1"/>
  <c r="AA198" i="3"/>
  <c r="AA197" i="3" s="1"/>
  <c r="AA227" i="3"/>
  <c r="AA226" i="3" s="1"/>
  <c r="AA50" i="3"/>
  <c r="Z135" i="3"/>
  <c r="Z134" i="3" s="1"/>
  <c r="Z160" i="3"/>
  <c r="Z159" i="3" s="1"/>
  <c r="Z185" i="3"/>
  <c r="Z184" i="3" s="1"/>
  <c r="Z211" i="3"/>
  <c r="Z210" i="3" s="1"/>
  <c r="Z244" i="3"/>
  <c r="Z243" i="3" s="1"/>
  <c r="Z258" i="3"/>
  <c r="Z257" i="3" s="1"/>
  <c r="Z99" i="3"/>
  <c r="Z132" i="3"/>
  <c r="Z131" i="3" s="1"/>
  <c r="Z157" i="3"/>
  <c r="Z156" i="3" s="1"/>
  <c r="Z182" i="3"/>
  <c r="Z181" i="3" s="1"/>
  <c r="Z198" i="3"/>
  <c r="Z197" i="3" s="1"/>
  <c r="Z227" i="3"/>
  <c r="Z226" i="3" s="1"/>
  <c r="Z50" i="3"/>
  <c r="Z129" i="3"/>
  <c r="Z128" i="3" s="1"/>
  <c r="Z154" i="3"/>
  <c r="Z153" i="3" s="1"/>
  <c r="Z179" i="3"/>
  <c r="Z178" i="3" s="1"/>
  <c r="Z208" i="3"/>
  <c r="Z207" i="3" s="1"/>
  <c r="Z240" i="3"/>
  <c r="Z239" i="3" s="1"/>
  <c r="Z255" i="3"/>
  <c r="Z254" i="3" s="1"/>
  <c r="Z88" i="3"/>
  <c r="Z126" i="3"/>
  <c r="Z125" i="3" s="1"/>
  <c r="Z151" i="3"/>
  <c r="Z150" i="3" s="1"/>
  <c r="Z176" i="3"/>
  <c r="Z175" i="3" s="1"/>
  <c r="Z195" i="3"/>
  <c r="Z194" i="3" s="1"/>
  <c r="Z223" i="3"/>
  <c r="Z222" i="3" s="1"/>
  <c r="Z35" i="3"/>
  <c r="Z123" i="3"/>
  <c r="Z122" i="3" s="1"/>
  <c r="Z148" i="3"/>
  <c r="Z147" i="3" s="1"/>
  <c r="Z173" i="3"/>
  <c r="Z172" i="3" s="1"/>
  <c r="Z205" i="3"/>
  <c r="Z204" i="3" s="1"/>
  <c r="Z236" i="3"/>
  <c r="Z235" i="3" s="1"/>
  <c r="Z252" i="3"/>
  <c r="Z251" i="3" s="1"/>
  <c r="Z77" i="3"/>
  <c r="Z120" i="3"/>
  <c r="Z119" i="3" s="1"/>
  <c r="Z145" i="3"/>
  <c r="Z144" i="3" s="1"/>
  <c r="Z170" i="3"/>
  <c r="Z169" i="3" s="1"/>
  <c r="Z192" i="3"/>
  <c r="Z191" i="3" s="1"/>
  <c r="Z219" i="3"/>
  <c r="Z218" i="3" s="1"/>
  <c r="Z20" i="3"/>
  <c r="Y135" i="3"/>
  <c r="Y134" i="3" s="1"/>
  <c r="Y160" i="3"/>
  <c r="Y159" i="3" s="1"/>
  <c r="Y185" i="3"/>
  <c r="Y184" i="3" s="1"/>
  <c r="Y211" i="3"/>
  <c r="Y210" i="3" s="1"/>
  <c r="Y244" i="3"/>
  <c r="Y243" i="3" s="1"/>
  <c r="Y258" i="3"/>
  <c r="Y257" i="3" s="1"/>
  <c r="Y99" i="3"/>
  <c r="Y132" i="3"/>
  <c r="Y131" i="3" s="1"/>
  <c r="Y157" i="3"/>
  <c r="Y156" i="3" s="1"/>
  <c r="Y182" i="3"/>
  <c r="Y181" i="3" s="1"/>
  <c r="Y198" i="3"/>
  <c r="Y197" i="3" s="1"/>
  <c r="Y227" i="3"/>
  <c r="Y226" i="3" s="1"/>
  <c r="Y50" i="3"/>
  <c r="Y129" i="3"/>
  <c r="Y128" i="3" s="1"/>
  <c r="Y154" i="3"/>
  <c r="Y153" i="3" s="1"/>
  <c r="Y179" i="3"/>
  <c r="Y178" i="3" s="1"/>
  <c r="Y208" i="3"/>
  <c r="Y207" i="3" s="1"/>
  <c r="Y240" i="3"/>
  <c r="Y239" i="3" s="1"/>
  <c r="Y255" i="3"/>
  <c r="Y254" i="3" s="1"/>
  <c r="Y88" i="3"/>
  <c r="Y126" i="3"/>
  <c r="Y125" i="3" s="1"/>
  <c r="Y151" i="3"/>
  <c r="Y150" i="3" s="1"/>
  <c r="Y176" i="3"/>
  <c r="Y175" i="3" s="1"/>
  <c r="Y195" i="3"/>
  <c r="Y194" i="3" s="1"/>
  <c r="Y223" i="3"/>
  <c r="Y222" i="3" s="1"/>
  <c r="Y35" i="3"/>
  <c r="Y123" i="3"/>
  <c r="Y122" i="3" s="1"/>
  <c r="Y148" i="3"/>
  <c r="Y147" i="3" s="1"/>
  <c r="Y173" i="3"/>
  <c r="Y172" i="3" s="1"/>
  <c r="Y205" i="3"/>
  <c r="Y204" i="3" s="1"/>
  <c r="Y236" i="3"/>
  <c r="Y235" i="3" s="1"/>
  <c r="Y252" i="3"/>
  <c r="Y251" i="3" s="1"/>
  <c r="Y77" i="3"/>
  <c r="Y120" i="3"/>
  <c r="Y119" i="3" s="1"/>
  <c r="Y145" i="3"/>
  <c r="Y144" i="3" s="1"/>
  <c r="Y170" i="3"/>
  <c r="Y169" i="3" s="1"/>
  <c r="Y192" i="3"/>
  <c r="Y191" i="3" s="1"/>
  <c r="Y219" i="3"/>
  <c r="Y218" i="3" s="1"/>
  <c r="Y20" i="3"/>
  <c r="X123" i="3"/>
  <c r="X122" i="3" s="1"/>
  <c r="X148" i="3"/>
  <c r="X147" i="3" s="1"/>
  <c r="X173" i="3"/>
  <c r="X172" i="3" s="1"/>
  <c r="X205" i="3"/>
  <c r="X204" i="3" s="1"/>
  <c r="X236" i="3"/>
  <c r="X235" i="3" s="1"/>
  <c r="X252" i="3"/>
  <c r="X251" i="3" s="1"/>
  <c r="X77" i="3"/>
  <c r="X120" i="3"/>
  <c r="X119" i="3" s="1"/>
  <c r="X145" i="3"/>
  <c r="X144" i="3" s="1"/>
  <c r="X170" i="3"/>
  <c r="X169" i="3" s="1"/>
  <c r="X192" i="3"/>
  <c r="X191" i="3" s="1"/>
  <c r="X219" i="3"/>
  <c r="X218" i="3" s="1"/>
  <c r="X20" i="3"/>
  <c r="X135" i="3"/>
  <c r="X134" i="3" s="1"/>
  <c r="X160" i="3"/>
  <c r="X159" i="3" s="1"/>
  <c r="X185" i="3"/>
  <c r="X184" i="3" s="1"/>
  <c r="X211" i="3"/>
  <c r="X210" i="3" s="1"/>
  <c r="X244" i="3"/>
  <c r="X243" i="3" s="1"/>
  <c r="X258" i="3"/>
  <c r="X257" i="3" s="1"/>
  <c r="X99" i="3"/>
  <c r="X132" i="3"/>
  <c r="X131" i="3" s="1"/>
  <c r="X157" i="3"/>
  <c r="X156" i="3" s="1"/>
  <c r="X182" i="3"/>
  <c r="X181" i="3" s="1"/>
  <c r="X198" i="3"/>
  <c r="X197" i="3" s="1"/>
  <c r="X227" i="3"/>
  <c r="X226" i="3" s="1"/>
  <c r="X50" i="3"/>
  <c r="X129" i="3"/>
  <c r="X128" i="3" s="1"/>
  <c r="X154" i="3"/>
  <c r="X153" i="3" s="1"/>
  <c r="X179" i="3"/>
  <c r="X178" i="3" s="1"/>
  <c r="X208" i="3"/>
  <c r="X207" i="3" s="1"/>
  <c r="X240" i="3"/>
  <c r="X239" i="3" s="1"/>
  <c r="X255" i="3"/>
  <c r="X254" i="3" s="1"/>
  <c r="X88" i="3"/>
  <c r="X126" i="3"/>
  <c r="X125" i="3" s="1"/>
  <c r="X151" i="3"/>
  <c r="X150" i="3" s="1"/>
  <c r="X176" i="3"/>
  <c r="X175" i="3" s="1"/>
  <c r="X195" i="3"/>
  <c r="X194" i="3" s="1"/>
  <c r="X223" i="3"/>
  <c r="X222" i="3" s="1"/>
  <c r="X35" i="3"/>
  <c r="W129" i="3"/>
  <c r="W128" i="3" s="1"/>
  <c r="W154" i="3"/>
  <c r="W153" i="3" s="1"/>
  <c r="W179" i="3"/>
  <c r="W178" i="3" s="1"/>
  <c r="W208" i="3"/>
  <c r="W207" i="3" s="1"/>
  <c r="W240" i="3"/>
  <c r="W239" i="3" s="1"/>
  <c r="W255" i="3"/>
  <c r="W254" i="3" s="1"/>
  <c r="W88" i="3"/>
  <c r="W126" i="3"/>
  <c r="W125" i="3" s="1"/>
  <c r="W151" i="3"/>
  <c r="W150" i="3" s="1"/>
  <c r="W176" i="3"/>
  <c r="W175" i="3" s="1"/>
  <c r="W195" i="3"/>
  <c r="W194" i="3" s="1"/>
  <c r="W223" i="3"/>
  <c r="W222" i="3" s="1"/>
  <c r="W35" i="3"/>
  <c r="W135" i="3"/>
  <c r="W134" i="3" s="1"/>
  <c r="W160" i="3"/>
  <c r="W159" i="3" s="1"/>
  <c r="W185" i="3"/>
  <c r="W184" i="3" s="1"/>
  <c r="W211" i="3"/>
  <c r="W210" i="3" s="1"/>
  <c r="W244" i="3"/>
  <c r="W243" i="3" s="1"/>
  <c r="W258" i="3"/>
  <c r="W257" i="3" s="1"/>
  <c r="W99" i="3"/>
  <c r="W132" i="3"/>
  <c r="W131" i="3" s="1"/>
  <c r="W157" i="3"/>
  <c r="W156" i="3" s="1"/>
  <c r="W182" i="3"/>
  <c r="W181" i="3" s="1"/>
  <c r="W198" i="3"/>
  <c r="W197" i="3" s="1"/>
  <c r="W227" i="3"/>
  <c r="W226" i="3" s="1"/>
  <c r="W50" i="3"/>
  <c r="W123" i="3"/>
  <c r="W122" i="3" s="1"/>
  <c r="W148" i="3"/>
  <c r="W147" i="3" s="1"/>
  <c r="W173" i="3"/>
  <c r="W172" i="3" s="1"/>
  <c r="W205" i="3"/>
  <c r="W204" i="3" s="1"/>
  <c r="W236" i="3"/>
  <c r="W235" i="3" s="1"/>
  <c r="W252" i="3"/>
  <c r="W251" i="3" s="1"/>
  <c r="W77" i="3"/>
  <c r="W120" i="3"/>
  <c r="W119" i="3" s="1"/>
  <c r="W145" i="3"/>
  <c r="W144" i="3" s="1"/>
  <c r="W170" i="3"/>
  <c r="W169" i="3" s="1"/>
  <c r="W192" i="3"/>
  <c r="W191" i="3" s="1"/>
  <c r="W219" i="3"/>
  <c r="W218" i="3" s="1"/>
  <c r="W20" i="3"/>
  <c r="V129" i="3"/>
  <c r="V128" i="3" s="1"/>
  <c r="V154" i="3"/>
  <c r="V153" i="3" s="1"/>
  <c r="V179" i="3"/>
  <c r="V178" i="3" s="1"/>
  <c r="V208" i="3"/>
  <c r="V207" i="3" s="1"/>
  <c r="V240" i="3"/>
  <c r="V239" i="3" s="1"/>
  <c r="V255" i="3"/>
  <c r="V254" i="3" s="1"/>
  <c r="V88" i="3"/>
  <c r="V126" i="3"/>
  <c r="V125" i="3" s="1"/>
  <c r="V151" i="3"/>
  <c r="V150" i="3" s="1"/>
  <c r="V176" i="3"/>
  <c r="V175" i="3" s="1"/>
  <c r="V195" i="3"/>
  <c r="V194" i="3" s="1"/>
  <c r="V223" i="3"/>
  <c r="V222" i="3" s="1"/>
  <c r="V35" i="3"/>
  <c r="V135" i="3"/>
  <c r="V134" i="3" s="1"/>
  <c r="V160" i="3"/>
  <c r="V159" i="3" s="1"/>
  <c r="V185" i="3"/>
  <c r="V184" i="3" s="1"/>
  <c r="V211" i="3"/>
  <c r="V210" i="3" s="1"/>
  <c r="V244" i="3"/>
  <c r="V243" i="3" s="1"/>
  <c r="V258" i="3"/>
  <c r="V257" i="3" s="1"/>
  <c r="V99" i="3"/>
  <c r="V132" i="3"/>
  <c r="V131" i="3" s="1"/>
  <c r="V157" i="3"/>
  <c r="V156" i="3" s="1"/>
  <c r="V182" i="3"/>
  <c r="V181" i="3" s="1"/>
  <c r="V198" i="3"/>
  <c r="V197" i="3" s="1"/>
  <c r="V227" i="3"/>
  <c r="V226" i="3" s="1"/>
  <c r="V50" i="3"/>
  <c r="V123" i="3"/>
  <c r="V122" i="3" s="1"/>
  <c r="V148" i="3"/>
  <c r="V147" i="3" s="1"/>
  <c r="V173" i="3"/>
  <c r="V172" i="3" s="1"/>
  <c r="V205" i="3"/>
  <c r="V204" i="3" s="1"/>
  <c r="V236" i="3"/>
  <c r="V235" i="3" s="1"/>
  <c r="V252" i="3"/>
  <c r="V251" i="3" s="1"/>
  <c r="V77" i="3"/>
  <c r="V120" i="3"/>
  <c r="V119" i="3" s="1"/>
  <c r="V145" i="3"/>
  <c r="V144" i="3" s="1"/>
  <c r="V170" i="3"/>
  <c r="V169" i="3" s="1"/>
  <c r="V192" i="3"/>
  <c r="V191" i="3" s="1"/>
  <c r="V219" i="3"/>
  <c r="V218" i="3" s="1"/>
  <c r="V20" i="3"/>
  <c r="U129" i="3"/>
  <c r="U128" i="3" s="1"/>
  <c r="U154" i="3"/>
  <c r="U153" i="3" s="1"/>
  <c r="U179" i="3"/>
  <c r="U178" i="3" s="1"/>
  <c r="U208" i="3"/>
  <c r="U207" i="3" s="1"/>
  <c r="U240" i="3"/>
  <c r="U239" i="3" s="1"/>
  <c r="U255" i="3"/>
  <c r="U254" i="3" s="1"/>
  <c r="U88" i="3"/>
  <c r="U126" i="3"/>
  <c r="U125" i="3" s="1"/>
  <c r="U151" i="3"/>
  <c r="U150" i="3" s="1"/>
  <c r="U176" i="3"/>
  <c r="U175" i="3" s="1"/>
  <c r="U195" i="3"/>
  <c r="U194" i="3" s="1"/>
  <c r="U223" i="3"/>
  <c r="U222" i="3" s="1"/>
  <c r="U35" i="3"/>
  <c r="U135" i="3"/>
  <c r="U134" i="3" s="1"/>
  <c r="U160" i="3"/>
  <c r="U159" i="3" s="1"/>
  <c r="U185" i="3"/>
  <c r="U184" i="3" s="1"/>
  <c r="U211" i="3"/>
  <c r="U210" i="3" s="1"/>
  <c r="U244" i="3"/>
  <c r="U243" i="3" s="1"/>
  <c r="U258" i="3"/>
  <c r="U257" i="3" s="1"/>
  <c r="U99" i="3"/>
  <c r="U132" i="3"/>
  <c r="U131" i="3" s="1"/>
  <c r="U157" i="3"/>
  <c r="U156" i="3" s="1"/>
  <c r="U182" i="3"/>
  <c r="U181" i="3" s="1"/>
  <c r="U198" i="3"/>
  <c r="U197" i="3" s="1"/>
  <c r="U227" i="3"/>
  <c r="U226" i="3" s="1"/>
  <c r="U50" i="3"/>
  <c r="U123" i="3"/>
  <c r="U122" i="3" s="1"/>
  <c r="U148" i="3"/>
  <c r="U147" i="3" s="1"/>
  <c r="U173" i="3"/>
  <c r="U172" i="3" s="1"/>
  <c r="U205" i="3"/>
  <c r="U204" i="3" s="1"/>
  <c r="U236" i="3"/>
  <c r="U235" i="3" s="1"/>
  <c r="U252" i="3"/>
  <c r="U251" i="3" s="1"/>
  <c r="U77" i="3"/>
  <c r="U120" i="3"/>
  <c r="U119" i="3" s="1"/>
  <c r="U145" i="3"/>
  <c r="U144" i="3" s="1"/>
  <c r="U170" i="3"/>
  <c r="U169" i="3" s="1"/>
  <c r="U192" i="3"/>
  <c r="U191" i="3" s="1"/>
  <c r="U219" i="3"/>
  <c r="U218" i="3" s="1"/>
  <c r="U20" i="3"/>
  <c r="T129" i="3"/>
  <c r="T128" i="3" s="1"/>
  <c r="T154" i="3"/>
  <c r="T153" i="3" s="1"/>
  <c r="T179" i="3"/>
  <c r="T178" i="3" s="1"/>
  <c r="T208" i="3"/>
  <c r="T207" i="3" s="1"/>
  <c r="T240" i="3"/>
  <c r="T239" i="3" s="1"/>
  <c r="T255" i="3"/>
  <c r="T254" i="3" s="1"/>
  <c r="T88" i="3"/>
  <c r="T126" i="3"/>
  <c r="T125" i="3" s="1"/>
  <c r="T151" i="3"/>
  <c r="T150" i="3" s="1"/>
  <c r="T176" i="3"/>
  <c r="T175" i="3" s="1"/>
  <c r="T195" i="3"/>
  <c r="T194" i="3" s="1"/>
  <c r="T223" i="3"/>
  <c r="T222" i="3" s="1"/>
  <c r="T35" i="3"/>
  <c r="T123" i="3"/>
  <c r="T122" i="3" s="1"/>
  <c r="T148" i="3"/>
  <c r="T147" i="3" s="1"/>
  <c r="T173" i="3"/>
  <c r="T172" i="3" s="1"/>
  <c r="T205" i="3"/>
  <c r="T204" i="3" s="1"/>
  <c r="T236" i="3"/>
  <c r="T235" i="3" s="1"/>
  <c r="T252" i="3"/>
  <c r="T251" i="3" s="1"/>
  <c r="T77" i="3"/>
  <c r="T120" i="3"/>
  <c r="T119" i="3" s="1"/>
  <c r="T145" i="3"/>
  <c r="T144" i="3" s="1"/>
  <c r="T170" i="3"/>
  <c r="T169" i="3" s="1"/>
  <c r="T192" i="3"/>
  <c r="T191" i="3" s="1"/>
  <c r="T219" i="3"/>
  <c r="T218" i="3" s="1"/>
  <c r="T20" i="3"/>
  <c r="T135" i="3"/>
  <c r="T134" i="3" s="1"/>
  <c r="T160" i="3"/>
  <c r="T159" i="3" s="1"/>
  <c r="T185" i="3"/>
  <c r="T184" i="3" s="1"/>
  <c r="T211" i="3"/>
  <c r="T210" i="3" s="1"/>
  <c r="T244" i="3"/>
  <c r="T243" i="3" s="1"/>
  <c r="T258" i="3"/>
  <c r="T257" i="3" s="1"/>
  <c r="T99" i="3"/>
  <c r="T132" i="3"/>
  <c r="T131" i="3" s="1"/>
  <c r="T157" i="3"/>
  <c r="T156" i="3" s="1"/>
  <c r="T182" i="3"/>
  <c r="T181" i="3" s="1"/>
  <c r="T198" i="3"/>
  <c r="T197" i="3" s="1"/>
  <c r="T227" i="3"/>
  <c r="T226" i="3" s="1"/>
  <c r="T50" i="3"/>
  <c r="S129" i="3"/>
  <c r="S128" i="3" s="1"/>
  <c r="S154" i="3"/>
  <c r="S153" i="3" s="1"/>
  <c r="S179" i="3"/>
  <c r="S178" i="3" s="1"/>
  <c r="S208" i="3"/>
  <c r="S207" i="3" s="1"/>
  <c r="S240" i="3"/>
  <c r="S239" i="3" s="1"/>
  <c r="S255" i="3"/>
  <c r="S254" i="3" s="1"/>
  <c r="S88" i="3"/>
  <c r="S126" i="3"/>
  <c r="S125" i="3" s="1"/>
  <c r="S151" i="3"/>
  <c r="S150" i="3" s="1"/>
  <c r="S176" i="3"/>
  <c r="S175" i="3" s="1"/>
  <c r="S195" i="3"/>
  <c r="S194" i="3" s="1"/>
  <c r="S223" i="3"/>
  <c r="S222" i="3" s="1"/>
  <c r="S35" i="3"/>
  <c r="S123" i="3"/>
  <c r="S122" i="3" s="1"/>
  <c r="S148" i="3"/>
  <c r="S147" i="3" s="1"/>
  <c r="S173" i="3"/>
  <c r="S172" i="3" s="1"/>
  <c r="S205" i="3"/>
  <c r="S204" i="3" s="1"/>
  <c r="S236" i="3"/>
  <c r="S235" i="3" s="1"/>
  <c r="S252" i="3"/>
  <c r="S251" i="3" s="1"/>
  <c r="S77" i="3"/>
  <c r="S120" i="3"/>
  <c r="S119" i="3" s="1"/>
  <c r="S145" i="3"/>
  <c r="S144" i="3" s="1"/>
  <c r="S170" i="3"/>
  <c r="S169" i="3" s="1"/>
  <c r="S192" i="3"/>
  <c r="S191" i="3" s="1"/>
  <c r="S219" i="3"/>
  <c r="S218" i="3" s="1"/>
  <c r="S20" i="3"/>
  <c r="S135" i="3"/>
  <c r="S134" i="3" s="1"/>
  <c r="S160" i="3"/>
  <c r="S159" i="3" s="1"/>
  <c r="S185" i="3"/>
  <c r="S184" i="3" s="1"/>
  <c r="S211" i="3"/>
  <c r="S210" i="3" s="1"/>
  <c r="S244" i="3"/>
  <c r="S243" i="3" s="1"/>
  <c r="S258" i="3"/>
  <c r="S257" i="3" s="1"/>
  <c r="S99" i="3"/>
  <c r="S132" i="3"/>
  <c r="S131" i="3" s="1"/>
  <c r="S157" i="3"/>
  <c r="S156" i="3" s="1"/>
  <c r="S182" i="3"/>
  <c r="S181" i="3" s="1"/>
  <c r="S198" i="3"/>
  <c r="S197" i="3" s="1"/>
  <c r="S227" i="3"/>
  <c r="S226" i="3" s="1"/>
  <c r="S50" i="3"/>
  <c r="R129" i="3"/>
  <c r="R128" i="3" s="1"/>
  <c r="R154" i="3"/>
  <c r="R153" i="3" s="1"/>
  <c r="R179" i="3"/>
  <c r="R178" i="3" s="1"/>
  <c r="R208" i="3"/>
  <c r="R207" i="3" s="1"/>
  <c r="R240" i="3"/>
  <c r="R239" i="3" s="1"/>
  <c r="R255" i="3"/>
  <c r="R254" i="3" s="1"/>
  <c r="R88" i="3"/>
  <c r="R126" i="3"/>
  <c r="R125" i="3" s="1"/>
  <c r="R151" i="3"/>
  <c r="R150" i="3" s="1"/>
  <c r="R176" i="3"/>
  <c r="R175" i="3" s="1"/>
  <c r="R195" i="3"/>
  <c r="R194" i="3" s="1"/>
  <c r="R223" i="3"/>
  <c r="R222" i="3" s="1"/>
  <c r="R35" i="3"/>
  <c r="R123" i="3"/>
  <c r="R122" i="3" s="1"/>
  <c r="R148" i="3"/>
  <c r="R147" i="3" s="1"/>
  <c r="R173" i="3"/>
  <c r="R172" i="3" s="1"/>
  <c r="R205" i="3"/>
  <c r="R204" i="3" s="1"/>
  <c r="R236" i="3"/>
  <c r="R235" i="3" s="1"/>
  <c r="R252" i="3"/>
  <c r="R251" i="3" s="1"/>
  <c r="R77" i="3"/>
  <c r="R120" i="3"/>
  <c r="R119" i="3" s="1"/>
  <c r="R145" i="3"/>
  <c r="R144" i="3" s="1"/>
  <c r="R170" i="3"/>
  <c r="R169" i="3" s="1"/>
  <c r="R192" i="3"/>
  <c r="R191" i="3" s="1"/>
  <c r="R219" i="3"/>
  <c r="R218" i="3" s="1"/>
  <c r="R20" i="3"/>
  <c r="R135" i="3"/>
  <c r="R134" i="3" s="1"/>
  <c r="R160" i="3"/>
  <c r="R159" i="3" s="1"/>
  <c r="R185" i="3"/>
  <c r="R184" i="3" s="1"/>
  <c r="R211" i="3"/>
  <c r="R210" i="3" s="1"/>
  <c r="R244" i="3"/>
  <c r="R243" i="3" s="1"/>
  <c r="R258" i="3"/>
  <c r="R257" i="3" s="1"/>
  <c r="R99" i="3"/>
  <c r="R132" i="3"/>
  <c r="R131" i="3" s="1"/>
  <c r="R157" i="3"/>
  <c r="R156" i="3" s="1"/>
  <c r="R182" i="3"/>
  <c r="R181" i="3" s="1"/>
  <c r="R198" i="3"/>
  <c r="R197" i="3" s="1"/>
  <c r="R227" i="3"/>
  <c r="R226" i="3" s="1"/>
  <c r="R50" i="3"/>
  <c r="Q129" i="3"/>
  <c r="Q128" i="3" s="1"/>
  <c r="Q154" i="3"/>
  <c r="Q153" i="3" s="1"/>
  <c r="Q179" i="3"/>
  <c r="Q178" i="3" s="1"/>
  <c r="Q208" i="3"/>
  <c r="Q207" i="3" s="1"/>
  <c r="Q240" i="3"/>
  <c r="Q239" i="3" s="1"/>
  <c r="Q255" i="3"/>
  <c r="Q254" i="3" s="1"/>
  <c r="Q88" i="3"/>
  <c r="Q126" i="3"/>
  <c r="Q125" i="3" s="1"/>
  <c r="Q151" i="3"/>
  <c r="Q150" i="3" s="1"/>
  <c r="Q176" i="3"/>
  <c r="Q175" i="3" s="1"/>
  <c r="Q195" i="3"/>
  <c r="Q194" i="3" s="1"/>
  <c r="Q223" i="3"/>
  <c r="Q222" i="3" s="1"/>
  <c r="Q35" i="3"/>
  <c r="Q123" i="3"/>
  <c r="Q122" i="3" s="1"/>
  <c r="Q148" i="3"/>
  <c r="Q147" i="3" s="1"/>
  <c r="Q173" i="3"/>
  <c r="Q172" i="3" s="1"/>
  <c r="Q205" i="3"/>
  <c r="Q204" i="3" s="1"/>
  <c r="Q236" i="3"/>
  <c r="Q235" i="3" s="1"/>
  <c r="Q252" i="3"/>
  <c r="Q251" i="3" s="1"/>
  <c r="Q77" i="3"/>
  <c r="Q120" i="3"/>
  <c r="Q119" i="3" s="1"/>
  <c r="Q145" i="3"/>
  <c r="Q144" i="3" s="1"/>
  <c r="Q170" i="3"/>
  <c r="Q169" i="3" s="1"/>
  <c r="Q192" i="3"/>
  <c r="Q191" i="3" s="1"/>
  <c r="Q219" i="3"/>
  <c r="Q218" i="3" s="1"/>
  <c r="Q20" i="3"/>
  <c r="Q135" i="3"/>
  <c r="Q134" i="3" s="1"/>
  <c r="Q160" i="3"/>
  <c r="Q159" i="3" s="1"/>
  <c r="Q185" i="3"/>
  <c r="Q184" i="3" s="1"/>
  <c r="Q211" i="3"/>
  <c r="Q210" i="3" s="1"/>
  <c r="Q244" i="3"/>
  <c r="Q243" i="3" s="1"/>
  <c r="Q258" i="3"/>
  <c r="Q257" i="3" s="1"/>
  <c r="Q99" i="3"/>
  <c r="Q132" i="3"/>
  <c r="Q131" i="3" s="1"/>
  <c r="Q157" i="3"/>
  <c r="Q156" i="3" s="1"/>
  <c r="Q182" i="3"/>
  <c r="Q181" i="3" s="1"/>
  <c r="Q198" i="3"/>
  <c r="Q197" i="3" s="1"/>
  <c r="Q227" i="3"/>
  <c r="Q226" i="3" s="1"/>
  <c r="Q50" i="3"/>
  <c r="P129" i="3"/>
  <c r="P128" i="3" s="1"/>
  <c r="P154" i="3"/>
  <c r="P153" i="3" s="1"/>
  <c r="P179" i="3"/>
  <c r="P178" i="3" s="1"/>
  <c r="P208" i="3"/>
  <c r="P207" i="3" s="1"/>
  <c r="P240" i="3"/>
  <c r="P239" i="3" s="1"/>
  <c r="P255" i="3"/>
  <c r="P254" i="3" s="1"/>
  <c r="P88" i="3"/>
  <c r="P126" i="3"/>
  <c r="P125" i="3" s="1"/>
  <c r="P151" i="3"/>
  <c r="P150" i="3" s="1"/>
  <c r="P176" i="3"/>
  <c r="P175" i="3" s="1"/>
  <c r="P195" i="3"/>
  <c r="P194" i="3" s="1"/>
  <c r="P223" i="3"/>
  <c r="P222" i="3" s="1"/>
  <c r="P35" i="3"/>
  <c r="P135" i="3"/>
  <c r="P134" i="3" s="1"/>
  <c r="P160" i="3"/>
  <c r="P159" i="3" s="1"/>
  <c r="P185" i="3"/>
  <c r="P184" i="3" s="1"/>
  <c r="P211" i="3"/>
  <c r="P210" i="3" s="1"/>
  <c r="P244" i="3"/>
  <c r="P243" i="3" s="1"/>
  <c r="P258" i="3"/>
  <c r="P257" i="3" s="1"/>
  <c r="P99" i="3"/>
  <c r="P132" i="3"/>
  <c r="P131" i="3" s="1"/>
  <c r="P157" i="3"/>
  <c r="P156" i="3" s="1"/>
  <c r="P182" i="3"/>
  <c r="P181" i="3" s="1"/>
  <c r="P198" i="3"/>
  <c r="P197" i="3" s="1"/>
  <c r="P227" i="3"/>
  <c r="P226" i="3" s="1"/>
  <c r="P50" i="3"/>
  <c r="P123" i="3"/>
  <c r="P122" i="3" s="1"/>
  <c r="P148" i="3"/>
  <c r="P147" i="3" s="1"/>
  <c r="P173" i="3"/>
  <c r="P172" i="3" s="1"/>
  <c r="P205" i="3"/>
  <c r="P204" i="3" s="1"/>
  <c r="P236" i="3"/>
  <c r="P235" i="3" s="1"/>
  <c r="P252" i="3"/>
  <c r="P251" i="3" s="1"/>
  <c r="P77" i="3"/>
  <c r="P120" i="3"/>
  <c r="P119" i="3" s="1"/>
  <c r="P145" i="3"/>
  <c r="P144" i="3" s="1"/>
  <c r="P170" i="3"/>
  <c r="P169" i="3" s="1"/>
  <c r="P192" i="3"/>
  <c r="P191" i="3" s="1"/>
  <c r="P219" i="3"/>
  <c r="P218" i="3" s="1"/>
  <c r="P20" i="3"/>
  <c r="O129" i="3"/>
  <c r="O128" i="3" s="1"/>
  <c r="O154" i="3"/>
  <c r="O153" i="3" s="1"/>
  <c r="O179" i="3"/>
  <c r="O178" i="3" s="1"/>
  <c r="O208" i="3"/>
  <c r="O207" i="3" s="1"/>
  <c r="O240" i="3"/>
  <c r="O239" i="3" s="1"/>
  <c r="O255" i="3"/>
  <c r="O254" i="3" s="1"/>
  <c r="O88" i="3"/>
  <c r="O126" i="3"/>
  <c r="O125" i="3" s="1"/>
  <c r="O151" i="3"/>
  <c r="O150" i="3" s="1"/>
  <c r="O176" i="3"/>
  <c r="O175" i="3" s="1"/>
  <c r="O195" i="3"/>
  <c r="O194" i="3" s="1"/>
  <c r="O223" i="3"/>
  <c r="O222" i="3" s="1"/>
  <c r="O35" i="3"/>
  <c r="O135" i="3"/>
  <c r="O134" i="3" s="1"/>
  <c r="O160" i="3"/>
  <c r="O159" i="3" s="1"/>
  <c r="O185" i="3"/>
  <c r="O184" i="3" s="1"/>
  <c r="O211" i="3"/>
  <c r="O210" i="3" s="1"/>
  <c r="O244" i="3"/>
  <c r="O243" i="3" s="1"/>
  <c r="O258" i="3"/>
  <c r="O257" i="3" s="1"/>
  <c r="O99" i="3"/>
  <c r="O132" i="3"/>
  <c r="O131" i="3" s="1"/>
  <c r="O157" i="3"/>
  <c r="O156" i="3" s="1"/>
  <c r="O182" i="3"/>
  <c r="O181" i="3" s="1"/>
  <c r="O198" i="3"/>
  <c r="O197" i="3" s="1"/>
  <c r="O227" i="3"/>
  <c r="O226" i="3" s="1"/>
  <c r="O50" i="3"/>
  <c r="O123" i="3"/>
  <c r="O122" i="3" s="1"/>
  <c r="O148" i="3"/>
  <c r="O147" i="3" s="1"/>
  <c r="O173" i="3"/>
  <c r="O172" i="3" s="1"/>
  <c r="O205" i="3"/>
  <c r="O204" i="3" s="1"/>
  <c r="O236" i="3"/>
  <c r="O235" i="3" s="1"/>
  <c r="O252" i="3"/>
  <c r="O251" i="3" s="1"/>
  <c r="O77" i="3"/>
  <c r="O120" i="3"/>
  <c r="O119" i="3" s="1"/>
  <c r="O145" i="3"/>
  <c r="O144" i="3" s="1"/>
  <c r="O170" i="3"/>
  <c r="O169" i="3" s="1"/>
  <c r="O192" i="3"/>
  <c r="O191" i="3" s="1"/>
  <c r="O219" i="3"/>
  <c r="O218" i="3" s="1"/>
  <c r="O20" i="3"/>
  <c r="N129" i="3"/>
  <c r="N128" i="3" s="1"/>
  <c r="N154" i="3"/>
  <c r="N153" i="3" s="1"/>
  <c r="N179" i="3"/>
  <c r="N178" i="3" s="1"/>
  <c r="N208" i="3"/>
  <c r="N207" i="3" s="1"/>
  <c r="N240" i="3"/>
  <c r="N239" i="3" s="1"/>
  <c r="N255" i="3"/>
  <c r="N254" i="3" s="1"/>
  <c r="N88" i="3"/>
  <c r="N126" i="3"/>
  <c r="N125" i="3" s="1"/>
  <c r="N151" i="3"/>
  <c r="N150" i="3" s="1"/>
  <c r="N176" i="3"/>
  <c r="N175" i="3" s="1"/>
  <c r="N195" i="3"/>
  <c r="N194" i="3" s="1"/>
  <c r="N223" i="3"/>
  <c r="N222" i="3" s="1"/>
  <c r="N35" i="3"/>
  <c r="N135" i="3"/>
  <c r="N134" i="3" s="1"/>
  <c r="N160" i="3"/>
  <c r="N159" i="3" s="1"/>
  <c r="N185" i="3"/>
  <c r="N184" i="3" s="1"/>
  <c r="N211" i="3"/>
  <c r="N210" i="3" s="1"/>
  <c r="N244" i="3"/>
  <c r="N243" i="3" s="1"/>
  <c r="N258" i="3"/>
  <c r="N257" i="3" s="1"/>
  <c r="N99" i="3"/>
  <c r="N132" i="3"/>
  <c r="N131" i="3" s="1"/>
  <c r="N157" i="3"/>
  <c r="N156" i="3" s="1"/>
  <c r="N182" i="3"/>
  <c r="N181" i="3" s="1"/>
  <c r="N198" i="3"/>
  <c r="N197" i="3" s="1"/>
  <c r="N227" i="3"/>
  <c r="N226" i="3" s="1"/>
  <c r="N50" i="3"/>
  <c r="N123" i="3"/>
  <c r="N122" i="3" s="1"/>
  <c r="N148" i="3"/>
  <c r="N147" i="3" s="1"/>
  <c r="N173" i="3"/>
  <c r="N172" i="3" s="1"/>
  <c r="N205" i="3"/>
  <c r="N204" i="3" s="1"/>
  <c r="N236" i="3"/>
  <c r="N235" i="3" s="1"/>
  <c r="N252" i="3"/>
  <c r="N251" i="3" s="1"/>
  <c r="N77" i="3"/>
  <c r="N120" i="3"/>
  <c r="N119" i="3" s="1"/>
  <c r="N145" i="3"/>
  <c r="N144" i="3" s="1"/>
  <c r="N170" i="3"/>
  <c r="N169" i="3" s="1"/>
  <c r="N192" i="3"/>
  <c r="N191" i="3" s="1"/>
  <c r="N219" i="3"/>
  <c r="N218" i="3" s="1"/>
  <c r="N20" i="3"/>
  <c r="M129" i="3"/>
  <c r="M128" i="3" s="1"/>
  <c r="M154" i="3"/>
  <c r="M153" i="3" s="1"/>
  <c r="M179" i="3"/>
  <c r="M178" i="3" s="1"/>
  <c r="M208" i="3"/>
  <c r="M207" i="3" s="1"/>
  <c r="M240" i="3"/>
  <c r="M239" i="3" s="1"/>
  <c r="M255" i="3"/>
  <c r="M254" i="3" s="1"/>
  <c r="M88" i="3"/>
  <c r="M126" i="3"/>
  <c r="M125" i="3" s="1"/>
  <c r="M151" i="3"/>
  <c r="M150" i="3" s="1"/>
  <c r="M176" i="3"/>
  <c r="M175" i="3" s="1"/>
  <c r="M195" i="3"/>
  <c r="M194" i="3" s="1"/>
  <c r="M223" i="3"/>
  <c r="M222" i="3" s="1"/>
  <c r="M35" i="3"/>
  <c r="M135" i="3"/>
  <c r="M134" i="3" s="1"/>
  <c r="M160" i="3"/>
  <c r="M159" i="3" s="1"/>
  <c r="M185" i="3"/>
  <c r="M184" i="3" s="1"/>
  <c r="M211" i="3"/>
  <c r="M210" i="3" s="1"/>
  <c r="M244" i="3"/>
  <c r="M243" i="3" s="1"/>
  <c r="M258" i="3"/>
  <c r="M257" i="3" s="1"/>
  <c r="M99" i="3"/>
  <c r="M132" i="3"/>
  <c r="M131" i="3" s="1"/>
  <c r="M157" i="3"/>
  <c r="M156" i="3" s="1"/>
  <c r="M182" i="3"/>
  <c r="M181" i="3" s="1"/>
  <c r="M198" i="3"/>
  <c r="M197" i="3" s="1"/>
  <c r="M227" i="3"/>
  <c r="M226" i="3" s="1"/>
  <c r="M50" i="3"/>
  <c r="M123" i="3"/>
  <c r="M122" i="3" s="1"/>
  <c r="M148" i="3"/>
  <c r="M147" i="3" s="1"/>
  <c r="M173" i="3"/>
  <c r="M172" i="3" s="1"/>
  <c r="M205" i="3"/>
  <c r="M204" i="3" s="1"/>
  <c r="M236" i="3"/>
  <c r="M235" i="3" s="1"/>
  <c r="M252" i="3"/>
  <c r="M251" i="3" s="1"/>
  <c r="M77" i="3"/>
  <c r="M120" i="3"/>
  <c r="M119" i="3" s="1"/>
  <c r="M145" i="3"/>
  <c r="M144" i="3" s="1"/>
  <c r="M170" i="3"/>
  <c r="M169" i="3" s="1"/>
  <c r="M192" i="3"/>
  <c r="M191" i="3" s="1"/>
  <c r="M219" i="3"/>
  <c r="M218" i="3" s="1"/>
  <c r="M20" i="3"/>
  <c r="L129" i="3"/>
  <c r="L128" i="3" s="1"/>
  <c r="L154" i="3"/>
  <c r="L153" i="3" s="1"/>
  <c r="L179" i="3"/>
  <c r="L178" i="3" s="1"/>
  <c r="L208" i="3"/>
  <c r="L207" i="3" s="1"/>
  <c r="L240" i="3"/>
  <c r="L239" i="3" s="1"/>
  <c r="L255" i="3"/>
  <c r="L254" i="3" s="1"/>
  <c r="L88" i="3"/>
  <c r="L126" i="3"/>
  <c r="L125" i="3" s="1"/>
  <c r="L151" i="3"/>
  <c r="L150" i="3" s="1"/>
  <c r="L176" i="3"/>
  <c r="L175" i="3" s="1"/>
  <c r="L195" i="3"/>
  <c r="L194" i="3" s="1"/>
  <c r="L223" i="3"/>
  <c r="L222" i="3" s="1"/>
  <c r="L35" i="3"/>
  <c r="L135" i="3"/>
  <c r="L134" i="3" s="1"/>
  <c r="L160" i="3"/>
  <c r="L159" i="3" s="1"/>
  <c r="L185" i="3"/>
  <c r="L184" i="3" s="1"/>
  <c r="L211" i="3"/>
  <c r="L210" i="3" s="1"/>
  <c r="L244" i="3"/>
  <c r="L243" i="3" s="1"/>
  <c r="L258" i="3"/>
  <c r="L257" i="3" s="1"/>
  <c r="L99" i="3"/>
  <c r="L132" i="3"/>
  <c r="L131" i="3" s="1"/>
  <c r="L157" i="3"/>
  <c r="L156" i="3" s="1"/>
  <c r="L182" i="3"/>
  <c r="L181" i="3" s="1"/>
  <c r="L198" i="3"/>
  <c r="L197" i="3" s="1"/>
  <c r="L227" i="3"/>
  <c r="L226" i="3" s="1"/>
  <c r="L50" i="3"/>
  <c r="L123" i="3"/>
  <c r="L122" i="3" s="1"/>
  <c r="L148" i="3"/>
  <c r="L147" i="3" s="1"/>
  <c r="L173" i="3"/>
  <c r="L172" i="3" s="1"/>
  <c r="L205" i="3"/>
  <c r="L204" i="3" s="1"/>
  <c r="L236" i="3"/>
  <c r="L235" i="3" s="1"/>
  <c r="L252" i="3"/>
  <c r="L251" i="3" s="1"/>
  <c r="L77" i="3"/>
  <c r="L120" i="3"/>
  <c r="L119" i="3" s="1"/>
  <c r="L145" i="3"/>
  <c r="L144" i="3" s="1"/>
  <c r="L170" i="3"/>
  <c r="L169" i="3" s="1"/>
  <c r="L192" i="3"/>
  <c r="L191" i="3" s="1"/>
  <c r="L219" i="3"/>
  <c r="L218" i="3" s="1"/>
  <c r="L20" i="3"/>
  <c r="K129" i="3"/>
  <c r="K128" i="3" s="1"/>
  <c r="K154" i="3"/>
  <c r="K153" i="3" s="1"/>
  <c r="K179" i="3"/>
  <c r="K178" i="3" s="1"/>
  <c r="K208" i="3"/>
  <c r="K207" i="3" s="1"/>
  <c r="K240" i="3"/>
  <c r="K239" i="3" s="1"/>
  <c r="K255" i="3"/>
  <c r="K254" i="3" s="1"/>
  <c r="K88" i="3"/>
  <c r="K126" i="3"/>
  <c r="K125" i="3" s="1"/>
  <c r="K151" i="3"/>
  <c r="K150" i="3" s="1"/>
  <c r="K176" i="3"/>
  <c r="K175" i="3" s="1"/>
  <c r="K195" i="3"/>
  <c r="K194" i="3" s="1"/>
  <c r="K223" i="3"/>
  <c r="K222" i="3" s="1"/>
  <c r="K35" i="3"/>
  <c r="K135" i="3"/>
  <c r="K134" i="3" s="1"/>
  <c r="K160" i="3"/>
  <c r="K159" i="3" s="1"/>
  <c r="K185" i="3"/>
  <c r="K184" i="3" s="1"/>
  <c r="K211" i="3"/>
  <c r="K210" i="3" s="1"/>
  <c r="K244" i="3"/>
  <c r="K243" i="3" s="1"/>
  <c r="K258" i="3"/>
  <c r="K257" i="3" s="1"/>
  <c r="K99" i="3"/>
  <c r="K132" i="3"/>
  <c r="K131" i="3" s="1"/>
  <c r="K157" i="3"/>
  <c r="K156" i="3" s="1"/>
  <c r="K182" i="3"/>
  <c r="K181" i="3" s="1"/>
  <c r="K198" i="3"/>
  <c r="K197" i="3" s="1"/>
  <c r="K227" i="3"/>
  <c r="K226" i="3" s="1"/>
  <c r="K50" i="3"/>
  <c r="K123" i="3"/>
  <c r="K122" i="3" s="1"/>
  <c r="K148" i="3"/>
  <c r="K147" i="3" s="1"/>
  <c r="K173" i="3"/>
  <c r="K172" i="3" s="1"/>
  <c r="K205" i="3"/>
  <c r="K204" i="3" s="1"/>
  <c r="K200" i="3" s="1"/>
  <c r="K236" i="3"/>
  <c r="K235" i="3" s="1"/>
  <c r="K252" i="3"/>
  <c r="K251" i="3" s="1"/>
  <c r="K247" i="3" s="1"/>
  <c r="K77" i="3"/>
  <c r="K120" i="3"/>
  <c r="K119" i="3" s="1"/>
  <c r="K145" i="3"/>
  <c r="K144" i="3" s="1"/>
  <c r="K170" i="3"/>
  <c r="K169" i="3" s="1"/>
  <c r="K192" i="3"/>
  <c r="K191" i="3" s="1"/>
  <c r="K219" i="3"/>
  <c r="K218" i="3" s="1"/>
  <c r="K20" i="3"/>
  <c r="J129" i="3"/>
  <c r="J128" i="3" s="1"/>
  <c r="J154" i="3"/>
  <c r="J153" i="3" s="1"/>
  <c r="J179" i="3"/>
  <c r="J178" i="3" s="1"/>
  <c r="J208" i="3"/>
  <c r="J207" i="3" s="1"/>
  <c r="J240" i="3"/>
  <c r="J239" i="3" s="1"/>
  <c r="J255" i="3"/>
  <c r="J254" i="3" s="1"/>
  <c r="J88" i="3"/>
  <c r="J126" i="3"/>
  <c r="J125" i="3" s="1"/>
  <c r="J151" i="3"/>
  <c r="J150" i="3" s="1"/>
  <c r="J176" i="3"/>
  <c r="J175" i="3" s="1"/>
  <c r="J195" i="3"/>
  <c r="J194" i="3" s="1"/>
  <c r="J223" i="3"/>
  <c r="J222" i="3" s="1"/>
  <c r="J35" i="3"/>
  <c r="J123" i="3"/>
  <c r="J122" i="3" s="1"/>
  <c r="J148" i="3"/>
  <c r="J147" i="3" s="1"/>
  <c r="J173" i="3"/>
  <c r="J172" i="3" s="1"/>
  <c r="J205" i="3"/>
  <c r="J204" i="3" s="1"/>
  <c r="J236" i="3"/>
  <c r="J235" i="3" s="1"/>
  <c r="J252" i="3"/>
  <c r="J251" i="3" s="1"/>
  <c r="J77" i="3"/>
  <c r="J120" i="3"/>
  <c r="J119" i="3" s="1"/>
  <c r="J145" i="3"/>
  <c r="J144" i="3" s="1"/>
  <c r="J170" i="3"/>
  <c r="J169" i="3" s="1"/>
  <c r="J192" i="3"/>
  <c r="J191" i="3" s="1"/>
  <c r="J219" i="3"/>
  <c r="J218" i="3" s="1"/>
  <c r="J20" i="3"/>
  <c r="J135" i="3"/>
  <c r="J134" i="3" s="1"/>
  <c r="J160" i="3"/>
  <c r="J159" i="3" s="1"/>
  <c r="J185" i="3"/>
  <c r="J184" i="3" s="1"/>
  <c r="J211" i="3"/>
  <c r="J210" i="3" s="1"/>
  <c r="J244" i="3"/>
  <c r="J243" i="3" s="1"/>
  <c r="J258" i="3"/>
  <c r="J257" i="3" s="1"/>
  <c r="J99" i="3"/>
  <c r="J132" i="3"/>
  <c r="J131" i="3" s="1"/>
  <c r="J157" i="3"/>
  <c r="J156" i="3" s="1"/>
  <c r="J182" i="3"/>
  <c r="J181" i="3" s="1"/>
  <c r="J198" i="3"/>
  <c r="J197" i="3" s="1"/>
  <c r="J227" i="3"/>
  <c r="J226" i="3" s="1"/>
  <c r="J50" i="3"/>
  <c r="I123" i="3"/>
  <c r="I122" i="3" s="1"/>
  <c r="I148" i="3"/>
  <c r="I147" i="3" s="1"/>
  <c r="I173" i="3"/>
  <c r="I172" i="3" s="1"/>
  <c r="I205" i="3"/>
  <c r="I204" i="3" s="1"/>
  <c r="I236" i="3"/>
  <c r="I235" i="3" s="1"/>
  <c r="I252" i="3"/>
  <c r="I251" i="3" s="1"/>
  <c r="I77" i="3"/>
  <c r="I120" i="3"/>
  <c r="I119" i="3" s="1"/>
  <c r="I145" i="3"/>
  <c r="I144" i="3" s="1"/>
  <c r="I170" i="3"/>
  <c r="I169" i="3" s="1"/>
  <c r="I192" i="3"/>
  <c r="I191" i="3" s="1"/>
  <c r="I219" i="3"/>
  <c r="I218" i="3" s="1"/>
  <c r="I20" i="3"/>
  <c r="I129" i="3"/>
  <c r="I128" i="3" s="1"/>
  <c r="I154" i="3"/>
  <c r="I153" i="3" s="1"/>
  <c r="I179" i="3"/>
  <c r="I178" i="3" s="1"/>
  <c r="I208" i="3"/>
  <c r="I207" i="3" s="1"/>
  <c r="I240" i="3"/>
  <c r="I239" i="3" s="1"/>
  <c r="I255" i="3"/>
  <c r="I254" i="3" s="1"/>
  <c r="I88" i="3"/>
  <c r="I126" i="3"/>
  <c r="I125" i="3" s="1"/>
  <c r="I151" i="3"/>
  <c r="I150" i="3" s="1"/>
  <c r="I176" i="3"/>
  <c r="I175" i="3" s="1"/>
  <c r="I195" i="3"/>
  <c r="I194" i="3" s="1"/>
  <c r="I223" i="3"/>
  <c r="I222" i="3" s="1"/>
  <c r="I35" i="3"/>
  <c r="I135" i="3"/>
  <c r="I134" i="3" s="1"/>
  <c r="I160" i="3"/>
  <c r="I159" i="3" s="1"/>
  <c r="I185" i="3"/>
  <c r="I184" i="3" s="1"/>
  <c r="I211" i="3"/>
  <c r="I210" i="3" s="1"/>
  <c r="I244" i="3"/>
  <c r="I243" i="3" s="1"/>
  <c r="I258" i="3"/>
  <c r="I257" i="3" s="1"/>
  <c r="I99" i="3"/>
  <c r="I132" i="3"/>
  <c r="I131" i="3" s="1"/>
  <c r="I157" i="3"/>
  <c r="I156" i="3" s="1"/>
  <c r="I182" i="3"/>
  <c r="I181" i="3" s="1"/>
  <c r="I198" i="3"/>
  <c r="I197" i="3" s="1"/>
  <c r="I227" i="3"/>
  <c r="I226" i="3" s="1"/>
  <c r="I50" i="3"/>
  <c r="H129" i="3"/>
  <c r="H128" i="3" s="1"/>
  <c r="H154" i="3"/>
  <c r="H153" i="3" s="1"/>
  <c r="H179" i="3"/>
  <c r="H178" i="3" s="1"/>
  <c r="H208" i="3"/>
  <c r="H207" i="3" s="1"/>
  <c r="H240" i="3"/>
  <c r="H239" i="3" s="1"/>
  <c r="H255" i="3"/>
  <c r="H254" i="3" s="1"/>
  <c r="H88" i="3"/>
  <c r="H126" i="3"/>
  <c r="H125" i="3" s="1"/>
  <c r="H151" i="3"/>
  <c r="H150" i="3" s="1"/>
  <c r="H176" i="3"/>
  <c r="H175" i="3" s="1"/>
  <c r="H195" i="3"/>
  <c r="H194" i="3" s="1"/>
  <c r="H223" i="3"/>
  <c r="H222" i="3" s="1"/>
  <c r="H35" i="3"/>
  <c r="H135" i="3"/>
  <c r="H134" i="3" s="1"/>
  <c r="H160" i="3"/>
  <c r="H159" i="3" s="1"/>
  <c r="H185" i="3"/>
  <c r="H184" i="3" s="1"/>
  <c r="H211" i="3"/>
  <c r="H210" i="3" s="1"/>
  <c r="H244" i="3"/>
  <c r="H243" i="3" s="1"/>
  <c r="H258" i="3"/>
  <c r="H257" i="3" s="1"/>
  <c r="H99" i="3"/>
  <c r="H132" i="3"/>
  <c r="H131" i="3" s="1"/>
  <c r="H157" i="3"/>
  <c r="H156" i="3" s="1"/>
  <c r="H182" i="3"/>
  <c r="H181" i="3" s="1"/>
  <c r="H198" i="3"/>
  <c r="H197" i="3" s="1"/>
  <c r="H227" i="3"/>
  <c r="H226" i="3" s="1"/>
  <c r="H50" i="3"/>
  <c r="H123" i="3"/>
  <c r="H122" i="3" s="1"/>
  <c r="H148" i="3"/>
  <c r="H147" i="3" s="1"/>
  <c r="H173" i="3"/>
  <c r="H172" i="3" s="1"/>
  <c r="H205" i="3"/>
  <c r="H204" i="3" s="1"/>
  <c r="H200" i="3" s="1"/>
  <c r="H236" i="3"/>
  <c r="H235" i="3" s="1"/>
  <c r="H230" i="3" s="1"/>
  <c r="H252" i="3"/>
  <c r="H251" i="3" s="1"/>
  <c r="H247" i="3" s="1"/>
  <c r="H77" i="3"/>
  <c r="H65" i="3" s="1"/>
  <c r="H120" i="3"/>
  <c r="H119" i="3" s="1"/>
  <c r="H145" i="3"/>
  <c r="H144" i="3" s="1"/>
  <c r="H170" i="3"/>
  <c r="H169" i="3" s="1"/>
  <c r="H162" i="3" s="1"/>
  <c r="H192" i="3"/>
  <c r="H191" i="3" s="1"/>
  <c r="H187" i="3" s="1"/>
  <c r="H219" i="3"/>
  <c r="H218" i="3" s="1"/>
  <c r="H20" i="3"/>
  <c r="H4" i="3" s="1"/>
  <c r="H3" i="3" s="1"/>
  <c r="K230" i="3" l="1"/>
  <c r="L142" i="3"/>
  <c r="L141" i="3" s="1"/>
  <c r="L232" i="3"/>
  <c r="L231" i="3" s="1"/>
  <c r="L230" i="3" s="1"/>
  <c r="L249" i="3"/>
  <c r="L248" i="3" s="1"/>
  <c r="L247" i="3" s="1"/>
  <c r="L167" i="3"/>
  <c r="L166" i="3" s="1"/>
  <c r="L66" i="3"/>
  <c r="L65" i="3" s="1"/>
  <c r="L117" i="3"/>
  <c r="L116" i="3" s="1"/>
  <c r="L202" i="3"/>
  <c r="L201" i="3" s="1"/>
  <c r="L200" i="3" s="1"/>
  <c r="M67" i="3"/>
  <c r="N73" i="3"/>
  <c r="K65" i="3"/>
  <c r="H137" i="3"/>
  <c r="H65" i="4"/>
  <c r="H230" i="4"/>
  <c r="H112" i="4"/>
  <c r="H162" i="4"/>
  <c r="H187" i="4"/>
  <c r="H4" i="4"/>
  <c r="H247" i="4"/>
  <c r="H137" i="4"/>
  <c r="H213" i="4"/>
  <c r="H200" i="4"/>
  <c r="H213" i="3"/>
  <c r="H112" i="3"/>
  <c r="J249" i="4"/>
  <c r="J248" i="4" s="1"/>
  <c r="J247" i="4" s="1"/>
  <c r="J202" i="4"/>
  <c r="J201" i="4" s="1"/>
  <c r="J200" i="4" s="1"/>
  <c r="J117" i="4"/>
  <c r="J116" i="4" s="1"/>
  <c r="J112" i="4" s="1"/>
  <c r="J232" i="4"/>
  <c r="J231" i="4" s="1"/>
  <c r="J230" i="4" s="1"/>
  <c r="J142" i="4"/>
  <c r="J141" i="4" s="1"/>
  <c r="J137" i="4" s="1"/>
  <c r="J66" i="4"/>
  <c r="J65" i="4" s="1"/>
  <c r="J167" i="4"/>
  <c r="J166" i="4" s="1"/>
  <c r="J162" i="4" s="1"/>
  <c r="K67" i="4"/>
  <c r="L73" i="4"/>
  <c r="M16" i="4"/>
  <c r="L6" i="4"/>
  <c r="K139" i="4"/>
  <c r="K138" i="4" s="1"/>
  <c r="K164" i="4"/>
  <c r="K163" i="4" s="1"/>
  <c r="K189" i="4"/>
  <c r="K188" i="4" s="1"/>
  <c r="K187" i="4" s="1"/>
  <c r="K215" i="4"/>
  <c r="K214" i="4" s="1"/>
  <c r="K213" i="4" s="1"/>
  <c r="K5" i="4"/>
  <c r="K4" i="4" s="1"/>
  <c r="K114" i="4"/>
  <c r="K113" i="4" s="1"/>
  <c r="M16" i="3"/>
  <c r="L6" i="3"/>
  <c r="K5" i="3"/>
  <c r="K4" i="3" s="1"/>
  <c r="K114" i="3"/>
  <c r="K113" i="3" s="1"/>
  <c r="K112" i="3" s="1"/>
  <c r="K139" i="3"/>
  <c r="K138" i="3" s="1"/>
  <c r="K137" i="3" s="1"/>
  <c r="K164" i="3"/>
  <c r="K163" i="3" s="1"/>
  <c r="K162" i="3" s="1"/>
  <c r="K189" i="3"/>
  <c r="K188" i="3" s="1"/>
  <c r="K187" i="3" s="1"/>
  <c r="K215" i="3"/>
  <c r="K214" i="3" s="1"/>
  <c r="K213" i="3" s="1"/>
  <c r="B12" i="1"/>
  <c r="B54" i="5" s="1"/>
  <c r="J187" i="4"/>
  <c r="J213" i="4"/>
  <c r="J4" i="4"/>
  <c r="I200" i="4"/>
  <c r="I230" i="4"/>
  <c r="I247" i="4"/>
  <c r="I65" i="4"/>
  <c r="I112" i="4"/>
  <c r="I137" i="4"/>
  <c r="I162" i="4"/>
  <c r="I187" i="4"/>
  <c r="I213" i="4"/>
  <c r="I4" i="4"/>
  <c r="J4" i="3"/>
  <c r="J112" i="3"/>
  <c r="J137" i="3"/>
  <c r="J162" i="3"/>
  <c r="J187" i="3"/>
  <c r="J213" i="3"/>
  <c r="J200" i="3"/>
  <c r="J230" i="3"/>
  <c r="J247" i="3"/>
  <c r="J65" i="3"/>
  <c r="I200" i="3"/>
  <c r="I230" i="3"/>
  <c r="I247" i="3"/>
  <c r="I65" i="3"/>
  <c r="I112" i="3"/>
  <c r="I137" i="3"/>
  <c r="I162" i="3"/>
  <c r="I187" i="3"/>
  <c r="I213" i="3"/>
  <c r="I4" i="3"/>
  <c r="M232" i="3" l="1"/>
  <c r="M231" i="3" s="1"/>
  <c r="M230" i="3" s="1"/>
  <c r="M249" i="3"/>
  <c r="M248" i="3" s="1"/>
  <c r="M247" i="3" s="1"/>
  <c r="M167" i="3"/>
  <c r="M166" i="3" s="1"/>
  <c r="M117" i="3"/>
  <c r="M116" i="3" s="1"/>
  <c r="M142" i="3"/>
  <c r="M141" i="3" s="1"/>
  <c r="M202" i="3"/>
  <c r="M201" i="3" s="1"/>
  <c r="M200" i="3" s="1"/>
  <c r="M66" i="3"/>
  <c r="M65" i="3" s="1"/>
  <c r="N67" i="3"/>
  <c r="O73" i="3"/>
  <c r="K3" i="3"/>
  <c r="B15" i="1" s="1"/>
  <c r="B57" i="5" s="1"/>
  <c r="H111" i="3"/>
  <c r="H110" i="3" s="1"/>
  <c r="H111" i="4"/>
  <c r="H110" i="4" s="1"/>
  <c r="H3" i="4"/>
  <c r="F12" i="1" s="1"/>
  <c r="C54" i="5" s="1"/>
  <c r="I3" i="4"/>
  <c r="F13" i="1" s="1"/>
  <c r="C55" i="5" s="1"/>
  <c r="I3" i="3"/>
  <c r="B13" i="1" s="1"/>
  <c r="B55" i="5" s="1"/>
  <c r="J3" i="4"/>
  <c r="K232" i="4"/>
  <c r="K231" i="4" s="1"/>
  <c r="K230" i="4" s="1"/>
  <c r="K167" i="4"/>
  <c r="K166" i="4" s="1"/>
  <c r="K162" i="4" s="1"/>
  <c r="K66" i="4"/>
  <c r="K65" i="4" s="1"/>
  <c r="K3" i="4" s="1"/>
  <c r="F15" i="1" s="1"/>
  <c r="C57" i="5" s="1"/>
  <c r="K117" i="4"/>
  <c r="K116" i="4" s="1"/>
  <c r="K112" i="4" s="1"/>
  <c r="K249" i="4"/>
  <c r="K248" i="4" s="1"/>
  <c r="K247" i="4" s="1"/>
  <c r="K202" i="4"/>
  <c r="K201" i="4" s="1"/>
  <c r="K200" i="4" s="1"/>
  <c r="K142" i="4"/>
  <c r="K141" i="4" s="1"/>
  <c r="K137" i="4" s="1"/>
  <c r="L67" i="4"/>
  <c r="M73" i="4"/>
  <c r="J111" i="4"/>
  <c r="J110" i="4" s="1"/>
  <c r="G14" i="1" s="1"/>
  <c r="J3" i="3"/>
  <c r="B14" i="1" s="1"/>
  <c r="B56" i="5" s="1"/>
  <c r="N16" i="4"/>
  <c r="M6" i="4"/>
  <c r="L5" i="4"/>
  <c r="L4" i="4" s="1"/>
  <c r="L114" i="4"/>
  <c r="L113" i="4" s="1"/>
  <c r="L139" i="4"/>
  <c r="L138" i="4" s="1"/>
  <c r="L164" i="4"/>
  <c r="L163" i="4" s="1"/>
  <c r="L189" i="4"/>
  <c r="L188" i="4" s="1"/>
  <c r="L187" i="4" s="1"/>
  <c r="L215" i="4"/>
  <c r="L214" i="4" s="1"/>
  <c r="L213" i="4" s="1"/>
  <c r="N16" i="3"/>
  <c r="M6" i="3"/>
  <c r="L114" i="3"/>
  <c r="L113" i="3" s="1"/>
  <c r="L112" i="3" s="1"/>
  <c r="L139" i="3"/>
  <c r="L138" i="3" s="1"/>
  <c r="L137" i="3" s="1"/>
  <c r="L164" i="3"/>
  <c r="L163" i="3" s="1"/>
  <c r="L162" i="3" s="1"/>
  <c r="L189" i="3"/>
  <c r="L188" i="3" s="1"/>
  <c r="L187" i="3" s="1"/>
  <c r="L215" i="3"/>
  <c r="L214" i="3" s="1"/>
  <c r="L213" i="3" s="1"/>
  <c r="L5" i="3"/>
  <c r="L4" i="3" s="1"/>
  <c r="L3" i="3" s="1"/>
  <c r="K111" i="3"/>
  <c r="K110" i="3" s="1"/>
  <c r="J111" i="3"/>
  <c r="J110" i="3" s="1"/>
  <c r="I111" i="4"/>
  <c r="I110" i="4" s="1"/>
  <c r="I111" i="3"/>
  <c r="I110" i="3" s="1"/>
  <c r="N142" i="3" l="1"/>
  <c r="N141" i="3" s="1"/>
  <c r="N232" i="3"/>
  <c r="N231" i="3" s="1"/>
  <c r="N230" i="3" s="1"/>
  <c r="N202" i="3"/>
  <c r="N201" i="3" s="1"/>
  <c r="N200" i="3" s="1"/>
  <c r="N167" i="3"/>
  <c r="N166" i="3" s="1"/>
  <c r="N66" i="3"/>
  <c r="N65" i="3" s="1"/>
  <c r="N249" i="3"/>
  <c r="N248" i="3" s="1"/>
  <c r="N247" i="3" s="1"/>
  <c r="N117" i="3"/>
  <c r="N116" i="3" s="1"/>
  <c r="O67" i="3"/>
  <c r="P73" i="3"/>
  <c r="C12" i="1"/>
  <c r="H2" i="3"/>
  <c r="G12" i="1"/>
  <c r="H2" i="4"/>
  <c r="J2" i="4"/>
  <c r="H14" i="1" s="1"/>
  <c r="E56" i="5" s="1"/>
  <c r="F14" i="1"/>
  <c r="C56" i="5" s="1"/>
  <c r="L232" i="4"/>
  <c r="L231" i="4" s="1"/>
  <c r="L230" i="4" s="1"/>
  <c r="L66" i="4"/>
  <c r="L65" i="4" s="1"/>
  <c r="L3" i="4" s="1"/>
  <c r="L202" i="4"/>
  <c r="L201" i="4" s="1"/>
  <c r="L200" i="4" s="1"/>
  <c r="L142" i="4"/>
  <c r="L141" i="4" s="1"/>
  <c r="L137" i="4" s="1"/>
  <c r="L249" i="4"/>
  <c r="L248" i="4" s="1"/>
  <c r="L247" i="4" s="1"/>
  <c r="L167" i="4"/>
  <c r="L166" i="4" s="1"/>
  <c r="L162" i="4" s="1"/>
  <c r="L117" i="4"/>
  <c r="L116" i="4" s="1"/>
  <c r="L112" i="4" s="1"/>
  <c r="M67" i="4"/>
  <c r="N73" i="4"/>
  <c r="K111" i="4"/>
  <c r="K110" i="4" s="1"/>
  <c r="O16" i="4"/>
  <c r="N6" i="4"/>
  <c r="M189" i="4"/>
  <c r="M188" i="4" s="1"/>
  <c r="M187" i="4" s="1"/>
  <c r="M215" i="4"/>
  <c r="M214" i="4" s="1"/>
  <c r="M213" i="4" s="1"/>
  <c r="M114" i="4"/>
  <c r="M113" i="4" s="1"/>
  <c r="M139" i="4"/>
  <c r="M138" i="4" s="1"/>
  <c r="M164" i="4"/>
  <c r="M163" i="4" s="1"/>
  <c r="M5" i="4"/>
  <c r="M4" i="4" s="1"/>
  <c r="O16" i="3"/>
  <c r="N6" i="3"/>
  <c r="M189" i="3"/>
  <c r="M188" i="3" s="1"/>
  <c r="M187" i="3" s="1"/>
  <c r="M215" i="3"/>
  <c r="M214" i="3" s="1"/>
  <c r="M213" i="3" s="1"/>
  <c r="M5" i="3"/>
  <c r="M4" i="3" s="1"/>
  <c r="M3" i="3" s="1"/>
  <c r="M114" i="3"/>
  <c r="M113" i="3" s="1"/>
  <c r="M112" i="3" s="1"/>
  <c r="M139" i="3"/>
  <c r="M138" i="3" s="1"/>
  <c r="M137" i="3" s="1"/>
  <c r="M164" i="3"/>
  <c r="M163" i="3" s="1"/>
  <c r="M162" i="3" s="1"/>
  <c r="B16" i="1"/>
  <c r="B58" i="5" s="1"/>
  <c r="L111" i="3"/>
  <c r="L110" i="3" s="1"/>
  <c r="C15" i="1"/>
  <c r="K2" i="3"/>
  <c r="D15" i="1" s="1"/>
  <c r="D57" i="5" s="1"/>
  <c r="C14" i="1"/>
  <c r="J2" i="3"/>
  <c r="D14" i="1" s="1"/>
  <c r="D56" i="5" s="1"/>
  <c r="G13" i="1"/>
  <c r="I2" i="4"/>
  <c r="H13" i="1" s="1"/>
  <c r="E55" i="5" s="1"/>
  <c r="C13" i="1"/>
  <c r="I2" i="3"/>
  <c r="D13" i="1" s="1"/>
  <c r="D55" i="5" s="1"/>
  <c r="O167" i="3" l="1"/>
  <c r="O166" i="3" s="1"/>
  <c r="O202" i="3"/>
  <c r="O201" i="3" s="1"/>
  <c r="O200" i="3" s="1"/>
  <c r="O142" i="3"/>
  <c r="O141" i="3" s="1"/>
  <c r="O66" i="3"/>
  <c r="O65" i="3" s="1"/>
  <c r="O232" i="3"/>
  <c r="O231" i="3" s="1"/>
  <c r="O230" i="3" s="1"/>
  <c r="O117" i="3"/>
  <c r="O116" i="3" s="1"/>
  <c r="O249" i="3"/>
  <c r="O248" i="3" s="1"/>
  <c r="O247" i="3" s="1"/>
  <c r="P67" i="3"/>
  <c r="Q73" i="3"/>
  <c r="D12" i="1"/>
  <c r="B5" i="1"/>
  <c r="H12" i="1"/>
  <c r="C5" i="1"/>
  <c r="M142" i="4"/>
  <c r="M141" i="4" s="1"/>
  <c r="M137" i="4" s="1"/>
  <c r="M232" i="4"/>
  <c r="M231" i="4" s="1"/>
  <c r="M230" i="4" s="1"/>
  <c r="M167" i="4"/>
  <c r="M166" i="4" s="1"/>
  <c r="M162" i="4" s="1"/>
  <c r="M117" i="4"/>
  <c r="M116" i="4" s="1"/>
  <c r="M112" i="4" s="1"/>
  <c r="M249" i="4"/>
  <c r="M248" i="4" s="1"/>
  <c r="M247" i="4" s="1"/>
  <c r="M66" i="4"/>
  <c r="M65" i="4" s="1"/>
  <c r="M3" i="4" s="1"/>
  <c r="F17" i="1" s="1"/>
  <c r="C59" i="5" s="1"/>
  <c r="M202" i="4"/>
  <c r="M201" i="4" s="1"/>
  <c r="M200" i="4" s="1"/>
  <c r="N67" i="4"/>
  <c r="O73" i="4"/>
  <c r="K2" i="4"/>
  <c r="H15" i="1" s="1"/>
  <c r="E57" i="5" s="1"/>
  <c r="G15" i="1"/>
  <c r="L111" i="4"/>
  <c r="L110" i="4" s="1"/>
  <c r="F16" i="1"/>
  <c r="C58" i="5" s="1"/>
  <c r="P16" i="4"/>
  <c r="O6" i="4"/>
  <c r="N5" i="4"/>
  <c r="N4" i="4" s="1"/>
  <c r="N114" i="4"/>
  <c r="N113" i="4" s="1"/>
  <c r="N139" i="4"/>
  <c r="N138" i="4" s="1"/>
  <c r="N164" i="4"/>
  <c r="N163" i="4" s="1"/>
  <c r="N189" i="4"/>
  <c r="N188" i="4" s="1"/>
  <c r="N187" i="4" s="1"/>
  <c r="N215" i="4"/>
  <c r="N214" i="4" s="1"/>
  <c r="N213" i="4" s="1"/>
  <c r="P16" i="3"/>
  <c r="O6" i="3"/>
  <c r="N5" i="3"/>
  <c r="N4" i="3" s="1"/>
  <c r="N3" i="3" s="1"/>
  <c r="N114" i="3"/>
  <c r="N113" i="3" s="1"/>
  <c r="N112" i="3" s="1"/>
  <c r="N139" i="3"/>
  <c r="N138" i="3" s="1"/>
  <c r="N137" i="3" s="1"/>
  <c r="N164" i="3"/>
  <c r="N163" i="3" s="1"/>
  <c r="N162" i="3" s="1"/>
  <c r="N189" i="3"/>
  <c r="N188" i="3" s="1"/>
  <c r="N187" i="3" s="1"/>
  <c r="N215" i="3"/>
  <c r="N214" i="3" s="1"/>
  <c r="N213" i="3" s="1"/>
  <c r="B17" i="1"/>
  <c r="B59" i="5" s="1"/>
  <c r="M111" i="3"/>
  <c r="M110" i="3" s="1"/>
  <c r="C16" i="1"/>
  <c r="L2" i="3"/>
  <c r="D16" i="1" s="1"/>
  <c r="D58" i="5" s="1"/>
  <c r="P249" i="3" l="1"/>
  <c r="P248" i="3" s="1"/>
  <c r="P247" i="3" s="1"/>
  <c r="P167" i="3"/>
  <c r="P166" i="3" s="1"/>
  <c r="P202" i="3"/>
  <c r="P201" i="3" s="1"/>
  <c r="P200" i="3" s="1"/>
  <c r="P117" i="3"/>
  <c r="P116" i="3" s="1"/>
  <c r="P232" i="3"/>
  <c r="P231" i="3" s="1"/>
  <c r="P230" i="3" s="1"/>
  <c r="P142" i="3"/>
  <c r="P141" i="3" s="1"/>
  <c r="P66" i="3"/>
  <c r="P65" i="3" s="1"/>
  <c r="Q67" i="3"/>
  <c r="R73" i="3"/>
  <c r="E12" i="1"/>
  <c r="D54" i="5"/>
  <c r="I12" i="1"/>
  <c r="E54" i="5"/>
  <c r="M111" i="4"/>
  <c r="M110" i="4" s="1"/>
  <c r="G16" i="1"/>
  <c r="L2" i="4"/>
  <c r="H16" i="1" s="1"/>
  <c r="E58" i="5" s="1"/>
  <c r="N142" i="4"/>
  <c r="N141" i="4" s="1"/>
  <c r="N137" i="4" s="1"/>
  <c r="N167" i="4"/>
  <c r="N166" i="4" s="1"/>
  <c r="N162" i="4" s="1"/>
  <c r="N66" i="4"/>
  <c r="N65" i="4" s="1"/>
  <c r="N3" i="4" s="1"/>
  <c r="F18" i="1" s="1"/>
  <c r="C60" i="5" s="1"/>
  <c r="N232" i="4"/>
  <c r="N231" i="4" s="1"/>
  <c r="N230" i="4" s="1"/>
  <c r="N117" i="4"/>
  <c r="N116" i="4" s="1"/>
  <c r="N112" i="4" s="1"/>
  <c r="N249" i="4"/>
  <c r="N248" i="4" s="1"/>
  <c r="N247" i="4" s="1"/>
  <c r="N202" i="4"/>
  <c r="N201" i="4" s="1"/>
  <c r="N200" i="4" s="1"/>
  <c r="O67" i="4"/>
  <c r="P73" i="4"/>
  <c r="C17" i="1"/>
  <c r="M2" i="3"/>
  <c r="D17" i="1" s="1"/>
  <c r="D59" i="5" s="1"/>
  <c r="Q16" i="4"/>
  <c r="P6" i="4"/>
  <c r="O114" i="4"/>
  <c r="O113" i="4" s="1"/>
  <c r="O139" i="4"/>
  <c r="O138" i="4" s="1"/>
  <c r="O164" i="4"/>
  <c r="O163" i="4" s="1"/>
  <c r="O189" i="4"/>
  <c r="O188" i="4" s="1"/>
  <c r="O187" i="4" s="1"/>
  <c r="O215" i="4"/>
  <c r="O214" i="4" s="1"/>
  <c r="O213" i="4" s="1"/>
  <c r="O5" i="4"/>
  <c r="O4" i="4" s="1"/>
  <c r="Q16" i="3"/>
  <c r="P6" i="3"/>
  <c r="O189" i="3"/>
  <c r="O188" i="3" s="1"/>
  <c r="O187" i="3" s="1"/>
  <c r="O215" i="3"/>
  <c r="O214" i="3" s="1"/>
  <c r="O213" i="3" s="1"/>
  <c r="O5" i="3"/>
  <c r="O4" i="3" s="1"/>
  <c r="O3" i="3" s="1"/>
  <c r="O114" i="3"/>
  <c r="O113" i="3" s="1"/>
  <c r="O112" i="3" s="1"/>
  <c r="O139" i="3"/>
  <c r="O138" i="3" s="1"/>
  <c r="O137" i="3" s="1"/>
  <c r="O164" i="3"/>
  <c r="O163" i="3" s="1"/>
  <c r="O162" i="3" s="1"/>
  <c r="B18" i="1"/>
  <c r="B60" i="5" s="1"/>
  <c r="N111" i="3"/>
  <c r="N110" i="3" s="1"/>
  <c r="Q142" i="3" l="1"/>
  <c r="Q141" i="3" s="1"/>
  <c r="Q66" i="3"/>
  <c r="Q65" i="3" s="1"/>
  <c r="Q167" i="3"/>
  <c r="Q166" i="3" s="1"/>
  <c r="Q232" i="3"/>
  <c r="Q231" i="3" s="1"/>
  <c r="Q230" i="3" s="1"/>
  <c r="Q249" i="3"/>
  <c r="Q248" i="3" s="1"/>
  <c r="Q247" i="3" s="1"/>
  <c r="Q117" i="3"/>
  <c r="Q116" i="3" s="1"/>
  <c r="Q202" i="3"/>
  <c r="Q201" i="3" s="1"/>
  <c r="Q200" i="3" s="1"/>
  <c r="R67" i="3"/>
  <c r="S73" i="3"/>
  <c r="E13" i="1"/>
  <c r="F54" i="5"/>
  <c r="G54" i="5"/>
  <c r="I13" i="1"/>
  <c r="M2" i="4"/>
  <c r="H17" i="1" s="1"/>
  <c r="E59" i="5" s="1"/>
  <c r="G17" i="1"/>
  <c r="N111" i="4"/>
  <c r="N110" i="4" s="1"/>
  <c r="O249" i="4"/>
  <c r="O248" i="4" s="1"/>
  <c r="O247" i="4" s="1"/>
  <c r="O167" i="4"/>
  <c r="O166" i="4" s="1"/>
  <c r="O162" i="4" s="1"/>
  <c r="O66" i="4"/>
  <c r="O65" i="4" s="1"/>
  <c r="O3" i="4" s="1"/>
  <c r="F19" i="1" s="1"/>
  <c r="C61" i="5" s="1"/>
  <c r="O202" i="4"/>
  <c r="O201" i="4" s="1"/>
  <c r="O200" i="4" s="1"/>
  <c r="O142" i="4"/>
  <c r="O141" i="4" s="1"/>
  <c r="O137" i="4" s="1"/>
  <c r="O232" i="4"/>
  <c r="O231" i="4" s="1"/>
  <c r="O230" i="4" s="1"/>
  <c r="O117" i="4"/>
  <c r="O116" i="4" s="1"/>
  <c r="O112" i="4" s="1"/>
  <c r="P67" i="4"/>
  <c r="Q73" i="4"/>
  <c r="R16" i="4"/>
  <c r="Q6" i="4"/>
  <c r="P139" i="4"/>
  <c r="P138" i="4" s="1"/>
  <c r="P164" i="4"/>
  <c r="P163" i="4" s="1"/>
  <c r="P189" i="4"/>
  <c r="P188" i="4" s="1"/>
  <c r="P187" i="4" s="1"/>
  <c r="P215" i="4"/>
  <c r="P214" i="4" s="1"/>
  <c r="P213" i="4" s="1"/>
  <c r="P5" i="4"/>
  <c r="P4" i="4" s="1"/>
  <c r="P114" i="4"/>
  <c r="P113" i="4" s="1"/>
  <c r="R16" i="3"/>
  <c r="Q6" i="3"/>
  <c r="P114" i="3"/>
  <c r="P113" i="3" s="1"/>
  <c r="P112" i="3" s="1"/>
  <c r="P139" i="3"/>
  <c r="P138" i="3" s="1"/>
  <c r="P137" i="3" s="1"/>
  <c r="P164" i="3"/>
  <c r="P163" i="3" s="1"/>
  <c r="P162" i="3" s="1"/>
  <c r="P5" i="3"/>
  <c r="P4" i="3" s="1"/>
  <c r="P3" i="3" s="1"/>
  <c r="P189" i="3"/>
  <c r="P188" i="3" s="1"/>
  <c r="P187" i="3" s="1"/>
  <c r="P215" i="3"/>
  <c r="P214" i="3" s="1"/>
  <c r="P213" i="3" s="1"/>
  <c r="B19" i="1"/>
  <c r="B61" i="5" s="1"/>
  <c r="O111" i="3"/>
  <c r="O110" i="3" s="1"/>
  <c r="C18" i="1"/>
  <c r="N2" i="3"/>
  <c r="D18" i="1" s="1"/>
  <c r="D60" i="5" s="1"/>
  <c r="S67" i="3" l="1"/>
  <c r="T73" i="3"/>
  <c r="R167" i="3"/>
  <c r="R166" i="3" s="1"/>
  <c r="R142" i="3"/>
  <c r="R141" i="3" s="1"/>
  <c r="R202" i="3"/>
  <c r="R201" i="3" s="1"/>
  <c r="R200" i="3" s="1"/>
  <c r="R117" i="3"/>
  <c r="R116" i="3" s="1"/>
  <c r="R249" i="3"/>
  <c r="R248" i="3" s="1"/>
  <c r="R247" i="3" s="1"/>
  <c r="R66" i="3"/>
  <c r="R65" i="3" s="1"/>
  <c r="R232" i="3"/>
  <c r="R231" i="3" s="1"/>
  <c r="R230" i="3" s="1"/>
  <c r="F55" i="5"/>
  <c r="E14" i="1"/>
  <c r="G55" i="5"/>
  <c r="I14" i="1"/>
  <c r="O111" i="4"/>
  <c r="O110" i="4" s="1"/>
  <c r="G18" i="1"/>
  <c r="N2" i="4"/>
  <c r="H18" i="1" s="1"/>
  <c r="E60" i="5" s="1"/>
  <c r="P66" i="4"/>
  <c r="P65" i="4" s="1"/>
  <c r="P3" i="4" s="1"/>
  <c r="P232" i="4"/>
  <c r="P231" i="4" s="1"/>
  <c r="P230" i="4" s="1"/>
  <c r="P167" i="4"/>
  <c r="P166" i="4" s="1"/>
  <c r="P162" i="4" s="1"/>
  <c r="P117" i="4"/>
  <c r="P116" i="4" s="1"/>
  <c r="P112" i="4" s="1"/>
  <c r="P202" i="4"/>
  <c r="P201" i="4" s="1"/>
  <c r="P200" i="4" s="1"/>
  <c r="P249" i="4"/>
  <c r="P248" i="4" s="1"/>
  <c r="P247" i="4" s="1"/>
  <c r="P142" i="4"/>
  <c r="P141" i="4" s="1"/>
  <c r="P137" i="4" s="1"/>
  <c r="Q67" i="4"/>
  <c r="R73" i="4"/>
  <c r="S16" i="4"/>
  <c r="R6" i="4"/>
  <c r="Q5" i="4"/>
  <c r="Q4" i="4" s="1"/>
  <c r="Q114" i="4"/>
  <c r="Q113" i="4" s="1"/>
  <c r="Q139" i="4"/>
  <c r="Q138" i="4" s="1"/>
  <c r="Q164" i="4"/>
  <c r="Q163" i="4" s="1"/>
  <c r="Q189" i="4"/>
  <c r="Q188" i="4" s="1"/>
  <c r="Q187" i="4" s="1"/>
  <c r="Q215" i="4"/>
  <c r="Q214" i="4" s="1"/>
  <c r="Q213" i="4" s="1"/>
  <c r="S16" i="3"/>
  <c r="R6" i="3"/>
  <c r="Q5" i="3"/>
  <c r="Q4" i="3" s="1"/>
  <c r="Q3" i="3" s="1"/>
  <c r="Q114" i="3"/>
  <c r="Q113" i="3" s="1"/>
  <c r="Q112" i="3" s="1"/>
  <c r="Q139" i="3"/>
  <c r="Q138" i="3" s="1"/>
  <c r="Q137" i="3" s="1"/>
  <c r="Q164" i="3"/>
  <c r="Q163" i="3" s="1"/>
  <c r="Q162" i="3" s="1"/>
  <c r="Q189" i="3"/>
  <c r="Q188" i="3" s="1"/>
  <c r="Q187" i="3" s="1"/>
  <c r="Q215" i="3"/>
  <c r="Q214" i="3" s="1"/>
  <c r="Q213" i="3" s="1"/>
  <c r="B20" i="1"/>
  <c r="B62" i="5" s="1"/>
  <c r="P111" i="3"/>
  <c r="P110" i="3" s="1"/>
  <c r="C19" i="1"/>
  <c r="O2" i="3"/>
  <c r="D19" i="1" s="1"/>
  <c r="D61" i="5" s="1"/>
  <c r="S202" i="3" l="1"/>
  <c r="S201" i="3" s="1"/>
  <c r="S200" i="3" s="1"/>
  <c r="S232" i="3"/>
  <c r="S231" i="3" s="1"/>
  <c r="S230" i="3" s="1"/>
  <c r="S249" i="3"/>
  <c r="S248" i="3" s="1"/>
  <c r="S247" i="3" s="1"/>
  <c r="S66" i="3"/>
  <c r="S65" i="3" s="1"/>
  <c r="S117" i="3"/>
  <c r="S116" i="3" s="1"/>
  <c r="S142" i="3"/>
  <c r="S141" i="3" s="1"/>
  <c r="S167" i="3"/>
  <c r="S166" i="3" s="1"/>
  <c r="U73" i="3"/>
  <c r="T67" i="3"/>
  <c r="E15" i="1"/>
  <c r="F56" i="5"/>
  <c r="I15" i="1"/>
  <c r="I16" i="1" s="1"/>
  <c r="G56" i="5"/>
  <c r="G57" i="5"/>
  <c r="P111" i="4"/>
  <c r="P110" i="4" s="1"/>
  <c r="G19" i="1"/>
  <c r="O2" i="4"/>
  <c r="H19" i="1" s="1"/>
  <c r="E61" i="5" s="1"/>
  <c r="Q117" i="4"/>
  <c r="Q116" i="4" s="1"/>
  <c r="Q112" i="4" s="1"/>
  <c r="Q142" i="4"/>
  <c r="Q141" i="4" s="1"/>
  <c r="Q137" i="4" s="1"/>
  <c r="Q167" i="4"/>
  <c r="Q166" i="4" s="1"/>
  <c r="Q162" i="4" s="1"/>
  <c r="Q202" i="4"/>
  <c r="Q201" i="4" s="1"/>
  <c r="Q200" i="4" s="1"/>
  <c r="Q232" i="4"/>
  <c r="Q231" i="4" s="1"/>
  <c r="Q230" i="4" s="1"/>
  <c r="Q66" i="4"/>
  <c r="Q65" i="4" s="1"/>
  <c r="Q3" i="4" s="1"/>
  <c r="Q249" i="4"/>
  <c r="Q248" i="4" s="1"/>
  <c r="Q247" i="4" s="1"/>
  <c r="R67" i="4"/>
  <c r="S73" i="4"/>
  <c r="F20" i="1"/>
  <c r="C62" i="5" s="1"/>
  <c r="T16" i="4"/>
  <c r="S6" i="4"/>
  <c r="R114" i="4"/>
  <c r="R113" i="4" s="1"/>
  <c r="R139" i="4"/>
  <c r="R138" i="4" s="1"/>
  <c r="R164" i="4"/>
  <c r="R163" i="4" s="1"/>
  <c r="R189" i="4"/>
  <c r="R188" i="4" s="1"/>
  <c r="R187" i="4" s="1"/>
  <c r="R215" i="4"/>
  <c r="R214" i="4" s="1"/>
  <c r="R213" i="4" s="1"/>
  <c r="R5" i="4"/>
  <c r="R4" i="4" s="1"/>
  <c r="T16" i="3"/>
  <c r="S6" i="3"/>
  <c r="R114" i="3"/>
  <c r="R113" i="3" s="1"/>
  <c r="R112" i="3" s="1"/>
  <c r="R139" i="3"/>
  <c r="R138" i="3" s="1"/>
  <c r="R137" i="3" s="1"/>
  <c r="R164" i="3"/>
  <c r="R163" i="3" s="1"/>
  <c r="R162" i="3" s="1"/>
  <c r="R189" i="3"/>
  <c r="R188" i="3" s="1"/>
  <c r="R187" i="3" s="1"/>
  <c r="R215" i="3"/>
  <c r="R214" i="3" s="1"/>
  <c r="R213" i="3" s="1"/>
  <c r="R5" i="3"/>
  <c r="R4" i="3" s="1"/>
  <c r="R3" i="3" s="1"/>
  <c r="B21" i="1"/>
  <c r="B63" i="5" s="1"/>
  <c r="Q111" i="3"/>
  <c r="Q110" i="3" s="1"/>
  <c r="C20" i="1"/>
  <c r="P2" i="3"/>
  <c r="D20" i="1" s="1"/>
  <c r="D62" i="5" s="1"/>
  <c r="V73" i="3" l="1"/>
  <c r="U67" i="3"/>
  <c r="T66" i="3"/>
  <c r="T65" i="3" s="1"/>
  <c r="T249" i="3"/>
  <c r="T248" i="3" s="1"/>
  <c r="T247" i="3" s="1"/>
  <c r="T232" i="3"/>
  <c r="T231" i="3" s="1"/>
  <c r="T230" i="3" s="1"/>
  <c r="T202" i="3"/>
  <c r="T201" i="3" s="1"/>
  <c r="T200" i="3" s="1"/>
  <c r="T167" i="3"/>
  <c r="T166" i="3" s="1"/>
  <c r="T142" i="3"/>
  <c r="T141" i="3" s="1"/>
  <c r="T117" i="3"/>
  <c r="T116" i="3" s="1"/>
  <c r="E16" i="1"/>
  <c r="F57" i="5"/>
  <c r="I17" i="1"/>
  <c r="G58" i="5"/>
  <c r="G20" i="1"/>
  <c r="P2" i="4"/>
  <c r="H20" i="1" s="1"/>
  <c r="E62" i="5" s="1"/>
  <c r="Q111" i="4"/>
  <c r="Q110" i="4" s="1"/>
  <c r="R202" i="4"/>
  <c r="R201" i="4" s="1"/>
  <c r="R200" i="4" s="1"/>
  <c r="R232" i="4"/>
  <c r="R231" i="4" s="1"/>
  <c r="R230" i="4" s="1"/>
  <c r="R66" i="4"/>
  <c r="R65" i="4" s="1"/>
  <c r="R3" i="4" s="1"/>
  <c r="F22" i="1" s="1"/>
  <c r="C64" i="5" s="1"/>
  <c r="R249" i="4"/>
  <c r="R248" i="4" s="1"/>
  <c r="R247" i="4" s="1"/>
  <c r="R117" i="4"/>
  <c r="R116" i="4" s="1"/>
  <c r="R112" i="4" s="1"/>
  <c r="R142" i="4"/>
  <c r="R141" i="4" s="1"/>
  <c r="R137" i="4" s="1"/>
  <c r="R167" i="4"/>
  <c r="R166" i="4" s="1"/>
  <c r="R162" i="4" s="1"/>
  <c r="S67" i="4"/>
  <c r="T73" i="4"/>
  <c r="R111" i="3"/>
  <c r="R110" i="3" s="1"/>
  <c r="F21" i="1"/>
  <c r="C63" i="5" s="1"/>
  <c r="U16" i="4"/>
  <c r="T6" i="4"/>
  <c r="S114" i="4"/>
  <c r="S113" i="4" s="1"/>
  <c r="S139" i="4"/>
  <c r="S138" i="4" s="1"/>
  <c r="S164" i="4"/>
  <c r="S163" i="4" s="1"/>
  <c r="S189" i="4"/>
  <c r="S188" i="4" s="1"/>
  <c r="S187" i="4" s="1"/>
  <c r="S215" i="4"/>
  <c r="S214" i="4" s="1"/>
  <c r="S213" i="4" s="1"/>
  <c r="S5" i="4"/>
  <c r="S4" i="4" s="1"/>
  <c r="U16" i="3"/>
  <c r="T6" i="3"/>
  <c r="S189" i="3"/>
  <c r="S188" i="3" s="1"/>
  <c r="S187" i="3" s="1"/>
  <c r="S215" i="3"/>
  <c r="S214" i="3" s="1"/>
  <c r="S213" i="3" s="1"/>
  <c r="S5" i="3"/>
  <c r="S4" i="3" s="1"/>
  <c r="S3" i="3" s="1"/>
  <c r="S114" i="3"/>
  <c r="S113" i="3" s="1"/>
  <c r="S112" i="3" s="1"/>
  <c r="S139" i="3"/>
  <c r="S138" i="3" s="1"/>
  <c r="S137" i="3" s="1"/>
  <c r="S164" i="3"/>
  <c r="S163" i="3" s="1"/>
  <c r="S162" i="3" s="1"/>
  <c r="B22" i="1"/>
  <c r="B64" i="5" s="1"/>
  <c r="C21" i="1"/>
  <c r="Q2" i="3"/>
  <c r="D21" i="1" s="1"/>
  <c r="D63" i="5" s="1"/>
  <c r="W73" i="3" l="1"/>
  <c r="V67" i="3"/>
  <c r="U66" i="3"/>
  <c r="U65" i="3" s="1"/>
  <c r="U167" i="3"/>
  <c r="U166" i="3" s="1"/>
  <c r="U142" i="3"/>
  <c r="U141" i="3" s="1"/>
  <c r="U117" i="3"/>
  <c r="U116" i="3" s="1"/>
  <c r="U249" i="3"/>
  <c r="U248" i="3" s="1"/>
  <c r="U247" i="3" s="1"/>
  <c r="U232" i="3"/>
  <c r="U231" i="3" s="1"/>
  <c r="U230" i="3" s="1"/>
  <c r="U202" i="3"/>
  <c r="U201" i="3" s="1"/>
  <c r="U200" i="3" s="1"/>
  <c r="F58" i="5"/>
  <c r="E17" i="1"/>
  <c r="I18" i="1"/>
  <c r="G59" i="5"/>
  <c r="G21" i="1"/>
  <c r="Q2" i="4"/>
  <c r="H21" i="1" s="1"/>
  <c r="E63" i="5" s="1"/>
  <c r="R111" i="4"/>
  <c r="R110" i="4" s="1"/>
  <c r="S232" i="4"/>
  <c r="S231" i="4" s="1"/>
  <c r="S230" i="4" s="1"/>
  <c r="S66" i="4"/>
  <c r="S65" i="4" s="1"/>
  <c r="S3" i="4" s="1"/>
  <c r="F23" i="1" s="1"/>
  <c r="C65" i="5" s="1"/>
  <c r="S142" i="4"/>
  <c r="S141" i="4" s="1"/>
  <c r="S137" i="4" s="1"/>
  <c r="S249" i="4"/>
  <c r="S248" i="4" s="1"/>
  <c r="S247" i="4" s="1"/>
  <c r="S202" i="4"/>
  <c r="S201" i="4" s="1"/>
  <c r="S200" i="4" s="1"/>
  <c r="S167" i="4"/>
  <c r="S166" i="4" s="1"/>
  <c r="S162" i="4" s="1"/>
  <c r="S117" i="4"/>
  <c r="S116" i="4" s="1"/>
  <c r="S112" i="4" s="1"/>
  <c r="T67" i="4"/>
  <c r="U73" i="4"/>
  <c r="C22" i="1"/>
  <c r="R2" i="3"/>
  <c r="D22" i="1" s="1"/>
  <c r="D64" i="5" s="1"/>
  <c r="S111" i="3"/>
  <c r="S110" i="3" s="1"/>
  <c r="V16" i="4"/>
  <c r="U6" i="4"/>
  <c r="T5" i="4"/>
  <c r="T4" i="4" s="1"/>
  <c r="T114" i="4"/>
  <c r="T113" i="4" s="1"/>
  <c r="T139" i="4"/>
  <c r="T138" i="4" s="1"/>
  <c r="T164" i="4"/>
  <c r="T163" i="4" s="1"/>
  <c r="T189" i="4"/>
  <c r="T188" i="4" s="1"/>
  <c r="T187" i="4" s="1"/>
  <c r="T215" i="4"/>
  <c r="T214" i="4" s="1"/>
  <c r="T213" i="4" s="1"/>
  <c r="V16" i="3"/>
  <c r="U6" i="3"/>
  <c r="T114" i="3"/>
  <c r="T113" i="3" s="1"/>
  <c r="T112" i="3" s="1"/>
  <c r="T139" i="3"/>
  <c r="T138" i="3" s="1"/>
  <c r="T137" i="3" s="1"/>
  <c r="T164" i="3"/>
  <c r="T163" i="3" s="1"/>
  <c r="T162" i="3" s="1"/>
  <c r="T189" i="3"/>
  <c r="T188" i="3" s="1"/>
  <c r="T187" i="3" s="1"/>
  <c r="T215" i="3"/>
  <c r="T214" i="3" s="1"/>
  <c r="T213" i="3" s="1"/>
  <c r="T5" i="3"/>
  <c r="T4" i="3" s="1"/>
  <c r="T3" i="3" s="1"/>
  <c r="B23" i="1"/>
  <c r="B65" i="5" s="1"/>
  <c r="X73" i="3" l="1"/>
  <c r="W67" i="3"/>
  <c r="V232" i="3"/>
  <c r="V231" i="3" s="1"/>
  <c r="V230" i="3" s="1"/>
  <c r="V66" i="3"/>
  <c r="V65" i="3" s="1"/>
  <c r="V167" i="3"/>
  <c r="V166" i="3" s="1"/>
  <c r="V142" i="3"/>
  <c r="V141" i="3" s="1"/>
  <c r="V117" i="3"/>
  <c r="V116" i="3" s="1"/>
  <c r="V249" i="3"/>
  <c r="V248" i="3" s="1"/>
  <c r="V247" i="3" s="1"/>
  <c r="V202" i="3"/>
  <c r="V201" i="3" s="1"/>
  <c r="V200" i="3" s="1"/>
  <c r="F59" i="5"/>
  <c r="E18" i="1"/>
  <c r="G60" i="5"/>
  <c r="I19" i="1"/>
  <c r="G22" i="1"/>
  <c r="R2" i="4"/>
  <c r="H22" i="1" s="1"/>
  <c r="E64" i="5" s="1"/>
  <c r="S111" i="4"/>
  <c r="S110" i="4" s="1"/>
  <c r="T249" i="4"/>
  <c r="T248" i="4" s="1"/>
  <c r="T247" i="4" s="1"/>
  <c r="T117" i="4"/>
  <c r="T116" i="4" s="1"/>
  <c r="T112" i="4" s="1"/>
  <c r="T66" i="4"/>
  <c r="T65" i="4" s="1"/>
  <c r="T3" i="4" s="1"/>
  <c r="F24" i="1" s="1"/>
  <c r="C66" i="5" s="1"/>
  <c r="T232" i="4"/>
  <c r="T231" i="4" s="1"/>
  <c r="T230" i="4" s="1"/>
  <c r="T167" i="4"/>
  <c r="T166" i="4" s="1"/>
  <c r="T162" i="4" s="1"/>
  <c r="T202" i="4"/>
  <c r="T201" i="4" s="1"/>
  <c r="T200" i="4" s="1"/>
  <c r="T142" i="4"/>
  <c r="T141" i="4" s="1"/>
  <c r="T137" i="4" s="1"/>
  <c r="U67" i="4"/>
  <c r="V73" i="4"/>
  <c r="C23" i="1"/>
  <c r="S2" i="3"/>
  <c r="W16" i="4"/>
  <c r="V6" i="4"/>
  <c r="U189" i="4"/>
  <c r="U188" i="4" s="1"/>
  <c r="U187" i="4" s="1"/>
  <c r="U215" i="4"/>
  <c r="U214" i="4" s="1"/>
  <c r="U213" i="4" s="1"/>
  <c r="U5" i="4"/>
  <c r="U4" i="4" s="1"/>
  <c r="U114" i="4"/>
  <c r="U113" i="4" s="1"/>
  <c r="U139" i="4"/>
  <c r="U138" i="4" s="1"/>
  <c r="U164" i="4"/>
  <c r="U163" i="4" s="1"/>
  <c r="W16" i="3"/>
  <c r="V6" i="3"/>
  <c r="U5" i="3"/>
  <c r="U4" i="3" s="1"/>
  <c r="U3" i="3" s="1"/>
  <c r="U114" i="3"/>
  <c r="U113" i="3" s="1"/>
  <c r="U112" i="3" s="1"/>
  <c r="U139" i="3"/>
  <c r="U138" i="3" s="1"/>
  <c r="U137" i="3" s="1"/>
  <c r="U164" i="3"/>
  <c r="U163" i="3" s="1"/>
  <c r="U162" i="3" s="1"/>
  <c r="U189" i="3"/>
  <c r="U188" i="3" s="1"/>
  <c r="U187" i="3" s="1"/>
  <c r="U215" i="3"/>
  <c r="U214" i="3" s="1"/>
  <c r="U213" i="3" s="1"/>
  <c r="B24" i="1"/>
  <c r="B66" i="5" s="1"/>
  <c r="T111" i="3"/>
  <c r="T110" i="3" s="1"/>
  <c r="Y73" i="3" l="1"/>
  <c r="X67" i="3"/>
  <c r="W117" i="3"/>
  <c r="W116" i="3" s="1"/>
  <c r="W142" i="3"/>
  <c r="W141" i="3" s="1"/>
  <c r="W66" i="3"/>
  <c r="W65" i="3" s="1"/>
  <c r="W249" i="3"/>
  <c r="W248" i="3" s="1"/>
  <c r="W247" i="3" s="1"/>
  <c r="W232" i="3"/>
  <c r="W231" i="3" s="1"/>
  <c r="W230" i="3" s="1"/>
  <c r="W202" i="3"/>
  <c r="W201" i="3" s="1"/>
  <c r="W200" i="3" s="1"/>
  <c r="W167" i="3"/>
  <c r="W166" i="3" s="1"/>
  <c r="F60" i="5"/>
  <c r="E19" i="1"/>
  <c r="I20" i="1"/>
  <c r="G61" i="5"/>
  <c r="S2" i="4"/>
  <c r="G23" i="1"/>
  <c r="D23" i="1"/>
  <c r="B6" i="1"/>
  <c r="T111" i="4"/>
  <c r="T110" i="4" s="1"/>
  <c r="U232" i="4"/>
  <c r="U231" i="4" s="1"/>
  <c r="U230" i="4" s="1"/>
  <c r="U167" i="4"/>
  <c r="U166" i="4" s="1"/>
  <c r="U162" i="4" s="1"/>
  <c r="U249" i="4"/>
  <c r="U248" i="4" s="1"/>
  <c r="U247" i="4" s="1"/>
  <c r="U142" i="4"/>
  <c r="U141" i="4" s="1"/>
  <c r="U137" i="4" s="1"/>
  <c r="U66" i="4"/>
  <c r="U65" i="4" s="1"/>
  <c r="U3" i="4" s="1"/>
  <c r="F25" i="1" s="1"/>
  <c r="C67" i="5" s="1"/>
  <c r="U202" i="4"/>
  <c r="U201" i="4" s="1"/>
  <c r="U200" i="4" s="1"/>
  <c r="U117" i="4"/>
  <c r="U116" i="4" s="1"/>
  <c r="U112" i="4" s="1"/>
  <c r="V67" i="4"/>
  <c r="W73" i="4"/>
  <c r="X16" i="4"/>
  <c r="W6" i="4"/>
  <c r="V139" i="4"/>
  <c r="V138" i="4" s="1"/>
  <c r="V164" i="4"/>
  <c r="V163" i="4" s="1"/>
  <c r="V189" i="4"/>
  <c r="V188" i="4" s="1"/>
  <c r="V187" i="4" s="1"/>
  <c r="V215" i="4"/>
  <c r="V214" i="4" s="1"/>
  <c r="V213" i="4" s="1"/>
  <c r="V5" i="4"/>
  <c r="V4" i="4" s="1"/>
  <c r="V114" i="4"/>
  <c r="V113" i="4" s="1"/>
  <c r="X16" i="3"/>
  <c r="W6" i="3"/>
  <c r="V114" i="3"/>
  <c r="V113" i="3" s="1"/>
  <c r="V112" i="3" s="1"/>
  <c r="V139" i="3"/>
  <c r="V138" i="3" s="1"/>
  <c r="V137" i="3" s="1"/>
  <c r="V164" i="3"/>
  <c r="V163" i="3" s="1"/>
  <c r="V162" i="3" s="1"/>
  <c r="V189" i="3"/>
  <c r="V188" i="3" s="1"/>
  <c r="V187" i="3" s="1"/>
  <c r="V215" i="3"/>
  <c r="V214" i="3" s="1"/>
  <c r="V213" i="3" s="1"/>
  <c r="V5" i="3"/>
  <c r="V4" i="3" s="1"/>
  <c r="V3" i="3" s="1"/>
  <c r="B25" i="1"/>
  <c r="B67" i="5" s="1"/>
  <c r="U111" i="3"/>
  <c r="U110" i="3" s="1"/>
  <c r="C24" i="1"/>
  <c r="T2" i="3"/>
  <c r="D24" i="1" s="1"/>
  <c r="D66" i="5" s="1"/>
  <c r="Z73" i="3" l="1"/>
  <c r="Y67" i="3"/>
  <c r="X66" i="3"/>
  <c r="X65" i="3" s="1"/>
  <c r="X167" i="3"/>
  <c r="X166" i="3" s="1"/>
  <c r="X142" i="3"/>
  <c r="X141" i="3" s="1"/>
  <c r="X117" i="3"/>
  <c r="X116" i="3" s="1"/>
  <c r="X249" i="3"/>
  <c r="X248" i="3" s="1"/>
  <c r="X247" i="3" s="1"/>
  <c r="X202" i="3"/>
  <c r="X201" i="3" s="1"/>
  <c r="X200" i="3" s="1"/>
  <c r="X232" i="3"/>
  <c r="X231" i="3" s="1"/>
  <c r="X230" i="3" s="1"/>
  <c r="F61" i="5"/>
  <c r="E20" i="1"/>
  <c r="I21" i="1"/>
  <c r="G62" i="5"/>
  <c r="D65" i="5"/>
  <c r="H23" i="1"/>
  <c r="E65" i="5" s="1"/>
  <c r="C6" i="1"/>
  <c r="G24" i="1"/>
  <c r="T2" i="4"/>
  <c r="H24" i="1" s="1"/>
  <c r="E66" i="5" s="1"/>
  <c r="U111" i="4"/>
  <c r="U110" i="4" s="1"/>
  <c r="V66" i="4"/>
  <c r="V65" i="4" s="1"/>
  <c r="V3" i="4" s="1"/>
  <c r="F26" i="1" s="1"/>
  <c r="C68" i="5" s="1"/>
  <c r="V232" i="4"/>
  <c r="V231" i="4" s="1"/>
  <c r="V230" i="4" s="1"/>
  <c r="V167" i="4"/>
  <c r="V166" i="4" s="1"/>
  <c r="V162" i="4" s="1"/>
  <c r="V117" i="4"/>
  <c r="V116" i="4" s="1"/>
  <c r="V112" i="4" s="1"/>
  <c r="V202" i="4"/>
  <c r="V201" i="4" s="1"/>
  <c r="V200" i="4" s="1"/>
  <c r="V142" i="4"/>
  <c r="V141" i="4" s="1"/>
  <c r="V137" i="4" s="1"/>
  <c r="V249" i="4"/>
  <c r="V248" i="4" s="1"/>
  <c r="V247" i="4" s="1"/>
  <c r="W67" i="4"/>
  <c r="X73" i="4"/>
  <c r="V111" i="3"/>
  <c r="V110" i="3" s="1"/>
  <c r="C25" i="1"/>
  <c r="U2" i="3"/>
  <c r="D25" i="1" s="1"/>
  <c r="D67" i="5" s="1"/>
  <c r="Y16" i="4"/>
  <c r="X6" i="4"/>
  <c r="W5" i="4"/>
  <c r="W4" i="4" s="1"/>
  <c r="W114" i="4"/>
  <c r="W113" i="4" s="1"/>
  <c r="W139" i="4"/>
  <c r="W138" i="4" s="1"/>
  <c r="W164" i="4"/>
  <c r="W163" i="4" s="1"/>
  <c r="W189" i="4"/>
  <c r="W188" i="4" s="1"/>
  <c r="W187" i="4" s="1"/>
  <c r="W215" i="4"/>
  <c r="W214" i="4" s="1"/>
  <c r="W213" i="4" s="1"/>
  <c r="Y16" i="3"/>
  <c r="X6" i="3"/>
  <c r="W189" i="3"/>
  <c r="W188" i="3" s="1"/>
  <c r="W187" i="3" s="1"/>
  <c r="W215" i="3"/>
  <c r="W214" i="3" s="1"/>
  <c r="W213" i="3" s="1"/>
  <c r="W5" i="3"/>
  <c r="W4" i="3" s="1"/>
  <c r="W3" i="3" s="1"/>
  <c r="W114" i="3"/>
  <c r="W113" i="3" s="1"/>
  <c r="W112" i="3" s="1"/>
  <c r="W139" i="3"/>
  <c r="W138" i="3" s="1"/>
  <c r="W137" i="3" s="1"/>
  <c r="W164" i="3"/>
  <c r="W163" i="3" s="1"/>
  <c r="W162" i="3" s="1"/>
  <c r="B26" i="1"/>
  <c r="B68" i="5" s="1"/>
  <c r="AA73" i="3" l="1"/>
  <c r="Z67" i="3"/>
  <c r="Y117" i="3"/>
  <c r="Y116" i="3" s="1"/>
  <c r="Y142" i="3"/>
  <c r="Y141" i="3" s="1"/>
  <c r="Y66" i="3"/>
  <c r="Y65" i="3" s="1"/>
  <c r="Y249" i="3"/>
  <c r="Y248" i="3" s="1"/>
  <c r="Y247" i="3" s="1"/>
  <c r="Y232" i="3"/>
  <c r="Y231" i="3" s="1"/>
  <c r="Y230" i="3" s="1"/>
  <c r="Y202" i="3"/>
  <c r="Y201" i="3" s="1"/>
  <c r="Y200" i="3" s="1"/>
  <c r="Y167" i="3"/>
  <c r="Y166" i="3" s="1"/>
  <c r="F62" i="5"/>
  <c r="E21" i="1"/>
  <c r="I22" i="1"/>
  <c r="G63" i="5"/>
  <c r="V111" i="4"/>
  <c r="V110" i="4" s="1"/>
  <c r="G25" i="1"/>
  <c r="U2" i="4"/>
  <c r="H25" i="1" s="1"/>
  <c r="E67" i="5" s="1"/>
  <c r="W66" i="4"/>
  <c r="W65" i="4" s="1"/>
  <c r="W3" i="4" s="1"/>
  <c r="F27" i="1" s="1"/>
  <c r="C69" i="5" s="1"/>
  <c r="W167" i="4"/>
  <c r="W166" i="4" s="1"/>
  <c r="W162" i="4" s="1"/>
  <c r="W249" i="4"/>
  <c r="W248" i="4" s="1"/>
  <c r="W247" i="4" s="1"/>
  <c r="W202" i="4"/>
  <c r="W201" i="4" s="1"/>
  <c r="W200" i="4" s="1"/>
  <c r="W117" i="4"/>
  <c r="W116" i="4" s="1"/>
  <c r="W112" i="4" s="1"/>
  <c r="W232" i="4"/>
  <c r="W231" i="4" s="1"/>
  <c r="W230" i="4" s="1"/>
  <c r="W142" i="4"/>
  <c r="W141" i="4" s="1"/>
  <c r="W137" i="4" s="1"/>
  <c r="X67" i="4"/>
  <c r="Y73" i="4"/>
  <c r="C26" i="1"/>
  <c r="V2" i="3"/>
  <c r="D26" i="1" s="1"/>
  <c r="D68" i="5" s="1"/>
  <c r="Z16" i="4"/>
  <c r="Y6" i="4"/>
  <c r="X114" i="4"/>
  <c r="X113" i="4" s="1"/>
  <c r="X139" i="4"/>
  <c r="X138" i="4" s="1"/>
  <c r="X164" i="4"/>
  <c r="X163" i="4" s="1"/>
  <c r="X189" i="4"/>
  <c r="X188" i="4" s="1"/>
  <c r="X187" i="4" s="1"/>
  <c r="X215" i="4"/>
  <c r="X214" i="4" s="1"/>
  <c r="X213" i="4" s="1"/>
  <c r="X5" i="4"/>
  <c r="X4" i="4" s="1"/>
  <c r="Z16" i="3"/>
  <c r="Y6" i="3"/>
  <c r="X114" i="3"/>
  <c r="X113" i="3" s="1"/>
  <c r="X112" i="3" s="1"/>
  <c r="X139" i="3"/>
  <c r="X138" i="3" s="1"/>
  <c r="X137" i="3" s="1"/>
  <c r="X164" i="3"/>
  <c r="X163" i="3" s="1"/>
  <c r="X162" i="3" s="1"/>
  <c r="X5" i="3"/>
  <c r="X4" i="3" s="1"/>
  <c r="X3" i="3" s="1"/>
  <c r="X189" i="3"/>
  <c r="X188" i="3" s="1"/>
  <c r="X187" i="3" s="1"/>
  <c r="X215" i="3"/>
  <c r="X214" i="3" s="1"/>
  <c r="X213" i="3" s="1"/>
  <c r="B27" i="1"/>
  <c r="B69" i="5" s="1"/>
  <c r="W111" i="3"/>
  <c r="W110" i="3" s="1"/>
  <c r="AB73" i="3" l="1"/>
  <c r="AA67" i="3"/>
  <c r="Z117" i="3"/>
  <c r="Z116" i="3" s="1"/>
  <c r="Z142" i="3"/>
  <c r="Z141" i="3" s="1"/>
  <c r="Z66" i="3"/>
  <c r="Z65" i="3" s="1"/>
  <c r="Z249" i="3"/>
  <c r="Z248" i="3" s="1"/>
  <c r="Z247" i="3" s="1"/>
  <c r="Z232" i="3"/>
  <c r="Z231" i="3" s="1"/>
  <c r="Z230" i="3" s="1"/>
  <c r="Z202" i="3"/>
  <c r="Z201" i="3" s="1"/>
  <c r="Z200" i="3" s="1"/>
  <c r="Z167" i="3"/>
  <c r="Z166" i="3" s="1"/>
  <c r="F63" i="5"/>
  <c r="E22" i="1"/>
  <c r="I23" i="1"/>
  <c r="G64" i="5"/>
  <c r="G26" i="1"/>
  <c r="V2" i="4"/>
  <c r="H26" i="1" s="1"/>
  <c r="E68" i="5" s="1"/>
  <c r="W111" i="4"/>
  <c r="W110" i="4" s="1"/>
  <c r="X66" i="4"/>
  <c r="X65" i="4" s="1"/>
  <c r="X3" i="4" s="1"/>
  <c r="F28" i="1" s="1"/>
  <c r="C70" i="5" s="1"/>
  <c r="X167" i="4"/>
  <c r="X166" i="4" s="1"/>
  <c r="X162" i="4" s="1"/>
  <c r="X117" i="4"/>
  <c r="X116" i="4" s="1"/>
  <c r="X112" i="4" s="1"/>
  <c r="X249" i="4"/>
  <c r="X248" i="4" s="1"/>
  <c r="X247" i="4" s="1"/>
  <c r="X202" i="4"/>
  <c r="X201" i="4" s="1"/>
  <c r="X200" i="4" s="1"/>
  <c r="X142" i="4"/>
  <c r="X141" i="4" s="1"/>
  <c r="X137" i="4" s="1"/>
  <c r="X232" i="4"/>
  <c r="X231" i="4" s="1"/>
  <c r="X230" i="4" s="1"/>
  <c r="Y67" i="4"/>
  <c r="Z73" i="4"/>
  <c r="AA16" i="4"/>
  <c r="Z6" i="4"/>
  <c r="Y5" i="4"/>
  <c r="Y4" i="4" s="1"/>
  <c r="Y114" i="4"/>
  <c r="Y113" i="4" s="1"/>
  <c r="Y139" i="4"/>
  <c r="Y138" i="4" s="1"/>
  <c r="Y164" i="4"/>
  <c r="Y163" i="4" s="1"/>
  <c r="Y189" i="4"/>
  <c r="Y188" i="4" s="1"/>
  <c r="Y187" i="4" s="1"/>
  <c r="Y215" i="4"/>
  <c r="Y214" i="4" s="1"/>
  <c r="Y213" i="4" s="1"/>
  <c r="AA16" i="3"/>
  <c r="Z6" i="3"/>
  <c r="Y114" i="3"/>
  <c r="Y113" i="3" s="1"/>
  <c r="Y112" i="3" s="1"/>
  <c r="Y139" i="3"/>
  <c r="Y138" i="3" s="1"/>
  <c r="Y137" i="3" s="1"/>
  <c r="Y164" i="3"/>
  <c r="Y163" i="3" s="1"/>
  <c r="Y162" i="3" s="1"/>
  <c r="Y189" i="3"/>
  <c r="Y188" i="3" s="1"/>
  <c r="Y187" i="3" s="1"/>
  <c r="Y215" i="3"/>
  <c r="Y214" i="3" s="1"/>
  <c r="Y213" i="3" s="1"/>
  <c r="Y5" i="3"/>
  <c r="Y4" i="3" s="1"/>
  <c r="Y3" i="3" s="1"/>
  <c r="B28" i="1"/>
  <c r="B70" i="5" s="1"/>
  <c r="X111" i="3"/>
  <c r="X110" i="3" s="1"/>
  <c r="C27" i="1"/>
  <c r="W2" i="3"/>
  <c r="D27" i="1" s="1"/>
  <c r="D69" i="5" s="1"/>
  <c r="AC73" i="3" l="1"/>
  <c r="AB67" i="3"/>
  <c r="AA66" i="3"/>
  <c r="AA65" i="3" s="1"/>
  <c r="AA167" i="3"/>
  <c r="AA166" i="3" s="1"/>
  <c r="AA142" i="3"/>
  <c r="AA141" i="3" s="1"/>
  <c r="AA117" i="3"/>
  <c r="AA116" i="3" s="1"/>
  <c r="AA249" i="3"/>
  <c r="AA248" i="3" s="1"/>
  <c r="AA247" i="3" s="1"/>
  <c r="AA232" i="3"/>
  <c r="AA231" i="3" s="1"/>
  <c r="AA230" i="3" s="1"/>
  <c r="AA202" i="3"/>
  <c r="AA201" i="3" s="1"/>
  <c r="AA200" i="3" s="1"/>
  <c r="E23" i="1"/>
  <c r="F64" i="5"/>
  <c r="I24" i="1"/>
  <c r="G65" i="5"/>
  <c r="G27" i="1"/>
  <c r="W2" i="4"/>
  <c r="H27" i="1" s="1"/>
  <c r="E69" i="5" s="1"/>
  <c r="C134" i="5" s="1"/>
  <c r="X111" i="4"/>
  <c r="X110" i="4" s="1"/>
  <c r="Y202" i="4"/>
  <c r="Y201" i="4" s="1"/>
  <c r="Y200" i="4" s="1"/>
  <c r="Y142" i="4"/>
  <c r="Y141" i="4" s="1"/>
  <c r="Y137" i="4" s="1"/>
  <c r="Y232" i="4"/>
  <c r="Y231" i="4" s="1"/>
  <c r="Y230" i="4" s="1"/>
  <c r="Y167" i="4"/>
  <c r="Y166" i="4" s="1"/>
  <c r="Y162" i="4" s="1"/>
  <c r="Y249" i="4"/>
  <c r="Y248" i="4" s="1"/>
  <c r="Y247" i="4" s="1"/>
  <c r="Y66" i="4"/>
  <c r="Y65" i="4" s="1"/>
  <c r="Y3" i="4" s="1"/>
  <c r="F29" i="1" s="1"/>
  <c r="C71" i="5" s="1"/>
  <c r="Y117" i="4"/>
  <c r="Y116" i="4" s="1"/>
  <c r="Y112" i="4" s="1"/>
  <c r="Z67" i="4"/>
  <c r="AA73" i="4"/>
  <c r="AB16" i="4"/>
  <c r="AA6" i="4"/>
  <c r="Z114" i="4"/>
  <c r="Z113" i="4" s="1"/>
  <c r="Z5" i="4"/>
  <c r="Z4" i="4" s="1"/>
  <c r="Z139" i="4"/>
  <c r="Z138" i="4" s="1"/>
  <c r="Z164" i="4"/>
  <c r="Z163" i="4" s="1"/>
  <c r="Z189" i="4"/>
  <c r="Z188" i="4" s="1"/>
  <c r="Z187" i="4" s="1"/>
  <c r="Z215" i="4"/>
  <c r="Z214" i="4" s="1"/>
  <c r="Z213" i="4" s="1"/>
  <c r="AB16" i="3"/>
  <c r="AA6" i="3"/>
  <c r="Z189" i="3"/>
  <c r="Z188" i="3" s="1"/>
  <c r="Z187" i="3" s="1"/>
  <c r="Z215" i="3"/>
  <c r="Z214" i="3" s="1"/>
  <c r="Z213" i="3" s="1"/>
  <c r="Z114" i="3"/>
  <c r="Z113" i="3" s="1"/>
  <c r="Z112" i="3" s="1"/>
  <c r="Z139" i="3"/>
  <c r="Z138" i="3" s="1"/>
  <c r="Z137" i="3" s="1"/>
  <c r="Z164" i="3"/>
  <c r="Z163" i="3" s="1"/>
  <c r="Z162" i="3" s="1"/>
  <c r="Z5" i="3"/>
  <c r="Z4" i="3" s="1"/>
  <c r="Z3" i="3" s="1"/>
  <c r="B29" i="1"/>
  <c r="B71" i="5" s="1"/>
  <c r="Y111" i="3"/>
  <c r="Y110" i="3" s="1"/>
  <c r="C28" i="1"/>
  <c r="X2" i="3"/>
  <c r="D28" i="1" s="1"/>
  <c r="D70" i="5" s="1"/>
  <c r="AD73" i="3" l="1"/>
  <c r="AC67" i="3"/>
  <c r="AB66" i="3"/>
  <c r="AB65" i="3" s="1"/>
  <c r="AB232" i="3"/>
  <c r="AB231" i="3" s="1"/>
  <c r="AB230" i="3" s="1"/>
  <c r="AB202" i="3"/>
  <c r="AB201" i="3" s="1"/>
  <c r="AB200" i="3" s="1"/>
  <c r="AB167" i="3"/>
  <c r="AB166" i="3" s="1"/>
  <c r="AB249" i="3"/>
  <c r="AB248" i="3" s="1"/>
  <c r="AB247" i="3" s="1"/>
  <c r="AB142" i="3"/>
  <c r="AB141" i="3" s="1"/>
  <c r="AB117" i="3"/>
  <c r="AB116" i="3" s="1"/>
  <c r="F65" i="5"/>
  <c r="E24" i="1"/>
  <c r="I25" i="1"/>
  <c r="G66" i="5"/>
  <c r="Y111" i="4"/>
  <c r="Y110" i="4" s="1"/>
  <c r="G28" i="1"/>
  <c r="X2" i="4"/>
  <c r="H28" i="1" s="1"/>
  <c r="E70" i="5" s="1"/>
  <c r="Z202" i="4"/>
  <c r="Z201" i="4" s="1"/>
  <c r="Z200" i="4" s="1"/>
  <c r="Z167" i="4"/>
  <c r="Z166" i="4" s="1"/>
  <c r="Z162" i="4" s="1"/>
  <c r="Z117" i="4"/>
  <c r="Z116" i="4" s="1"/>
  <c r="Z112" i="4" s="1"/>
  <c r="Z142" i="4"/>
  <c r="Z141" i="4" s="1"/>
  <c r="Z137" i="4" s="1"/>
  <c r="Z232" i="4"/>
  <c r="Z231" i="4" s="1"/>
  <c r="Z230" i="4" s="1"/>
  <c r="Z66" i="4"/>
  <c r="Z65" i="4" s="1"/>
  <c r="Z3" i="4" s="1"/>
  <c r="F30" i="1" s="1"/>
  <c r="C72" i="5" s="1"/>
  <c r="Z249" i="4"/>
  <c r="Z248" i="4" s="1"/>
  <c r="Z247" i="4" s="1"/>
  <c r="AA67" i="4"/>
  <c r="AB73" i="4"/>
  <c r="AC16" i="4"/>
  <c r="AB6" i="4"/>
  <c r="AA5" i="4"/>
  <c r="AA4" i="4" s="1"/>
  <c r="AA114" i="4"/>
  <c r="AA113" i="4" s="1"/>
  <c r="AA139" i="4"/>
  <c r="AA138" i="4" s="1"/>
  <c r="AA164" i="4"/>
  <c r="AA163" i="4" s="1"/>
  <c r="AA189" i="4"/>
  <c r="AA188" i="4" s="1"/>
  <c r="AA187" i="4" s="1"/>
  <c r="AA215" i="4"/>
  <c r="AA214" i="4" s="1"/>
  <c r="AA213" i="4" s="1"/>
  <c r="AC16" i="3"/>
  <c r="AB6" i="3"/>
  <c r="AA114" i="3"/>
  <c r="AA113" i="3" s="1"/>
  <c r="AA112" i="3" s="1"/>
  <c r="AA139" i="3"/>
  <c r="AA138" i="3" s="1"/>
  <c r="AA137" i="3" s="1"/>
  <c r="AA164" i="3"/>
  <c r="AA163" i="3" s="1"/>
  <c r="AA162" i="3" s="1"/>
  <c r="AA189" i="3"/>
  <c r="AA188" i="3" s="1"/>
  <c r="AA187" i="3" s="1"/>
  <c r="AA215" i="3"/>
  <c r="AA214" i="3" s="1"/>
  <c r="AA213" i="3" s="1"/>
  <c r="AA5" i="3"/>
  <c r="AA4" i="3" s="1"/>
  <c r="AA3" i="3" s="1"/>
  <c r="B30" i="1"/>
  <c r="B72" i="5" s="1"/>
  <c r="Z111" i="3"/>
  <c r="Z110" i="3" s="1"/>
  <c r="C29" i="1"/>
  <c r="Y2" i="3"/>
  <c r="D29" i="1" s="1"/>
  <c r="D71" i="5" s="1"/>
  <c r="AE73" i="3" l="1"/>
  <c r="AD67" i="3"/>
  <c r="AC232" i="3"/>
  <c r="AC231" i="3" s="1"/>
  <c r="AC230" i="3" s="1"/>
  <c r="AC167" i="3"/>
  <c r="AC166" i="3" s="1"/>
  <c r="AC142" i="3"/>
  <c r="AC141" i="3" s="1"/>
  <c r="AC117" i="3"/>
  <c r="AC116" i="3" s="1"/>
  <c r="AC66" i="3"/>
  <c r="AC65" i="3" s="1"/>
  <c r="AC249" i="3"/>
  <c r="AC248" i="3" s="1"/>
  <c r="AC247" i="3" s="1"/>
  <c r="AC202" i="3"/>
  <c r="AC201" i="3" s="1"/>
  <c r="AC200" i="3" s="1"/>
  <c r="E25" i="1"/>
  <c r="F66" i="5"/>
  <c r="G67" i="5"/>
  <c r="I26" i="1"/>
  <c r="Z111" i="4"/>
  <c r="Z110" i="4" s="1"/>
  <c r="Y2" i="4"/>
  <c r="H29" i="1" s="1"/>
  <c r="E71" i="5" s="1"/>
  <c r="G29" i="1"/>
  <c r="AA66" i="4"/>
  <c r="AA65" i="4" s="1"/>
  <c r="AA3" i="4" s="1"/>
  <c r="F31" i="1" s="1"/>
  <c r="C73" i="5" s="1"/>
  <c r="AA232" i="4"/>
  <c r="AA231" i="4" s="1"/>
  <c r="AA230" i="4" s="1"/>
  <c r="AA142" i="4"/>
  <c r="AA141" i="4" s="1"/>
  <c r="AA137" i="4" s="1"/>
  <c r="AA249" i="4"/>
  <c r="AA248" i="4" s="1"/>
  <c r="AA247" i="4" s="1"/>
  <c r="AA202" i="4"/>
  <c r="AA201" i="4" s="1"/>
  <c r="AA200" i="4" s="1"/>
  <c r="AA167" i="4"/>
  <c r="AA166" i="4" s="1"/>
  <c r="AA162" i="4" s="1"/>
  <c r="AA117" i="4"/>
  <c r="AA116" i="4" s="1"/>
  <c r="AA112" i="4" s="1"/>
  <c r="AB67" i="4"/>
  <c r="AC73" i="4"/>
  <c r="AA111" i="3"/>
  <c r="AA110" i="3" s="1"/>
  <c r="AD16" i="4"/>
  <c r="AC6" i="4"/>
  <c r="AB139" i="4"/>
  <c r="AB138" i="4" s="1"/>
  <c r="AB164" i="4"/>
  <c r="AB163" i="4" s="1"/>
  <c r="AB189" i="4"/>
  <c r="AB188" i="4" s="1"/>
  <c r="AB187" i="4" s="1"/>
  <c r="AB215" i="4"/>
  <c r="AB214" i="4" s="1"/>
  <c r="AB213" i="4" s="1"/>
  <c r="AB5" i="4"/>
  <c r="AB4" i="4" s="1"/>
  <c r="AB114" i="4"/>
  <c r="AB113" i="4" s="1"/>
  <c r="AD16" i="3"/>
  <c r="AC6" i="3"/>
  <c r="AB114" i="3"/>
  <c r="AB113" i="3" s="1"/>
  <c r="AB112" i="3" s="1"/>
  <c r="AB139" i="3"/>
  <c r="AB138" i="3" s="1"/>
  <c r="AB137" i="3" s="1"/>
  <c r="AB164" i="3"/>
  <c r="AB163" i="3" s="1"/>
  <c r="AB162" i="3" s="1"/>
  <c r="AB189" i="3"/>
  <c r="AB188" i="3" s="1"/>
  <c r="AB187" i="3" s="1"/>
  <c r="AB215" i="3"/>
  <c r="AB214" i="3" s="1"/>
  <c r="AB213" i="3" s="1"/>
  <c r="AB5" i="3"/>
  <c r="AB4" i="3" s="1"/>
  <c r="AB3" i="3" s="1"/>
  <c r="B31" i="1"/>
  <c r="B73" i="5" s="1"/>
  <c r="C30" i="1"/>
  <c r="Z2" i="3"/>
  <c r="D30" i="1" s="1"/>
  <c r="D72" i="5" s="1"/>
  <c r="AF73" i="3" l="1"/>
  <c r="AE67" i="3"/>
  <c r="AD66" i="3"/>
  <c r="AD65" i="3" s="1"/>
  <c r="AD167" i="3"/>
  <c r="AD166" i="3" s="1"/>
  <c r="AD142" i="3"/>
  <c r="AD141" i="3" s="1"/>
  <c r="AD117" i="3"/>
  <c r="AD116" i="3" s="1"/>
  <c r="AD249" i="3"/>
  <c r="AD248" i="3" s="1"/>
  <c r="AD247" i="3" s="1"/>
  <c r="AD232" i="3"/>
  <c r="AD231" i="3" s="1"/>
  <c r="AD230" i="3" s="1"/>
  <c r="AD202" i="3"/>
  <c r="AD201" i="3" s="1"/>
  <c r="AD200" i="3" s="1"/>
  <c r="E26" i="1"/>
  <c r="F67" i="5"/>
  <c r="I27" i="1"/>
  <c r="G68" i="5"/>
  <c r="AA111" i="4"/>
  <c r="AA110" i="4" s="1"/>
  <c r="G30" i="1"/>
  <c r="Z2" i="4"/>
  <c r="H30" i="1" s="1"/>
  <c r="E72" i="5" s="1"/>
  <c r="C31" i="1"/>
  <c r="AA2" i="3"/>
  <c r="D31" i="1" s="1"/>
  <c r="D73" i="5" s="1"/>
  <c r="AB142" i="4"/>
  <c r="AB141" i="4" s="1"/>
  <c r="AB137" i="4" s="1"/>
  <c r="AB66" i="4"/>
  <c r="AB65" i="4" s="1"/>
  <c r="AB3" i="4" s="1"/>
  <c r="AB232" i="4"/>
  <c r="AB231" i="4" s="1"/>
  <c r="AB230" i="4" s="1"/>
  <c r="AB167" i="4"/>
  <c r="AB166" i="4" s="1"/>
  <c r="AB162" i="4" s="1"/>
  <c r="AB117" i="4"/>
  <c r="AB116" i="4" s="1"/>
  <c r="AB112" i="4" s="1"/>
  <c r="AB202" i="4"/>
  <c r="AB201" i="4" s="1"/>
  <c r="AB200" i="4" s="1"/>
  <c r="AB249" i="4"/>
  <c r="AB248" i="4" s="1"/>
  <c r="AB247" i="4" s="1"/>
  <c r="AC67" i="4"/>
  <c r="AD73" i="4"/>
  <c r="AE16" i="4"/>
  <c r="AD6" i="4"/>
  <c r="AC189" i="4"/>
  <c r="AC188" i="4" s="1"/>
  <c r="AC187" i="4" s="1"/>
  <c r="AC215" i="4"/>
  <c r="AC214" i="4" s="1"/>
  <c r="AC213" i="4" s="1"/>
  <c r="AC5" i="4"/>
  <c r="AC4" i="4" s="1"/>
  <c r="AC114" i="4"/>
  <c r="AC113" i="4" s="1"/>
  <c r="AC139" i="4"/>
  <c r="AC138" i="4" s="1"/>
  <c r="AC164" i="4"/>
  <c r="AC163" i="4" s="1"/>
  <c r="AE16" i="3"/>
  <c r="AD6" i="3"/>
  <c r="AC114" i="3"/>
  <c r="AC113" i="3" s="1"/>
  <c r="AC112" i="3" s="1"/>
  <c r="AC139" i="3"/>
  <c r="AC138" i="3" s="1"/>
  <c r="AC137" i="3" s="1"/>
  <c r="AC164" i="3"/>
  <c r="AC163" i="3" s="1"/>
  <c r="AC162" i="3" s="1"/>
  <c r="AC5" i="3"/>
  <c r="AC4" i="3" s="1"/>
  <c r="AC3" i="3" s="1"/>
  <c r="AC189" i="3"/>
  <c r="AC188" i="3" s="1"/>
  <c r="AC187" i="3" s="1"/>
  <c r="AC215" i="3"/>
  <c r="AC214" i="3" s="1"/>
  <c r="AC213" i="3" s="1"/>
  <c r="B32" i="1"/>
  <c r="B74" i="5" s="1"/>
  <c r="AB111" i="3"/>
  <c r="AB110" i="3" s="1"/>
  <c r="AG73" i="3" l="1"/>
  <c r="AF67" i="3"/>
  <c r="AE232" i="3"/>
  <c r="AE231" i="3" s="1"/>
  <c r="AE230" i="3" s="1"/>
  <c r="AE142" i="3"/>
  <c r="AE141" i="3" s="1"/>
  <c r="AE249" i="3"/>
  <c r="AE248" i="3" s="1"/>
  <c r="AE247" i="3" s="1"/>
  <c r="AE66" i="3"/>
  <c r="AE65" i="3" s="1"/>
  <c r="AE202" i="3"/>
  <c r="AE201" i="3" s="1"/>
  <c r="AE200" i="3" s="1"/>
  <c r="AE167" i="3"/>
  <c r="AE166" i="3" s="1"/>
  <c r="AE117" i="3"/>
  <c r="AE116" i="3" s="1"/>
  <c r="E27" i="1"/>
  <c r="F68" i="5"/>
  <c r="I28" i="1"/>
  <c r="G69" i="5"/>
  <c r="AA2" i="4"/>
  <c r="H31" i="1" s="1"/>
  <c r="E73" i="5" s="1"/>
  <c r="G31" i="1"/>
  <c r="AB111" i="4"/>
  <c r="AB110" i="4" s="1"/>
  <c r="AC232" i="4"/>
  <c r="AC231" i="4" s="1"/>
  <c r="AC230" i="4" s="1"/>
  <c r="AC167" i="4"/>
  <c r="AC166" i="4" s="1"/>
  <c r="AC162" i="4" s="1"/>
  <c r="AC117" i="4"/>
  <c r="AC116" i="4" s="1"/>
  <c r="AC112" i="4" s="1"/>
  <c r="AC66" i="4"/>
  <c r="AC65" i="4" s="1"/>
  <c r="AC3" i="4" s="1"/>
  <c r="F33" i="1" s="1"/>
  <c r="C75" i="5" s="1"/>
  <c r="AC202" i="4"/>
  <c r="AC201" i="4" s="1"/>
  <c r="AC200" i="4" s="1"/>
  <c r="AC249" i="4"/>
  <c r="AC248" i="4" s="1"/>
  <c r="AC247" i="4" s="1"/>
  <c r="AC142" i="4"/>
  <c r="AC141" i="4" s="1"/>
  <c r="AC137" i="4" s="1"/>
  <c r="AD67" i="4"/>
  <c r="AE73" i="4"/>
  <c r="F32" i="1"/>
  <c r="C74" i="5" s="1"/>
  <c r="C32" i="1"/>
  <c r="AB2" i="3"/>
  <c r="D32" i="1" s="1"/>
  <c r="D74" i="5" s="1"/>
  <c r="AF16" i="4"/>
  <c r="AE6" i="4"/>
  <c r="AD114" i="4"/>
  <c r="AD113" i="4" s="1"/>
  <c r="AD139" i="4"/>
  <c r="AD138" i="4" s="1"/>
  <c r="AD164" i="4"/>
  <c r="AD163" i="4" s="1"/>
  <c r="AD189" i="4"/>
  <c r="AD188" i="4" s="1"/>
  <c r="AD187" i="4" s="1"/>
  <c r="AD215" i="4"/>
  <c r="AD214" i="4" s="1"/>
  <c r="AD213" i="4" s="1"/>
  <c r="AD5" i="4"/>
  <c r="AD4" i="4" s="1"/>
  <c r="AF16" i="3"/>
  <c r="AE6" i="3"/>
  <c r="AD5" i="3"/>
  <c r="AD4" i="3" s="1"/>
  <c r="AD3" i="3" s="1"/>
  <c r="AD114" i="3"/>
  <c r="AD113" i="3" s="1"/>
  <c r="AD112" i="3" s="1"/>
  <c r="AD139" i="3"/>
  <c r="AD138" i="3" s="1"/>
  <c r="AD137" i="3" s="1"/>
  <c r="AD164" i="3"/>
  <c r="AD163" i="3" s="1"/>
  <c r="AD162" i="3" s="1"/>
  <c r="AD189" i="3"/>
  <c r="AD188" i="3" s="1"/>
  <c r="AD187" i="3" s="1"/>
  <c r="AD215" i="3"/>
  <c r="AD214" i="3" s="1"/>
  <c r="AD213" i="3" s="1"/>
  <c r="B33" i="1"/>
  <c r="B75" i="5" s="1"/>
  <c r="AC111" i="3"/>
  <c r="AC110" i="3" s="1"/>
  <c r="AH73" i="3" l="1"/>
  <c r="AG67" i="3"/>
  <c r="AF66" i="3"/>
  <c r="AF65" i="3" s="1"/>
  <c r="AF167" i="3"/>
  <c r="AF166" i="3" s="1"/>
  <c r="AF142" i="3"/>
  <c r="AF141" i="3" s="1"/>
  <c r="AF117" i="3"/>
  <c r="AF116" i="3" s="1"/>
  <c r="AF249" i="3"/>
  <c r="AF248" i="3" s="1"/>
  <c r="AF247" i="3" s="1"/>
  <c r="AF232" i="3"/>
  <c r="AF231" i="3" s="1"/>
  <c r="AF230" i="3" s="1"/>
  <c r="AF202" i="3"/>
  <c r="AF201" i="3" s="1"/>
  <c r="AF200" i="3" s="1"/>
  <c r="E28" i="1"/>
  <c r="F69" i="5"/>
  <c r="I29" i="1"/>
  <c r="G70" i="5"/>
  <c r="G32" i="1"/>
  <c r="AB2" i="4"/>
  <c r="H32" i="1" s="1"/>
  <c r="E74" i="5" s="1"/>
  <c r="AC111" i="4"/>
  <c r="AC110" i="4" s="1"/>
  <c r="AD249" i="4"/>
  <c r="AD248" i="4" s="1"/>
  <c r="AD247" i="4" s="1"/>
  <c r="AD202" i="4"/>
  <c r="AD201" i="4" s="1"/>
  <c r="AD200" i="4" s="1"/>
  <c r="AD142" i="4"/>
  <c r="AD141" i="4" s="1"/>
  <c r="AD137" i="4" s="1"/>
  <c r="AD66" i="4"/>
  <c r="AD65" i="4" s="1"/>
  <c r="AD3" i="4" s="1"/>
  <c r="F34" i="1" s="1"/>
  <c r="C76" i="5" s="1"/>
  <c r="AD232" i="4"/>
  <c r="AD231" i="4" s="1"/>
  <c r="AD230" i="4" s="1"/>
  <c r="AD167" i="4"/>
  <c r="AD166" i="4" s="1"/>
  <c r="AD162" i="4" s="1"/>
  <c r="AD117" i="4"/>
  <c r="AD116" i="4" s="1"/>
  <c r="AD112" i="4" s="1"/>
  <c r="AE67" i="4"/>
  <c r="AF73" i="4"/>
  <c r="AD111" i="3"/>
  <c r="AD110" i="3" s="1"/>
  <c r="C33" i="1"/>
  <c r="AC2" i="3"/>
  <c r="D33" i="1" s="1"/>
  <c r="D75" i="5" s="1"/>
  <c r="AG16" i="4"/>
  <c r="AF6" i="4"/>
  <c r="AE114" i="4"/>
  <c r="AE113" i="4" s="1"/>
  <c r="AE139" i="4"/>
  <c r="AE138" i="4" s="1"/>
  <c r="AE164" i="4"/>
  <c r="AE163" i="4" s="1"/>
  <c r="AE189" i="4"/>
  <c r="AE188" i="4" s="1"/>
  <c r="AE187" i="4" s="1"/>
  <c r="AE215" i="4"/>
  <c r="AE214" i="4" s="1"/>
  <c r="AE213" i="4" s="1"/>
  <c r="AE5" i="4"/>
  <c r="AE4" i="4" s="1"/>
  <c r="AG16" i="3"/>
  <c r="AF6" i="3"/>
  <c r="AE114" i="3"/>
  <c r="AE113" i="3" s="1"/>
  <c r="AE112" i="3" s="1"/>
  <c r="AE139" i="3"/>
  <c r="AE138" i="3" s="1"/>
  <c r="AE137" i="3" s="1"/>
  <c r="AE164" i="3"/>
  <c r="AE163" i="3" s="1"/>
  <c r="AE162" i="3" s="1"/>
  <c r="AE189" i="3"/>
  <c r="AE188" i="3" s="1"/>
  <c r="AE187" i="3" s="1"/>
  <c r="AE215" i="3"/>
  <c r="AE214" i="3" s="1"/>
  <c r="AE213" i="3" s="1"/>
  <c r="AE5" i="3"/>
  <c r="AE4" i="3" s="1"/>
  <c r="AE3" i="3" s="1"/>
  <c r="B34" i="1"/>
  <c r="B76" i="5" s="1"/>
  <c r="AI73" i="3" l="1"/>
  <c r="AH67" i="3"/>
  <c r="AG249" i="3"/>
  <c r="AG248" i="3" s="1"/>
  <c r="AG247" i="3" s="1"/>
  <c r="AG232" i="3"/>
  <c r="AG231" i="3" s="1"/>
  <c r="AG230" i="3" s="1"/>
  <c r="AG202" i="3"/>
  <c r="AG201" i="3" s="1"/>
  <c r="AG200" i="3" s="1"/>
  <c r="AG167" i="3"/>
  <c r="AG166" i="3" s="1"/>
  <c r="AG142" i="3"/>
  <c r="AG141" i="3" s="1"/>
  <c r="AG66" i="3"/>
  <c r="AG65" i="3" s="1"/>
  <c r="AG117" i="3"/>
  <c r="AG116" i="3" s="1"/>
  <c r="E29" i="1"/>
  <c r="F70" i="5"/>
  <c r="I30" i="1"/>
  <c r="G71" i="5"/>
  <c r="G33" i="1"/>
  <c r="AC2" i="4"/>
  <c r="H33" i="1" s="1"/>
  <c r="E75" i="5" s="1"/>
  <c r="AD111" i="4"/>
  <c r="AD110" i="4" s="1"/>
  <c r="AE202" i="4"/>
  <c r="AE201" i="4" s="1"/>
  <c r="AE200" i="4" s="1"/>
  <c r="AE142" i="4"/>
  <c r="AE141" i="4" s="1"/>
  <c r="AE137" i="4" s="1"/>
  <c r="AE66" i="4"/>
  <c r="AE65" i="4" s="1"/>
  <c r="AE3" i="4" s="1"/>
  <c r="F35" i="1" s="1"/>
  <c r="C77" i="5" s="1"/>
  <c r="AE232" i="4"/>
  <c r="AE231" i="4" s="1"/>
  <c r="AE230" i="4" s="1"/>
  <c r="AE167" i="4"/>
  <c r="AE166" i="4" s="1"/>
  <c r="AE162" i="4" s="1"/>
  <c r="AE249" i="4"/>
  <c r="AE248" i="4" s="1"/>
  <c r="AE247" i="4" s="1"/>
  <c r="AE117" i="4"/>
  <c r="AE116" i="4" s="1"/>
  <c r="AE112" i="4" s="1"/>
  <c r="AF67" i="4"/>
  <c r="AG73" i="4"/>
  <c r="AE111" i="3"/>
  <c r="AE110" i="3" s="1"/>
  <c r="C34" i="1"/>
  <c r="AD2" i="3"/>
  <c r="D34" i="1" s="1"/>
  <c r="D76" i="5" s="1"/>
  <c r="AH16" i="4"/>
  <c r="AG6" i="4"/>
  <c r="AF5" i="4"/>
  <c r="AF4" i="4" s="1"/>
  <c r="AF114" i="4"/>
  <c r="AF113" i="4" s="1"/>
  <c r="AF139" i="4"/>
  <c r="AF138" i="4" s="1"/>
  <c r="AF164" i="4"/>
  <c r="AF163" i="4" s="1"/>
  <c r="AF189" i="4"/>
  <c r="AF188" i="4" s="1"/>
  <c r="AF187" i="4" s="1"/>
  <c r="AF215" i="4"/>
  <c r="AF214" i="4" s="1"/>
  <c r="AF213" i="4" s="1"/>
  <c r="AH16" i="3"/>
  <c r="AG6" i="3"/>
  <c r="AF189" i="3"/>
  <c r="AF188" i="3" s="1"/>
  <c r="AF187" i="3" s="1"/>
  <c r="AF215" i="3"/>
  <c r="AF214" i="3" s="1"/>
  <c r="AF213" i="3" s="1"/>
  <c r="AF5" i="3"/>
  <c r="AF4" i="3" s="1"/>
  <c r="AF3" i="3" s="1"/>
  <c r="AF114" i="3"/>
  <c r="AF113" i="3" s="1"/>
  <c r="AF112" i="3" s="1"/>
  <c r="AF139" i="3"/>
  <c r="AF138" i="3" s="1"/>
  <c r="AF137" i="3" s="1"/>
  <c r="AF164" i="3"/>
  <c r="AF163" i="3" s="1"/>
  <c r="AF162" i="3" s="1"/>
  <c r="B35" i="1"/>
  <c r="B77" i="5" s="1"/>
  <c r="AJ73" i="3" l="1"/>
  <c r="AI67" i="3"/>
  <c r="AH232" i="3"/>
  <c r="AH231" i="3" s="1"/>
  <c r="AH230" i="3" s="1"/>
  <c r="AH202" i="3"/>
  <c r="AH201" i="3" s="1"/>
  <c r="AH200" i="3" s="1"/>
  <c r="AH167" i="3"/>
  <c r="AH166" i="3" s="1"/>
  <c r="AH142" i="3"/>
  <c r="AH141" i="3" s="1"/>
  <c r="AH117" i="3"/>
  <c r="AH116" i="3" s="1"/>
  <c r="AH66" i="3"/>
  <c r="AH65" i="3" s="1"/>
  <c r="AH249" i="3"/>
  <c r="AH248" i="3" s="1"/>
  <c r="AH247" i="3" s="1"/>
  <c r="E30" i="1"/>
  <c r="F71" i="5"/>
  <c r="I31" i="1"/>
  <c r="G72" i="5"/>
  <c r="AE111" i="4"/>
  <c r="AE110" i="4" s="1"/>
  <c r="AD2" i="4"/>
  <c r="H34" i="1" s="1"/>
  <c r="E76" i="5" s="1"/>
  <c r="G34" i="1"/>
  <c r="C35" i="1"/>
  <c r="AE2" i="3"/>
  <c r="AF167" i="4"/>
  <c r="AF166" i="4" s="1"/>
  <c r="AF162" i="4" s="1"/>
  <c r="AF117" i="4"/>
  <c r="AF116" i="4" s="1"/>
  <c r="AF112" i="4" s="1"/>
  <c r="AF249" i="4"/>
  <c r="AF248" i="4" s="1"/>
  <c r="AF247" i="4" s="1"/>
  <c r="AF142" i="4"/>
  <c r="AF141" i="4" s="1"/>
  <c r="AF137" i="4" s="1"/>
  <c r="AF202" i="4"/>
  <c r="AF201" i="4" s="1"/>
  <c r="AF200" i="4" s="1"/>
  <c r="AF66" i="4"/>
  <c r="AF65" i="4" s="1"/>
  <c r="AF3" i="4" s="1"/>
  <c r="F36" i="1" s="1"/>
  <c r="C78" i="5" s="1"/>
  <c r="AF232" i="4"/>
  <c r="AF231" i="4" s="1"/>
  <c r="AF230" i="4" s="1"/>
  <c r="AG67" i="4"/>
  <c r="AH73" i="4"/>
  <c r="AI16" i="4"/>
  <c r="AH6" i="4"/>
  <c r="AG189" i="4"/>
  <c r="AG188" i="4" s="1"/>
  <c r="AG187" i="4" s="1"/>
  <c r="AG215" i="4"/>
  <c r="AG214" i="4" s="1"/>
  <c r="AG213" i="4" s="1"/>
  <c r="AG5" i="4"/>
  <c r="AG4" i="4" s="1"/>
  <c r="AG114" i="4"/>
  <c r="AG113" i="4" s="1"/>
  <c r="AG139" i="4"/>
  <c r="AG138" i="4" s="1"/>
  <c r="AG164" i="4"/>
  <c r="AG163" i="4" s="1"/>
  <c r="AI16" i="3"/>
  <c r="AH6" i="3"/>
  <c r="AG114" i="3"/>
  <c r="AG113" i="3" s="1"/>
  <c r="AG112" i="3" s="1"/>
  <c r="AG139" i="3"/>
  <c r="AG138" i="3" s="1"/>
  <c r="AG137" i="3" s="1"/>
  <c r="AG164" i="3"/>
  <c r="AG163" i="3" s="1"/>
  <c r="AG162" i="3" s="1"/>
  <c r="AG189" i="3"/>
  <c r="AG188" i="3" s="1"/>
  <c r="AG187" i="3" s="1"/>
  <c r="AG215" i="3"/>
  <c r="AG214" i="3" s="1"/>
  <c r="AG213" i="3" s="1"/>
  <c r="AG5" i="3"/>
  <c r="AG4" i="3" s="1"/>
  <c r="AG3" i="3" s="1"/>
  <c r="B36" i="1"/>
  <c r="B78" i="5" s="1"/>
  <c r="AF111" i="3"/>
  <c r="AF110" i="3" s="1"/>
  <c r="AK73" i="3" l="1"/>
  <c r="AJ67" i="3"/>
  <c r="AI249" i="3"/>
  <c r="AI248" i="3" s="1"/>
  <c r="AI247" i="3" s="1"/>
  <c r="AI232" i="3"/>
  <c r="AI231" i="3" s="1"/>
  <c r="AI230" i="3" s="1"/>
  <c r="AI202" i="3"/>
  <c r="AI201" i="3" s="1"/>
  <c r="AI200" i="3" s="1"/>
  <c r="AI66" i="3"/>
  <c r="AI65" i="3" s="1"/>
  <c r="AI167" i="3"/>
  <c r="AI166" i="3" s="1"/>
  <c r="AI142" i="3"/>
  <c r="AI141" i="3" s="1"/>
  <c r="AI117" i="3"/>
  <c r="AI116" i="3" s="1"/>
  <c r="E31" i="1"/>
  <c r="F72" i="5"/>
  <c r="I32" i="1"/>
  <c r="G73" i="5"/>
  <c r="AF111" i="4"/>
  <c r="AF110" i="4" s="1"/>
  <c r="D35" i="1"/>
  <c r="B7" i="1"/>
  <c r="G35" i="1"/>
  <c r="AE2" i="4"/>
  <c r="AG66" i="4"/>
  <c r="AG65" i="4" s="1"/>
  <c r="AG3" i="4" s="1"/>
  <c r="F37" i="1" s="1"/>
  <c r="C79" i="5" s="1"/>
  <c r="AG142" i="4"/>
  <c r="AG141" i="4" s="1"/>
  <c r="AG137" i="4" s="1"/>
  <c r="AG232" i="4"/>
  <c r="AG231" i="4" s="1"/>
  <c r="AG230" i="4" s="1"/>
  <c r="AG167" i="4"/>
  <c r="AG166" i="4" s="1"/>
  <c r="AG162" i="4" s="1"/>
  <c r="AG249" i="4"/>
  <c r="AG248" i="4" s="1"/>
  <c r="AG247" i="4" s="1"/>
  <c r="AG202" i="4"/>
  <c r="AG201" i="4" s="1"/>
  <c r="AG200" i="4" s="1"/>
  <c r="AG117" i="4"/>
  <c r="AG116" i="4" s="1"/>
  <c r="AG112" i="4" s="1"/>
  <c r="AH67" i="4"/>
  <c r="AI73" i="4"/>
  <c r="AJ16" i="4"/>
  <c r="AI6" i="4"/>
  <c r="AH5" i="4"/>
  <c r="AH4" i="4" s="1"/>
  <c r="AH114" i="4"/>
  <c r="AH113" i="4" s="1"/>
  <c r="AH139" i="4"/>
  <c r="AH138" i="4" s="1"/>
  <c r="AH164" i="4"/>
  <c r="AH163" i="4" s="1"/>
  <c r="AH189" i="4"/>
  <c r="AH188" i="4" s="1"/>
  <c r="AH187" i="4" s="1"/>
  <c r="AH215" i="4"/>
  <c r="AH214" i="4" s="1"/>
  <c r="AH213" i="4" s="1"/>
  <c r="AJ16" i="3"/>
  <c r="AI6" i="3"/>
  <c r="AH114" i="3"/>
  <c r="AH113" i="3" s="1"/>
  <c r="AH112" i="3" s="1"/>
  <c r="AH139" i="3"/>
  <c r="AH138" i="3" s="1"/>
  <c r="AH137" i="3" s="1"/>
  <c r="AH164" i="3"/>
  <c r="AH163" i="3" s="1"/>
  <c r="AH162" i="3" s="1"/>
  <c r="AH189" i="3"/>
  <c r="AH188" i="3" s="1"/>
  <c r="AH187" i="3" s="1"/>
  <c r="AH215" i="3"/>
  <c r="AH214" i="3" s="1"/>
  <c r="AH213" i="3" s="1"/>
  <c r="AH5" i="3"/>
  <c r="AH4" i="3" s="1"/>
  <c r="AH3" i="3" s="1"/>
  <c r="B37" i="1"/>
  <c r="B79" i="5" s="1"/>
  <c r="AG111" i="3"/>
  <c r="AG110" i="3" s="1"/>
  <c r="C36" i="1"/>
  <c r="AF2" i="3"/>
  <c r="D36" i="1" s="1"/>
  <c r="D78" i="5" s="1"/>
  <c r="AL73" i="3" l="1"/>
  <c r="AK67" i="3"/>
  <c r="AJ117" i="3"/>
  <c r="AJ116" i="3" s="1"/>
  <c r="AJ167" i="3"/>
  <c r="AJ166" i="3" s="1"/>
  <c r="AJ232" i="3"/>
  <c r="AJ231" i="3" s="1"/>
  <c r="AJ230" i="3" s="1"/>
  <c r="AJ249" i="3"/>
  <c r="AJ248" i="3" s="1"/>
  <c r="AJ247" i="3" s="1"/>
  <c r="AJ66" i="3"/>
  <c r="AJ65" i="3" s="1"/>
  <c r="AJ142" i="3"/>
  <c r="AJ141" i="3" s="1"/>
  <c r="AJ202" i="3"/>
  <c r="AJ201" i="3" s="1"/>
  <c r="AJ200" i="3" s="1"/>
  <c r="E32" i="1"/>
  <c r="F73" i="5"/>
  <c r="I33" i="1"/>
  <c r="G74" i="5"/>
  <c r="D77" i="5"/>
  <c r="G36" i="1"/>
  <c r="AF2" i="4"/>
  <c r="H36" i="1" s="1"/>
  <c r="E78" i="5" s="1"/>
  <c r="C7" i="1"/>
  <c r="H35" i="1"/>
  <c r="E77" i="5" s="1"/>
  <c r="AG111" i="4"/>
  <c r="AG110" i="4" s="1"/>
  <c r="AH232" i="4"/>
  <c r="AH231" i="4" s="1"/>
  <c r="AH230" i="4" s="1"/>
  <c r="AH66" i="4"/>
  <c r="AH65" i="4" s="1"/>
  <c r="AH3" i="4" s="1"/>
  <c r="F38" i="1" s="1"/>
  <c r="C80" i="5" s="1"/>
  <c r="AH249" i="4"/>
  <c r="AH248" i="4" s="1"/>
  <c r="AH247" i="4" s="1"/>
  <c r="AH142" i="4"/>
  <c r="AH141" i="4" s="1"/>
  <c r="AH137" i="4" s="1"/>
  <c r="AH202" i="4"/>
  <c r="AH201" i="4" s="1"/>
  <c r="AH200" i="4" s="1"/>
  <c r="AH167" i="4"/>
  <c r="AH166" i="4" s="1"/>
  <c r="AH162" i="4" s="1"/>
  <c r="AH117" i="4"/>
  <c r="AH116" i="4" s="1"/>
  <c r="AH112" i="4" s="1"/>
  <c r="AI67" i="4"/>
  <c r="AJ73" i="4"/>
  <c r="AH111" i="3"/>
  <c r="AH110" i="3" s="1"/>
  <c r="AK16" i="4"/>
  <c r="AJ6" i="4"/>
  <c r="AI139" i="4"/>
  <c r="AI138" i="4" s="1"/>
  <c r="AI164" i="4"/>
  <c r="AI163" i="4" s="1"/>
  <c r="AI189" i="4"/>
  <c r="AI188" i="4" s="1"/>
  <c r="AI187" i="4" s="1"/>
  <c r="AI215" i="4"/>
  <c r="AI214" i="4" s="1"/>
  <c r="AI213" i="4" s="1"/>
  <c r="AI5" i="4"/>
  <c r="AI4" i="4" s="1"/>
  <c r="AI114" i="4"/>
  <c r="AI113" i="4" s="1"/>
  <c r="AK16" i="3"/>
  <c r="AJ6" i="3"/>
  <c r="AI114" i="3"/>
  <c r="AI113" i="3" s="1"/>
  <c r="AI112" i="3" s="1"/>
  <c r="AI139" i="3"/>
  <c r="AI138" i="3" s="1"/>
  <c r="AI137" i="3" s="1"/>
  <c r="AI164" i="3"/>
  <c r="AI163" i="3" s="1"/>
  <c r="AI162" i="3" s="1"/>
  <c r="AI189" i="3"/>
  <c r="AI188" i="3" s="1"/>
  <c r="AI187" i="3" s="1"/>
  <c r="AI215" i="3"/>
  <c r="AI214" i="3" s="1"/>
  <c r="AI213" i="3" s="1"/>
  <c r="AI5" i="3"/>
  <c r="AI4" i="3" s="1"/>
  <c r="AI3" i="3" s="1"/>
  <c r="B38" i="1"/>
  <c r="B80" i="5" s="1"/>
  <c r="C37" i="1"/>
  <c r="AG2" i="3"/>
  <c r="D37" i="1" s="1"/>
  <c r="D79" i="5" s="1"/>
  <c r="AL67" i="3" l="1"/>
  <c r="AM73" i="3"/>
  <c r="AK117" i="3"/>
  <c r="AK116" i="3" s="1"/>
  <c r="AK66" i="3"/>
  <c r="AK65" i="3" s="1"/>
  <c r="AK167" i="3"/>
  <c r="AK166" i="3" s="1"/>
  <c r="AK202" i="3"/>
  <c r="AK201" i="3" s="1"/>
  <c r="AK200" i="3" s="1"/>
  <c r="AK232" i="3"/>
  <c r="AK231" i="3" s="1"/>
  <c r="AK230" i="3" s="1"/>
  <c r="AK249" i="3"/>
  <c r="AK248" i="3" s="1"/>
  <c r="AK247" i="3" s="1"/>
  <c r="AK142" i="3"/>
  <c r="AK141" i="3" s="1"/>
  <c r="E33" i="1"/>
  <c r="F74" i="5"/>
  <c r="I34" i="1"/>
  <c r="G75" i="5"/>
  <c r="AH111" i="4"/>
  <c r="AH110" i="4" s="1"/>
  <c r="G37" i="1"/>
  <c r="AG2" i="4"/>
  <c r="H37" i="1" s="1"/>
  <c r="E79" i="5" s="1"/>
  <c r="C38" i="1"/>
  <c r="AH2" i="3"/>
  <c r="D38" i="1" s="1"/>
  <c r="D80" i="5" s="1"/>
  <c r="AI66" i="4"/>
  <c r="AI65" i="4" s="1"/>
  <c r="AI3" i="4" s="1"/>
  <c r="F39" i="1" s="1"/>
  <c r="C81" i="5" s="1"/>
  <c r="AI167" i="4"/>
  <c r="AI166" i="4" s="1"/>
  <c r="AI162" i="4" s="1"/>
  <c r="AI117" i="4"/>
  <c r="AI116" i="4" s="1"/>
  <c r="AI112" i="4" s="1"/>
  <c r="AI232" i="4"/>
  <c r="AI231" i="4" s="1"/>
  <c r="AI230" i="4" s="1"/>
  <c r="AI249" i="4"/>
  <c r="AI248" i="4" s="1"/>
  <c r="AI247" i="4" s="1"/>
  <c r="AI202" i="4"/>
  <c r="AI201" i="4" s="1"/>
  <c r="AI200" i="4" s="1"/>
  <c r="AI142" i="4"/>
  <c r="AI141" i="4" s="1"/>
  <c r="AI137" i="4" s="1"/>
  <c r="AJ67" i="4"/>
  <c r="AK73" i="4"/>
  <c r="AI111" i="3"/>
  <c r="AI110" i="3" s="1"/>
  <c r="AL16" i="4"/>
  <c r="AK6" i="4"/>
  <c r="AJ114" i="4"/>
  <c r="AJ113" i="4" s="1"/>
  <c r="AJ139" i="4"/>
  <c r="AJ138" i="4" s="1"/>
  <c r="AJ164" i="4"/>
  <c r="AJ163" i="4" s="1"/>
  <c r="AJ189" i="4"/>
  <c r="AJ188" i="4" s="1"/>
  <c r="AJ187" i="4" s="1"/>
  <c r="AJ215" i="4"/>
  <c r="AJ214" i="4" s="1"/>
  <c r="AJ213" i="4" s="1"/>
  <c r="AJ5" i="4"/>
  <c r="AJ4" i="4" s="1"/>
  <c r="AL16" i="3"/>
  <c r="AK6" i="3"/>
  <c r="AJ114" i="3"/>
  <c r="AJ113" i="3" s="1"/>
  <c r="AJ112" i="3" s="1"/>
  <c r="AJ139" i="3"/>
  <c r="AJ138" i="3" s="1"/>
  <c r="AJ137" i="3" s="1"/>
  <c r="AJ164" i="3"/>
  <c r="AJ163" i="3" s="1"/>
  <c r="AJ162" i="3" s="1"/>
  <c r="AJ189" i="3"/>
  <c r="AJ188" i="3" s="1"/>
  <c r="AJ187" i="3" s="1"/>
  <c r="AJ215" i="3"/>
  <c r="AJ214" i="3" s="1"/>
  <c r="AJ213" i="3" s="1"/>
  <c r="AJ5" i="3"/>
  <c r="AJ4" i="3" s="1"/>
  <c r="AJ3" i="3" s="1"/>
  <c r="B39" i="1"/>
  <c r="B81" i="5" s="1"/>
  <c r="AL167" i="3" l="1"/>
  <c r="AL166" i="3" s="1"/>
  <c r="AL66" i="3"/>
  <c r="AL65" i="3" s="1"/>
  <c r="AL202" i="3"/>
  <c r="AL201" i="3" s="1"/>
  <c r="AL200" i="3" s="1"/>
  <c r="AL232" i="3"/>
  <c r="AL231" i="3" s="1"/>
  <c r="AL230" i="3" s="1"/>
  <c r="AL249" i="3"/>
  <c r="AL248" i="3" s="1"/>
  <c r="AL247" i="3" s="1"/>
  <c r="AL142" i="3"/>
  <c r="AL141" i="3" s="1"/>
  <c r="AL117" i="3"/>
  <c r="AL116" i="3" s="1"/>
  <c r="AM67" i="3"/>
  <c r="AN73" i="3"/>
  <c r="E34" i="1"/>
  <c r="F75" i="5"/>
  <c r="I35" i="1"/>
  <c r="G76" i="5"/>
  <c r="AI111" i="4"/>
  <c r="AI110" i="4" s="1"/>
  <c r="G38" i="1"/>
  <c r="AH2" i="4"/>
  <c r="H38" i="1" s="1"/>
  <c r="E80" i="5" s="1"/>
  <c r="AJ232" i="4"/>
  <c r="AJ231" i="4" s="1"/>
  <c r="AJ230" i="4" s="1"/>
  <c r="AJ167" i="4"/>
  <c r="AJ166" i="4" s="1"/>
  <c r="AJ162" i="4" s="1"/>
  <c r="AJ117" i="4"/>
  <c r="AJ116" i="4" s="1"/>
  <c r="AJ112" i="4" s="1"/>
  <c r="AJ249" i="4"/>
  <c r="AJ248" i="4" s="1"/>
  <c r="AJ247" i="4" s="1"/>
  <c r="AJ202" i="4"/>
  <c r="AJ201" i="4" s="1"/>
  <c r="AJ200" i="4" s="1"/>
  <c r="AJ66" i="4"/>
  <c r="AJ65" i="4" s="1"/>
  <c r="AJ3" i="4" s="1"/>
  <c r="F40" i="1" s="1"/>
  <c r="C82" i="5" s="1"/>
  <c r="AJ142" i="4"/>
  <c r="AJ141" i="4" s="1"/>
  <c r="AJ137" i="4" s="1"/>
  <c r="AK67" i="4"/>
  <c r="AL73" i="4"/>
  <c r="C39" i="1"/>
  <c r="AI2" i="3"/>
  <c r="D39" i="1" s="1"/>
  <c r="D81" i="5" s="1"/>
  <c r="AM16" i="4"/>
  <c r="AL6" i="4"/>
  <c r="AK114" i="4"/>
  <c r="AK113" i="4" s="1"/>
  <c r="AK139" i="4"/>
  <c r="AK138" i="4" s="1"/>
  <c r="AK164" i="4"/>
  <c r="AK163" i="4" s="1"/>
  <c r="AK189" i="4"/>
  <c r="AK188" i="4" s="1"/>
  <c r="AK187" i="4" s="1"/>
  <c r="AK215" i="4"/>
  <c r="AK214" i="4" s="1"/>
  <c r="AK213" i="4" s="1"/>
  <c r="AK5" i="4"/>
  <c r="AK4" i="4" s="1"/>
  <c r="AM16" i="3"/>
  <c r="AL6" i="3"/>
  <c r="AK189" i="3"/>
  <c r="AK188" i="3" s="1"/>
  <c r="AK187" i="3" s="1"/>
  <c r="AK215" i="3"/>
  <c r="AK214" i="3" s="1"/>
  <c r="AK213" i="3" s="1"/>
  <c r="AK114" i="3"/>
  <c r="AK113" i="3" s="1"/>
  <c r="AK112" i="3" s="1"/>
  <c r="AK139" i="3"/>
  <c r="AK138" i="3" s="1"/>
  <c r="AK137" i="3" s="1"/>
  <c r="AK164" i="3"/>
  <c r="AK163" i="3" s="1"/>
  <c r="AK162" i="3" s="1"/>
  <c r="AK5" i="3"/>
  <c r="AK4" i="3" s="1"/>
  <c r="AK3" i="3" s="1"/>
  <c r="B40" i="1"/>
  <c r="B82" i="5" s="1"/>
  <c r="AJ111" i="3"/>
  <c r="AJ110" i="3" s="1"/>
  <c r="AM117" i="3" l="1"/>
  <c r="AM116" i="3" s="1"/>
  <c r="AM142" i="3"/>
  <c r="AM141" i="3" s="1"/>
  <c r="AM167" i="3"/>
  <c r="AM166" i="3" s="1"/>
  <c r="AM202" i="3"/>
  <c r="AM201" i="3" s="1"/>
  <c r="AM200" i="3" s="1"/>
  <c r="AM232" i="3"/>
  <c r="AM231" i="3" s="1"/>
  <c r="AM230" i="3" s="1"/>
  <c r="AM66" i="3"/>
  <c r="AM65" i="3" s="1"/>
  <c r="AM249" i="3"/>
  <c r="AM248" i="3" s="1"/>
  <c r="AM247" i="3" s="1"/>
  <c r="AN67" i="3"/>
  <c r="AO73" i="3"/>
  <c r="E35" i="1"/>
  <c r="F76" i="5"/>
  <c r="I36" i="1"/>
  <c r="G77" i="5"/>
  <c r="AI2" i="4"/>
  <c r="H39" i="1" s="1"/>
  <c r="E81" i="5" s="1"/>
  <c r="G39" i="1"/>
  <c r="AJ111" i="4"/>
  <c r="AJ110" i="4" s="1"/>
  <c r="AK202" i="4"/>
  <c r="AK201" i="4" s="1"/>
  <c r="AK200" i="4" s="1"/>
  <c r="AK142" i="4"/>
  <c r="AK141" i="4" s="1"/>
  <c r="AK137" i="4" s="1"/>
  <c r="AK66" i="4"/>
  <c r="AK65" i="4" s="1"/>
  <c r="AK3" i="4" s="1"/>
  <c r="F41" i="1" s="1"/>
  <c r="C83" i="5" s="1"/>
  <c r="AK167" i="4"/>
  <c r="AK166" i="4" s="1"/>
  <c r="AK162" i="4" s="1"/>
  <c r="AK232" i="4"/>
  <c r="AK231" i="4" s="1"/>
  <c r="AK230" i="4" s="1"/>
  <c r="AK117" i="4"/>
  <c r="AK116" i="4" s="1"/>
  <c r="AK112" i="4" s="1"/>
  <c r="AK249" i="4"/>
  <c r="AK248" i="4" s="1"/>
  <c r="AK247" i="4" s="1"/>
  <c r="AL67" i="4"/>
  <c r="AM73" i="4"/>
  <c r="C40" i="1"/>
  <c r="AJ2" i="3"/>
  <c r="D40" i="1" s="1"/>
  <c r="D82" i="5" s="1"/>
  <c r="AN16" i="4"/>
  <c r="AM6" i="4"/>
  <c r="AL139" i="4"/>
  <c r="AL138" i="4" s="1"/>
  <c r="AL164" i="4"/>
  <c r="AL163" i="4" s="1"/>
  <c r="AL189" i="4"/>
  <c r="AL188" i="4" s="1"/>
  <c r="AL187" i="4" s="1"/>
  <c r="AL215" i="4"/>
  <c r="AL214" i="4" s="1"/>
  <c r="AL213" i="4" s="1"/>
  <c r="AL5" i="4"/>
  <c r="AL4" i="4" s="1"/>
  <c r="AL114" i="4"/>
  <c r="AL113" i="4" s="1"/>
  <c r="AN16" i="3"/>
  <c r="AM6" i="3"/>
  <c r="AL114" i="3"/>
  <c r="AL113" i="3" s="1"/>
  <c r="AL112" i="3" s="1"/>
  <c r="AL139" i="3"/>
  <c r="AL138" i="3" s="1"/>
  <c r="AL137" i="3" s="1"/>
  <c r="AL164" i="3"/>
  <c r="AL163" i="3" s="1"/>
  <c r="AL162" i="3" s="1"/>
  <c r="AL189" i="3"/>
  <c r="AL188" i="3" s="1"/>
  <c r="AL187" i="3" s="1"/>
  <c r="AL215" i="3"/>
  <c r="AL214" i="3" s="1"/>
  <c r="AL213" i="3" s="1"/>
  <c r="AL5" i="3"/>
  <c r="AL4" i="3" s="1"/>
  <c r="AL3" i="3" s="1"/>
  <c r="B41" i="1"/>
  <c r="B83" i="5" s="1"/>
  <c r="AK111" i="3"/>
  <c r="AK110" i="3" s="1"/>
  <c r="AN232" i="3" l="1"/>
  <c r="AN231" i="3" s="1"/>
  <c r="AN230" i="3" s="1"/>
  <c r="AN142" i="3"/>
  <c r="AN141" i="3" s="1"/>
  <c r="AN66" i="3"/>
  <c r="AN65" i="3" s="1"/>
  <c r="AN117" i="3"/>
  <c r="AN116" i="3" s="1"/>
  <c r="AN202" i="3"/>
  <c r="AN201" i="3" s="1"/>
  <c r="AN200" i="3" s="1"/>
  <c r="AN249" i="3"/>
  <c r="AN248" i="3" s="1"/>
  <c r="AN247" i="3" s="1"/>
  <c r="AN167" i="3"/>
  <c r="AN166" i="3" s="1"/>
  <c r="AP73" i="3"/>
  <c r="AO67" i="3"/>
  <c r="F77" i="5"/>
  <c r="E36" i="1"/>
  <c r="G78" i="5"/>
  <c r="I37" i="1"/>
  <c r="AK111" i="4"/>
  <c r="AK110" i="4" s="1"/>
  <c r="G40" i="1"/>
  <c r="AJ2" i="4"/>
  <c r="H40" i="1" s="1"/>
  <c r="E82" i="5" s="1"/>
  <c r="AL232" i="4"/>
  <c r="AL231" i="4" s="1"/>
  <c r="AL230" i="4" s="1"/>
  <c r="AL167" i="4"/>
  <c r="AL166" i="4" s="1"/>
  <c r="AL162" i="4" s="1"/>
  <c r="AL117" i="4"/>
  <c r="AL116" i="4" s="1"/>
  <c r="AL112" i="4" s="1"/>
  <c r="AL249" i="4"/>
  <c r="AL248" i="4" s="1"/>
  <c r="AL247" i="4" s="1"/>
  <c r="AL142" i="4"/>
  <c r="AL141" i="4" s="1"/>
  <c r="AL137" i="4" s="1"/>
  <c r="AL202" i="4"/>
  <c r="AL201" i="4" s="1"/>
  <c r="AL200" i="4" s="1"/>
  <c r="AL66" i="4"/>
  <c r="AL65" i="4" s="1"/>
  <c r="AL3" i="4" s="1"/>
  <c r="AM67" i="4"/>
  <c r="AN73" i="4"/>
  <c r="C41" i="1"/>
  <c r="AK2" i="3"/>
  <c r="D41" i="1" s="1"/>
  <c r="D83" i="5" s="1"/>
  <c r="AO16" i="4"/>
  <c r="AN6" i="4"/>
  <c r="AM5" i="4"/>
  <c r="AM4" i="4" s="1"/>
  <c r="AM114" i="4"/>
  <c r="AM113" i="4" s="1"/>
  <c r="AM139" i="4"/>
  <c r="AM138" i="4" s="1"/>
  <c r="AM164" i="4"/>
  <c r="AM163" i="4" s="1"/>
  <c r="AM189" i="4"/>
  <c r="AM188" i="4" s="1"/>
  <c r="AM187" i="4" s="1"/>
  <c r="AM215" i="4"/>
  <c r="AM214" i="4" s="1"/>
  <c r="AM213" i="4" s="1"/>
  <c r="AO16" i="3"/>
  <c r="AN6" i="3"/>
  <c r="AM114" i="3"/>
  <c r="AM113" i="3" s="1"/>
  <c r="AM112" i="3" s="1"/>
  <c r="AM139" i="3"/>
  <c r="AM138" i="3" s="1"/>
  <c r="AM137" i="3" s="1"/>
  <c r="AM164" i="3"/>
  <c r="AM163" i="3" s="1"/>
  <c r="AM162" i="3" s="1"/>
  <c r="AM189" i="3"/>
  <c r="AM188" i="3" s="1"/>
  <c r="AM187" i="3" s="1"/>
  <c r="AM215" i="3"/>
  <c r="AM214" i="3" s="1"/>
  <c r="AM213" i="3" s="1"/>
  <c r="AM5" i="3"/>
  <c r="AM4" i="3" s="1"/>
  <c r="AM3" i="3" s="1"/>
  <c r="B42" i="1"/>
  <c r="B84" i="5" s="1"/>
  <c r="AL111" i="3"/>
  <c r="AL110" i="3" s="1"/>
  <c r="AQ73" i="3" l="1"/>
  <c r="AQ67" i="3" s="1"/>
  <c r="AP67" i="3"/>
  <c r="AO117" i="3"/>
  <c r="AO116" i="3" s="1"/>
  <c r="AO202" i="3"/>
  <c r="AO201" i="3" s="1"/>
  <c r="AO200" i="3" s="1"/>
  <c r="AO232" i="3"/>
  <c r="AO231" i="3" s="1"/>
  <c r="AO230" i="3" s="1"/>
  <c r="AO142" i="3"/>
  <c r="AO141" i="3" s="1"/>
  <c r="AO249" i="3"/>
  <c r="AO248" i="3" s="1"/>
  <c r="AO247" i="3" s="1"/>
  <c r="AO66" i="3"/>
  <c r="AO65" i="3" s="1"/>
  <c r="AO167" i="3"/>
  <c r="AO166" i="3" s="1"/>
  <c r="E37" i="1"/>
  <c r="F78" i="5"/>
  <c r="I38" i="1"/>
  <c r="G79" i="5"/>
  <c r="G41" i="1"/>
  <c r="AK2" i="4"/>
  <c r="H41" i="1" s="1"/>
  <c r="E83" i="5" s="1"/>
  <c r="AL111" i="4"/>
  <c r="AL110" i="4" s="1"/>
  <c r="AM232" i="4"/>
  <c r="AM231" i="4" s="1"/>
  <c r="AM230" i="4" s="1"/>
  <c r="AM66" i="4"/>
  <c r="AM65" i="4" s="1"/>
  <c r="AM3" i="4" s="1"/>
  <c r="AM117" i="4"/>
  <c r="AM116" i="4" s="1"/>
  <c r="AM112" i="4" s="1"/>
  <c r="AM249" i="4"/>
  <c r="AM248" i="4" s="1"/>
  <c r="AM247" i="4" s="1"/>
  <c r="AM202" i="4"/>
  <c r="AM201" i="4" s="1"/>
  <c r="AM200" i="4" s="1"/>
  <c r="AM167" i="4"/>
  <c r="AM166" i="4" s="1"/>
  <c r="AM162" i="4" s="1"/>
  <c r="AM142" i="4"/>
  <c r="AM141" i="4" s="1"/>
  <c r="AM137" i="4" s="1"/>
  <c r="AN67" i="4"/>
  <c r="AO73" i="4"/>
  <c r="F42" i="1"/>
  <c r="C84" i="5" s="1"/>
  <c r="AP16" i="4"/>
  <c r="AO6" i="4"/>
  <c r="AN114" i="4"/>
  <c r="AN113" i="4" s="1"/>
  <c r="AN139" i="4"/>
  <c r="AN138" i="4" s="1"/>
  <c r="AN164" i="4"/>
  <c r="AN163" i="4" s="1"/>
  <c r="AN5" i="4"/>
  <c r="AN4" i="4" s="1"/>
  <c r="AN189" i="4"/>
  <c r="AN188" i="4" s="1"/>
  <c r="AN187" i="4" s="1"/>
  <c r="AN215" i="4"/>
  <c r="AN214" i="4" s="1"/>
  <c r="AN213" i="4" s="1"/>
  <c r="AP16" i="3"/>
  <c r="AO6" i="3"/>
  <c r="AN114" i="3"/>
  <c r="AN113" i="3" s="1"/>
  <c r="AN112" i="3" s="1"/>
  <c r="AN139" i="3"/>
  <c r="AN138" i="3" s="1"/>
  <c r="AN137" i="3" s="1"/>
  <c r="AN164" i="3"/>
  <c r="AN163" i="3" s="1"/>
  <c r="AN162" i="3" s="1"/>
  <c r="AN5" i="3"/>
  <c r="AN4" i="3" s="1"/>
  <c r="AN3" i="3" s="1"/>
  <c r="AN189" i="3"/>
  <c r="AN188" i="3" s="1"/>
  <c r="AN187" i="3" s="1"/>
  <c r="AN215" i="3"/>
  <c r="AN214" i="3" s="1"/>
  <c r="AN213" i="3" s="1"/>
  <c r="B43" i="1"/>
  <c r="B85" i="5" s="1"/>
  <c r="AM111" i="3"/>
  <c r="AM110" i="3" s="1"/>
  <c r="C42" i="1"/>
  <c r="AL2" i="3"/>
  <c r="D42" i="1" s="1"/>
  <c r="D84" i="5" s="1"/>
  <c r="AQ202" i="3" l="1"/>
  <c r="AQ201" i="3" s="1"/>
  <c r="AQ200" i="3" s="1"/>
  <c r="AQ232" i="3"/>
  <c r="AQ231" i="3" s="1"/>
  <c r="AQ230" i="3" s="1"/>
  <c r="AQ249" i="3"/>
  <c r="AQ248" i="3" s="1"/>
  <c r="AQ247" i="3" s="1"/>
  <c r="AQ117" i="3"/>
  <c r="AQ116" i="3" s="1"/>
  <c r="AQ142" i="3"/>
  <c r="AQ141" i="3" s="1"/>
  <c r="AQ167" i="3"/>
  <c r="AQ166" i="3" s="1"/>
  <c r="AQ66" i="3"/>
  <c r="AQ65" i="3" s="1"/>
  <c r="AP117" i="3"/>
  <c r="AP116" i="3" s="1"/>
  <c r="AP249" i="3"/>
  <c r="AP248" i="3" s="1"/>
  <c r="AP247" i="3" s="1"/>
  <c r="AP66" i="3"/>
  <c r="AP65" i="3" s="1"/>
  <c r="AP142" i="3"/>
  <c r="AP141" i="3" s="1"/>
  <c r="AP167" i="3"/>
  <c r="AP166" i="3" s="1"/>
  <c r="AP202" i="3"/>
  <c r="AP201" i="3" s="1"/>
  <c r="AP200" i="3" s="1"/>
  <c r="AP232" i="3"/>
  <c r="AP231" i="3" s="1"/>
  <c r="AP230" i="3" s="1"/>
  <c r="E38" i="1"/>
  <c r="F79" i="5"/>
  <c r="I39" i="1"/>
  <c r="G80" i="5"/>
  <c r="AM111" i="4"/>
  <c r="AM110" i="4" s="1"/>
  <c r="G42" i="1"/>
  <c r="AL2" i="4"/>
  <c r="H42" i="1" s="1"/>
  <c r="E84" i="5" s="1"/>
  <c r="AN66" i="4"/>
  <c r="AN65" i="4" s="1"/>
  <c r="AN3" i="4" s="1"/>
  <c r="F44" i="1" s="1"/>
  <c r="C86" i="5" s="1"/>
  <c r="AN167" i="4"/>
  <c r="AN166" i="4" s="1"/>
  <c r="AN162" i="4" s="1"/>
  <c r="AN202" i="4"/>
  <c r="AN201" i="4" s="1"/>
  <c r="AN200" i="4" s="1"/>
  <c r="AN142" i="4"/>
  <c r="AN141" i="4" s="1"/>
  <c r="AN137" i="4" s="1"/>
  <c r="AN232" i="4"/>
  <c r="AN231" i="4" s="1"/>
  <c r="AN230" i="4" s="1"/>
  <c r="AN117" i="4"/>
  <c r="AN116" i="4" s="1"/>
  <c r="AN112" i="4" s="1"/>
  <c r="AN249" i="4"/>
  <c r="AN248" i="4" s="1"/>
  <c r="AN247" i="4" s="1"/>
  <c r="AO67" i="4"/>
  <c r="AP73" i="4"/>
  <c r="F43" i="1"/>
  <c r="C85" i="5" s="1"/>
  <c r="AN111" i="3"/>
  <c r="AN110" i="3" s="1"/>
  <c r="C43" i="1"/>
  <c r="AM2" i="3"/>
  <c r="D43" i="1" s="1"/>
  <c r="D85" i="5" s="1"/>
  <c r="AQ16" i="4"/>
  <c r="AQ6" i="4" s="1"/>
  <c r="AP6" i="4"/>
  <c r="AO114" i="4"/>
  <c r="AO113" i="4" s="1"/>
  <c r="AO5" i="4"/>
  <c r="AO4" i="4" s="1"/>
  <c r="AO139" i="4"/>
  <c r="AO138" i="4" s="1"/>
  <c r="AO164" i="4"/>
  <c r="AO163" i="4" s="1"/>
  <c r="AO189" i="4"/>
  <c r="AO188" i="4" s="1"/>
  <c r="AO187" i="4" s="1"/>
  <c r="AO215" i="4"/>
  <c r="AO214" i="4" s="1"/>
  <c r="AO213" i="4" s="1"/>
  <c r="AQ16" i="3"/>
  <c r="AQ6" i="3" s="1"/>
  <c r="AP6" i="3"/>
  <c r="AO189" i="3"/>
  <c r="AO188" i="3" s="1"/>
  <c r="AO187" i="3" s="1"/>
  <c r="AO215" i="3"/>
  <c r="AO214" i="3" s="1"/>
  <c r="AO213" i="3" s="1"/>
  <c r="AO5" i="3"/>
  <c r="AO4" i="3" s="1"/>
  <c r="AO3" i="3" s="1"/>
  <c r="AO114" i="3"/>
  <c r="AO113" i="3" s="1"/>
  <c r="AO112" i="3" s="1"/>
  <c r="AO139" i="3"/>
  <c r="AO138" i="3" s="1"/>
  <c r="AO137" i="3" s="1"/>
  <c r="AO164" i="3"/>
  <c r="AO163" i="3" s="1"/>
  <c r="AO162" i="3" s="1"/>
  <c r="B44" i="1"/>
  <c r="B86" i="5" s="1"/>
  <c r="E39" i="1" l="1"/>
  <c r="F80" i="5"/>
  <c r="I40" i="1"/>
  <c r="G81" i="5"/>
  <c r="C135" i="5" s="1"/>
  <c r="G43" i="1"/>
  <c r="AM2" i="4"/>
  <c r="H43" i="1" s="1"/>
  <c r="E85" i="5" s="1"/>
  <c r="AN111" i="4"/>
  <c r="AN110" i="4" s="1"/>
  <c r="AO249" i="4"/>
  <c r="AO248" i="4" s="1"/>
  <c r="AO247" i="4" s="1"/>
  <c r="AO66" i="4"/>
  <c r="AO65" i="4" s="1"/>
  <c r="AO3" i="4" s="1"/>
  <c r="F45" i="1" s="1"/>
  <c r="C87" i="5" s="1"/>
  <c r="AO117" i="4"/>
  <c r="AO116" i="4" s="1"/>
  <c r="AO112" i="4" s="1"/>
  <c r="AO142" i="4"/>
  <c r="AO141" i="4" s="1"/>
  <c r="AO137" i="4" s="1"/>
  <c r="AO167" i="4"/>
  <c r="AO166" i="4" s="1"/>
  <c r="AO162" i="4" s="1"/>
  <c r="AO202" i="4"/>
  <c r="AO201" i="4" s="1"/>
  <c r="AO200" i="4" s="1"/>
  <c r="AO232" i="4"/>
  <c r="AO231" i="4" s="1"/>
  <c r="AO230" i="4" s="1"/>
  <c r="AP67" i="4"/>
  <c r="AQ73" i="4"/>
  <c r="AQ67" i="4" s="1"/>
  <c r="C44" i="1"/>
  <c r="AN2" i="3"/>
  <c r="D44" i="1" s="1"/>
  <c r="D86" i="5" s="1"/>
  <c r="AQ139" i="4"/>
  <c r="AQ138" i="4" s="1"/>
  <c r="AQ164" i="4"/>
  <c r="AQ163" i="4" s="1"/>
  <c r="AQ189" i="4"/>
  <c r="AQ188" i="4" s="1"/>
  <c r="AQ187" i="4" s="1"/>
  <c r="AQ215" i="4"/>
  <c r="AQ214" i="4" s="1"/>
  <c r="AQ213" i="4" s="1"/>
  <c r="AQ5" i="4"/>
  <c r="AQ4" i="4" s="1"/>
  <c r="AQ114" i="4"/>
  <c r="AQ113" i="4" s="1"/>
  <c r="AP139" i="4"/>
  <c r="AP138" i="4" s="1"/>
  <c r="AP164" i="4"/>
  <c r="AP163" i="4" s="1"/>
  <c r="AP189" i="4"/>
  <c r="AP188" i="4" s="1"/>
  <c r="AP187" i="4" s="1"/>
  <c r="AP215" i="4"/>
  <c r="AP214" i="4" s="1"/>
  <c r="AP213" i="4" s="1"/>
  <c r="AP5" i="4"/>
  <c r="AP4" i="4" s="1"/>
  <c r="AP114" i="4"/>
  <c r="AP113" i="4" s="1"/>
  <c r="AQ114" i="3"/>
  <c r="AQ113" i="3" s="1"/>
  <c r="AQ112" i="3" s="1"/>
  <c r="AQ139" i="3"/>
  <c r="AQ138" i="3" s="1"/>
  <c r="AQ137" i="3" s="1"/>
  <c r="AQ164" i="3"/>
  <c r="AQ163" i="3" s="1"/>
  <c r="AQ162" i="3" s="1"/>
  <c r="AQ5" i="3"/>
  <c r="AQ4" i="3" s="1"/>
  <c r="AQ3" i="3" s="1"/>
  <c r="AQ189" i="3"/>
  <c r="AQ188" i="3" s="1"/>
  <c r="AQ187" i="3" s="1"/>
  <c r="AQ215" i="3"/>
  <c r="AQ214" i="3" s="1"/>
  <c r="AQ213" i="3" s="1"/>
  <c r="AP114" i="3"/>
  <c r="AP113" i="3" s="1"/>
  <c r="AP112" i="3" s="1"/>
  <c r="AP139" i="3"/>
  <c r="AP138" i="3" s="1"/>
  <c r="AP137" i="3" s="1"/>
  <c r="AP164" i="3"/>
  <c r="AP163" i="3" s="1"/>
  <c r="AP162" i="3" s="1"/>
  <c r="AP189" i="3"/>
  <c r="AP188" i="3" s="1"/>
  <c r="AP187" i="3" s="1"/>
  <c r="AP215" i="3"/>
  <c r="AP214" i="3" s="1"/>
  <c r="AP213" i="3" s="1"/>
  <c r="AP5" i="3"/>
  <c r="AP4" i="3" s="1"/>
  <c r="AP3" i="3" s="1"/>
  <c r="B45" i="1"/>
  <c r="B87" i="5" s="1"/>
  <c r="AO111" i="3"/>
  <c r="AO110" i="3" s="1"/>
  <c r="E40" i="1" l="1"/>
  <c r="F81" i="5"/>
  <c r="I41" i="1"/>
  <c r="G82" i="5"/>
  <c r="G44" i="1"/>
  <c r="AN2" i="4"/>
  <c r="H44" i="1" s="1"/>
  <c r="E86" i="5" s="1"/>
  <c r="AO111" i="4"/>
  <c r="AO110" i="4" s="1"/>
  <c r="AP117" i="4"/>
  <c r="AP116" i="4" s="1"/>
  <c r="AP112" i="4" s="1"/>
  <c r="AP142" i="4"/>
  <c r="AP141" i="4" s="1"/>
  <c r="AP137" i="4" s="1"/>
  <c r="AP167" i="4"/>
  <c r="AP166" i="4" s="1"/>
  <c r="AP162" i="4" s="1"/>
  <c r="AP202" i="4"/>
  <c r="AP201" i="4" s="1"/>
  <c r="AP200" i="4" s="1"/>
  <c r="AP232" i="4"/>
  <c r="AP231" i="4" s="1"/>
  <c r="AP230" i="4" s="1"/>
  <c r="AP66" i="4"/>
  <c r="AP65" i="4" s="1"/>
  <c r="AP3" i="4" s="1"/>
  <c r="F46" i="1" s="1"/>
  <c r="C88" i="5" s="1"/>
  <c r="AP249" i="4"/>
  <c r="AP248" i="4" s="1"/>
  <c r="AP247" i="4" s="1"/>
  <c r="AQ117" i="4"/>
  <c r="AQ116" i="4" s="1"/>
  <c r="AQ112" i="4" s="1"/>
  <c r="AQ142" i="4"/>
  <c r="AQ141" i="4" s="1"/>
  <c r="AQ137" i="4" s="1"/>
  <c r="AQ167" i="4"/>
  <c r="AQ166" i="4" s="1"/>
  <c r="AQ162" i="4" s="1"/>
  <c r="AQ202" i="4"/>
  <c r="AQ201" i="4" s="1"/>
  <c r="AQ200" i="4" s="1"/>
  <c r="AQ232" i="4"/>
  <c r="AQ231" i="4" s="1"/>
  <c r="AQ230" i="4" s="1"/>
  <c r="AQ249" i="4"/>
  <c r="AQ248" i="4" s="1"/>
  <c r="AQ247" i="4" s="1"/>
  <c r="AQ66" i="4"/>
  <c r="AQ65" i="4" s="1"/>
  <c r="AQ3" i="4" s="1"/>
  <c r="F47" i="1" s="1"/>
  <c r="C89" i="5" s="1"/>
  <c r="C122" i="5" s="1"/>
  <c r="AQ111" i="3"/>
  <c r="AQ110" i="3" s="1"/>
  <c r="B47" i="1"/>
  <c r="B89" i="5" s="1"/>
  <c r="B122" i="5" s="1"/>
  <c r="B46" i="1"/>
  <c r="B88" i="5" s="1"/>
  <c r="AP111" i="3"/>
  <c r="AP110" i="3" s="1"/>
  <c r="C45" i="1"/>
  <c r="AO2" i="3"/>
  <c r="D45" i="1" s="1"/>
  <c r="D87" i="5" s="1"/>
  <c r="D122" i="5" l="1"/>
  <c r="E41" i="1"/>
  <c r="F82" i="5"/>
  <c r="I42" i="1"/>
  <c r="G83" i="5"/>
  <c r="AQ111" i="4"/>
  <c r="AQ110" i="4" s="1"/>
  <c r="G45" i="1"/>
  <c r="AO2" i="4"/>
  <c r="H45" i="1" s="1"/>
  <c r="E87" i="5" s="1"/>
  <c r="AP111" i="4"/>
  <c r="AP110" i="4" s="1"/>
  <c r="C47" i="1"/>
  <c r="AQ2" i="3"/>
  <c r="C46" i="1"/>
  <c r="AP2" i="3"/>
  <c r="D46" i="1" s="1"/>
  <c r="D88" i="5" s="1"/>
  <c r="E42" i="1" l="1"/>
  <c r="F83" i="5"/>
  <c r="I43" i="1"/>
  <c r="G84" i="5"/>
  <c r="G47" i="1"/>
  <c r="AQ2" i="4"/>
  <c r="D47" i="1"/>
  <c r="D89" i="5" s="1"/>
  <c r="B8" i="1"/>
  <c r="AP2" i="4"/>
  <c r="H46" i="1" s="1"/>
  <c r="E88" i="5" s="1"/>
  <c r="G46" i="1"/>
  <c r="E43" i="1" l="1"/>
  <c r="F84" i="5"/>
  <c r="I44" i="1"/>
  <c r="G85" i="5"/>
  <c r="C8" i="1"/>
  <c r="H47" i="1"/>
  <c r="E89" i="5" s="1"/>
  <c r="C136" i="5" s="1"/>
  <c r="E44" i="1" l="1"/>
  <c r="F85" i="5"/>
  <c r="I45" i="1"/>
  <c r="G86" i="5"/>
  <c r="E45" i="1" l="1"/>
  <c r="F86" i="5"/>
  <c r="I46" i="1"/>
  <c r="G87" i="5"/>
  <c r="E46" i="1" l="1"/>
  <c r="F87" i="5"/>
  <c r="I47" i="1"/>
  <c r="G89" i="5" s="1"/>
  <c r="G88" i="5"/>
  <c r="C123" i="5" l="1"/>
  <c r="C137" i="5"/>
  <c r="E47" i="1"/>
  <c r="F89" i="5" s="1"/>
  <c r="B123" i="5" s="1"/>
  <c r="F88" i="5"/>
  <c r="D123" i="5" l="1"/>
</calcChain>
</file>

<file path=xl/sharedStrings.xml><?xml version="1.0" encoding="utf-8"?>
<sst xmlns="http://schemas.openxmlformats.org/spreadsheetml/2006/main" count="1256" uniqueCount="671">
  <si>
    <t>Uganda RSV Market Entry Dashboard [CODEX]</t>
  </si>
  <si>
    <t>Scenario workbook copy with high-signal monthly curves for demo use</t>
  </si>
  <si>
    <t>KPI</t>
  </si>
  <si>
    <t>Base</t>
  </si>
  <si>
    <t>Positive</t>
  </si>
  <si>
    <t>Comment</t>
  </si>
  <si>
    <t>Month 1 Net Profit</t>
  </si>
  <si>
    <t>Initial monthly profitability</t>
  </si>
  <si>
    <t>Month 12 Net Profit</t>
  </si>
  <si>
    <t>End of Year 1 run-rate</t>
  </si>
  <si>
    <t>Month 24 Net Profit</t>
  </si>
  <si>
    <t>End of Year 2 run-rate</t>
  </si>
  <si>
    <t>Month 36 Net Profit</t>
  </si>
  <si>
    <t>End of plan run-rate</t>
  </si>
  <si>
    <t>Month</t>
  </si>
  <si>
    <t>Base Revenue</t>
  </si>
  <si>
    <t>Base Total Costs</t>
  </si>
  <si>
    <t>Base Net Profit</t>
  </si>
  <si>
    <t>Base Cumulative Profit</t>
  </si>
  <si>
    <t>Positive Revenue</t>
  </si>
  <si>
    <t>Positive Total Costs</t>
  </si>
  <si>
    <t>Positive Net Profit</t>
  </si>
  <si>
    <t>Positive Cumulative Profit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</si>
  <si>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</si>
  <si>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</si>
  <si>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</si>
  <si>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</si>
  <si>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</si>
  <si>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</si>
  <si>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</si>
  <si>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</si>
  <si>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</si>
  <si>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</si>
  <si>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</si>
  <si>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</si>
  <si>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</si>
  <si>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</si>
  <si>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</si>
  <si>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</si>
  <si>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</si>
  <si>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</si>
  <si>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</si>
  <si>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</si>
  <si>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</si>
  <si>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</si>
  <si>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</si>
  <si>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</si>
  <si>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</si>
  <si>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</si>
  <si>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</si>
  <si>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</si>
  <si>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</si>
  <si>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</si>
  <si>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</si>
  <si>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</si>
  <si>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</si>
  <si>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</si>
  <si>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</si>
  <si>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</si>
  <si>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Positive Case Notes</t>
  </si>
  <si>
    <t>Positive case improves conversion, affordability-qualified access, and rollout speed.</t>
  </si>
  <si>
    <t>It also reduces recurring launch support and modestly improves pricing and supply economics.</t>
  </si>
  <si>
    <t>Cumulative profit is used here as the cash-flow proxy because the model does not yet include working capital or financing lines.</t>
  </si>
  <si>
    <t>Input label</t>
  </si>
  <si>
    <t>Named range name</t>
  </si>
  <si>
    <t>Unit / note</t>
  </si>
  <si>
    <t>Base starting value</t>
  </si>
  <si>
    <t>Base annual growth</t>
  </si>
  <si>
    <t>Positive starting value</t>
  </si>
  <si>
    <t>Positive annual growth</t>
  </si>
  <si>
    <t>Revenue inputs</t>
  </si>
  <si>
    <t>National Live Births Per Month</t>
  </si>
  <si>
    <t>national_live_births_per_month</t>
  </si>
  <si>
    <t>births/month | Directionally consistent with roughly 1.75 million births per year</t>
  </si>
  <si>
    <t>Central Regional Opportunity Weight</t>
  </si>
  <si>
    <t>central_regional_opportunity_weight</t>
  </si>
  <si>
    <t>% of national opportunity</t>
  </si>
  <si>
    <t>Central ANC Access Rate</t>
  </si>
  <si>
    <t>central_anc_access_rate</t>
  </si>
  <si>
    <t>% | ANC channel reach</t>
  </si>
  <si>
    <t>Central Third Trimester Window Rate</t>
  </si>
  <si>
    <t>central_third_trimester_window_rate</t>
  </si>
  <si>
    <t>% | Share reached in relevant gestational window</t>
  </si>
  <si>
    <t>Central Public Eligibility Rate</t>
  </si>
  <si>
    <t>central_public_eligibility_rate</t>
  </si>
  <si>
    <t>% | Funded or affordable share of reachable pregnancies</t>
  </si>
  <si>
    <t>Central Public Provider Recommendation Rate</t>
  </si>
  <si>
    <t>central_public_provider_recommendation_rate</t>
  </si>
  <si>
    <t>%</t>
  </si>
  <si>
    <t>Central Public Acceptance Rate</t>
  </si>
  <si>
    <t>central_public_acceptance_rate</t>
  </si>
  <si>
    <t>Central Public Stock Availability Rate</t>
  </si>
  <si>
    <t>central_public_stock_availability_rate</t>
  </si>
  <si>
    <t>Central Public Coverage Additions</t>
  </si>
  <si>
    <t>central_public_coverage_additions</t>
  </si>
  <si>
    <t>% pts/month | Monthly rollout gain from onboarding, awareness, and funded expansion</t>
  </si>
  <si>
    <t>Central Public Coverage Churn</t>
  </si>
  <si>
    <t>central_public_coverage_churn</t>
  </si>
  <si>
    <t>% pts/month | Loss of active coverage due to drop-off, stock issues, and execution leakage</t>
  </si>
  <si>
    <t>Central Public Net Realised Price Per Dose</t>
  </si>
  <si>
    <t>central_public_net_price_per_dose</t>
  </si>
  <si>
    <t>UGX/dose</t>
  </si>
  <si>
    <t>Western Regional Opportunity Weight</t>
  </si>
  <si>
    <t>western_regional_opportunity_weight</t>
  </si>
  <si>
    <t>Western ANC Access Rate</t>
  </si>
  <si>
    <t>western_anc_access_rate</t>
  </si>
  <si>
    <t>Western Third Trimester Window Rate</t>
  </si>
  <si>
    <t>western_third_trimester_window_rate</t>
  </si>
  <si>
    <t>Western Public Eligibility Rate</t>
  </si>
  <si>
    <t>western_public_eligibility_rate</t>
  </si>
  <si>
    <t>Western Public Provider Recommendation Rate</t>
  </si>
  <si>
    <t>western_public_provider_recommendation_rate</t>
  </si>
  <si>
    <t>Western Public Acceptance Rate</t>
  </si>
  <si>
    <t>western_public_acceptance_rate</t>
  </si>
  <si>
    <t>Western Public Stock Availability Rate</t>
  </si>
  <si>
    <t>western_public_stock_availability_rate</t>
  </si>
  <si>
    <t>Western Public Coverage Additions</t>
  </si>
  <si>
    <t>western_public_coverage_additions</t>
  </si>
  <si>
    <t>Western Public Coverage Churn</t>
  </si>
  <si>
    <t>western_public_coverage_churn</t>
  </si>
  <si>
    <t>Western Public Net Realised Price Per Dose</t>
  </si>
  <si>
    <t>western_public_net_price_per_dose</t>
  </si>
  <si>
    <t>Eastern Regional Opportunity Weight</t>
  </si>
  <si>
    <t>eastern_regional_opportunity_weight</t>
  </si>
  <si>
    <t>Eastern ANC Access Rate</t>
  </si>
  <si>
    <t>eastern_anc_access_rate</t>
  </si>
  <si>
    <t>Eastern Third Trimester Window Rate</t>
  </si>
  <si>
    <t>eastern_third_trimester_window_rate</t>
  </si>
  <si>
    <t>Eastern Public Eligibility Rate</t>
  </si>
  <si>
    <t>eastern_public_eligibility_rate</t>
  </si>
  <si>
    <t>Eastern Public Provider Recommendation Rate</t>
  </si>
  <si>
    <t>eastern_public_provider_recommendation_rate</t>
  </si>
  <si>
    <t>Eastern Public Acceptance Rate</t>
  </si>
  <si>
    <t>eastern_public_acceptance_rate</t>
  </si>
  <si>
    <t>Eastern Public Stock Availability Rate</t>
  </si>
  <si>
    <t>eastern_public_stock_availability_rate</t>
  </si>
  <si>
    <t>Eastern Public Coverage Additions</t>
  </si>
  <si>
    <t>eastern_public_coverage_additions</t>
  </si>
  <si>
    <t>Eastern Public Coverage Churn</t>
  </si>
  <si>
    <t>eastern_public_coverage_churn</t>
  </si>
  <si>
    <t>Eastern Public Net Realised Price Per Dose</t>
  </si>
  <si>
    <t>eastern_public_net_price_per_dose</t>
  </si>
  <si>
    <t>Northern Regional Opportunity Weight</t>
  </si>
  <si>
    <t>northern_regional_opportunity_weight</t>
  </si>
  <si>
    <t>Northern ANC Access Rate</t>
  </si>
  <si>
    <t>northern_anc_access_rate</t>
  </si>
  <si>
    <t>Northern Third Trimester Window Rate</t>
  </si>
  <si>
    <t>northern_third_trimester_window_rate</t>
  </si>
  <si>
    <t>Northern Public Eligibility Rate</t>
  </si>
  <si>
    <t>northern_public_eligibility_rate</t>
  </si>
  <si>
    <t>Northern Public Provider Recommendation Rate</t>
  </si>
  <si>
    <t>northern_public_provider_recommendation_rate</t>
  </si>
  <si>
    <t>Northern Public Acceptance Rate</t>
  </si>
  <si>
    <t>northern_public_acceptance_rate</t>
  </si>
  <si>
    <t>Northern Public Stock Availability Rate</t>
  </si>
  <si>
    <t>northern_public_stock_availability_rate</t>
  </si>
  <si>
    <t>Northern Public Coverage Additions</t>
  </si>
  <si>
    <t>northern_public_coverage_additions</t>
  </si>
  <si>
    <t>Northern Public Coverage Churn</t>
  </si>
  <si>
    <t>northern_public_coverage_churn</t>
  </si>
  <si>
    <t>Northern Public Net Realised Price Per Dose</t>
  </si>
  <si>
    <t>northern_public_net_price_per_dose</t>
  </si>
  <si>
    <t>Central Private Eligibility Rate</t>
  </si>
  <si>
    <t>central_private_eligibility_rate</t>
  </si>
  <si>
    <t>Central Private Provider Recommendation Rate</t>
  </si>
  <si>
    <t>central_private_provider_recommendation_rate</t>
  </si>
  <si>
    <t>Central Private Acceptance Rate</t>
  </si>
  <si>
    <t>central_private_acceptance_rate</t>
  </si>
  <si>
    <t>Central Private Stock Availability Rate</t>
  </si>
  <si>
    <t>central_private_stock_availability_rate</t>
  </si>
  <si>
    <t>Central Private Coverage Additions</t>
  </si>
  <si>
    <t>central_private_coverage_additions</t>
  </si>
  <si>
    <t>Central Private Coverage Churn</t>
  </si>
  <si>
    <t>central_private_coverage_churn</t>
  </si>
  <si>
    <t>Central Private Net Realised Price Per Dose</t>
  </si>
  <si>
    <t>central_private_net_price_per_dose</t>
  </si>
  <si>
    <t>Western Private Eligibility Rate</t>
  </si>
  <si>
    <t>western_private_eligibility_rate</t>
  </si>
  <si>
    <t>Western Private Provider Recommendation Rate</t>
  </si>
  <si>
    <t>western_private_provider_recommendation_rate</t>
  </si>
  <si>
    <t>Western Private Acceptance Rate</t>
  </si>
  <si>
    <t>western_private_acceptance_rate</t>
  </si>
  <si>
    <t>Western Private Stock Availability Rate</t>
  </si>
  <si>
    <t>western_private_stock_availability_rate</t>
  </si>
  <si>
    <t>Western Private Coverage Additions</t>
  </si>
  <si>
    <t>western_private_coverage_additions</t>
  </si>
  <si>
    <t>Western Private Coverage Churn</t>
  </si>
  <si>
    <t>western_private_coverage_churn</t>
  </si>
  <si>
    <t>Western Private Net Realised Price Per Dose</t>
  </si>
  <si>
    <t>western_private_net_price_per_dose</t>
  </si>
  <si>
    <t>Eastern Private Eligibility Rate</t>
  </si>
  <si>
    <t>eastern_private_eligibility_rate</t>
  </si>
  <si>
    <t>Eastern Private Provider Recommendation Rate</t>
  </si>
  <si>
    <t>eastern_private_provider_recommendation_rate</t>
  </si>
  <si>
    <t>Eastern Private Acceptance Rate</t>
  </si>
  <si>
    <t>eastern_private_acceptance_rate</t>
  </si>
  <si>
    <t>Eastern Private Stock Availability Rate</t>
  </si>
  <si>
    <t>eastern_private_stock_availability_rate</t>
  </si>
  <si>
    <t>Eastern Private Coverage Additions</t>
  </si>
  <si>
    <t>eastern_private_coverage_additions</t>
  </si>
  <si>
    <t>Eastern Private Coverage Churn</t>
  </si>
  <si>
    <t>eastern_private_coverage_churn</t>
  </si>
  <si>
    <t>Eastern Private Net Realised Price Per Dose</t>
  </si>
  <si>
    <t>eastern_private_net_price_per_dose</t>
  </si>
  <si>
    <t>Northern Private Eligibility Rate</t>
  </si>
  <si>
    <t>northern_private_eligibility_rate</t>
  </si>
  <si>
    <t>Northern Private Provider Recommendation Rate</t>
  </si>
  <si>
    <t>northern_private_provider_recommendation_rate</t>
  </si>
  <si>
    <t>Northern Private Acceptance Rate</t>
  </si>
  <si>
    <t>northern_private_acceptance_rate</t>
  </si>
  <si>
    <t>Northern Private Stock Availability Rate</t>
  </si>
  <si>
    <t>northern_private_stock_availability_rate</t>
  </si>
  <si>
    <t>Northern Private Coverage Additions</t>
  </si>
  <si>
    <t>northern_private_coverage_additions</t>
  </si>
  <si>
    <t>Northern Private Coverage Churn</t>
  </si>
  <si>
    <t>northern_private_coverage_churn</t>
  </si>
  <si>
    <t>Northern Private Net Realised Price Per Dose</t>
  </si>
  <si>
    <t>northern_private_net_price_per_dose</t>
  </si>
  <si>
    <t>Variable cost inputs</t>
  </si>
  <si>
    <t>Landed Vaccine Cost Per Dose</t>
  </si>
  <si>
    <t>landed_vaccine_cost_per_dose</t>
  </si>
  <si>
    <t>UGX/dose | Leaner transfer price assumption</t>
  </si>
  <si>
    <t>Import and Clearance Cost Per Dose</t>
  </si>
  <si>
    <t>import_clearance_cost_per_dose</t>
  </si>
  <si>
    <t>UGX/dose | International freight and import handling</t>
  </si>
  <si>
    <t>Cold-Chain Warehousing Cost Per Dose</t>
  </si>
  <si>
    <t>cold_chain_warehousing_cost_per_dose</t>
  </si>
  <si>
    <t>UGX/dose | National warehousing and cold-chain holding</t>
  </si>
  <si>
    <t>Central Public Distribution Cost Per Dose</t>
  </si>
  <si>
    <t>central_public_distribution_cost_per_dose</t>
  </si>
  <si>
    <t>Western Public Distribution Cost Per Dose</t>
  </si>
  <si>
    <t>western_public_distribution_cost_per_dose</t>
  </si>
  <si>
    <t>Eastern Public Distribution Cost Per Dose</t>
  </si>
  <si>
    <t>eastern_public_distribution_cost_per_dose</t>
  </si>
  <si>
    <t>Northern Public Distribution Cost Per Dose</t>
  </si>
  <si>
    <t>northern_public_distribution_cost_per_dose</t>
  </si>
  <si>
    <t>Central Private Distribution Cost Per Dose</t>
  </si>
  <si>
    <t>central_private_distribution_cost_per_dose</t>
  </si>
  <si>
    <t>Western Private Distribution Cost Per Dose</t>
  </si>
  <si>
    <t>western_private_distribution_cost_per_dose</t>
  </si>
  <si>
    <t>Eastern Private Distribution Cost Per Dose</t>
  </si>
  <si>
    <t>eastern_private_distribution_cost_per_dose</t>
  </si>
  <si>
    <t>Northern Private Distribution Cost Per Dose</t>
  </si>
  <si>
    <t>northern_private_distribution_cost_per_dose</t>
  </si>
  <si>
    <t>Central Public Wastage Rate</t>
  </si>
  <si>
    <t>central_public_wastage_rate</t>
  </si>
  <si>
    <t>Western Public Wastage Rate</t>
  </si>
  <si>
    <t>western_public_wastage_rate</t>
  </si>
  <si>
    <t>Eastern Public Wastage Rate</t>
  </si>
  <si>
    <t>eastern_public_wastage_rate</t>
  </si>
  <si>
    <t>Northern Public Wastage Rate</t>
  </si>
  <si>
    <t>northern_public_wastage_rate</t>
  </si>
  <si>
    <t>Central Private Wastage Rate</t>
  </si>
  <si>
    <t>central_private_wastage_rate</t>
  </si>
  <si>
    <t>Western Private Wastage Rate</t>
  </si>
  <si>
    <t>western_private_wastage_rate</t>
  </si>
  <si>
    <t>Eastern Private Wastage Rate</t>
  </si>
  <si>
    <t>eastern_private_wastage_rate</t>
  </si>
  <si>
    <t>Northern Private Wastage Rate</t>
  </si>
  <si>
    <t>northern_private_wastage_rate</t>
  </si>
  <si>
    <t>Central Private Trade Support Per Dose</t>
  </si>
  <si>
    <t>central_private_trade_support_per_dose</t>
  </si>
  <si>
    <t>Western Private Trade Support Per Dose</t>
  </si>
  <si>
    <t>western_private_trade_support_per_dose</t>
  </si>
  <si>
    <t>Eastern Private Trade Support Per Dose</t>
  </si>
  <si>
    <t>eastern_private_trade_support_per_dose</t>
  </si>
  <si>
    <t>Northern Private Trade Support Per Dose</t>
  </si>
  <si>
    <t>northern_private_trade_support_per_dose</t>
  </si>
  <si>
    <t>Fixed cost inputs</t>
  </si>
  <si>
    <t>Regulatory Headcount</t>
  </si>
  <si>
    <t>regulatory_headcount</t>
  </si>
  <si>
    <t>FTE</t>
  </si>
  <si>
    <t>Regulatory Cost Per FTE</t>
  </si>
  <si>
    <t>regulatory_cost_per_fte</t>
  </si>
  <si>
    <t>UGX/FTE/month</t>
  </si>
  <si>
    <t>Regulatory Fees and Compliance</t>
  </si>
  <si>
    <t>regulatory_fees_and_compliance</t>
  </si>
  <si>
    <t>UGX/month</t>
  </si>
  <si>
    <t>Market Access Headcount</t>
  </si>
  <si>
    <t>market_access_headcount</t>
  </si>
  <si>
    <t>Market Access Cost Per FTE</t>
  </si>
  <si>
    <t>market_access_cost_per_fte</t>
  </si>
  <si>
    <t>Tender Support Budget</t>
  </si>
  <si>
    <t>tender_support_budget</t>
  </si>
  <si>
    <t>Medical Headcount</t>
  </si>
  <si>
    <t>medical_headcount</t>
  </si>
  <si>
    <t>Medical Cost Per FTE</t>
  </si>
  <si>
    <t>medical_cost_per_fte</t>
  </si>
  <si>
    <t>KOL and Medical Program Budget</t>
  </si>
  <si>
    <t>kol_and_medical_program_budget</t>
  </si>
  <si>
    <t>Central Training Budget</t>
  </si>
  <si>
    <t>central_training_budget</t>
  </si>
  <si>
    <t>Western Training Budget</t>
  </si>
  <si>
    <t>western_training_budget</t>
  </si>
  <si>
    <t>Eastern Training Budget</t>
  </si>
  <si>
    <t>eastern_training_budget</t>
  </si>
  <si>
    <t>Northern Training Budget</t>
  </si>
  <si>
    <t>northern_training_budget</t>
  </si>
  <si>
    <t>Private Field Rep Headcount</t>
  </si>
  <si>
    <t>private_field_rep_headcount</t>
  </si>
  <si>
    <t>Private Field Rep Cost Per FTE</t>
  </si>
  <si>
    <t>private_field_rep_cost_per_fte</t>
  </si>
  <si>
    <t>Private Sales Manager Cost</t>
  </si>
  <si>
    <t>private_sales_manager_cost</t>
  </si>
  <si>
    <t>Private Sales Travel Budget</t>
  </si>
  <si>
    <t>private_sales_travel_budget</t>
  </si>
  <si>
    <t>Country Office Rent</t>
  </si>
  <si>
    <t>country_office_rent</t>
  </si>
  <si>
    <t>Utilities and Admin</t>
  </si>
  <si>
    <t>utilities_and_admin</t>
  </si>
  <si>
    <t>IT and Quality Support</t>
  </si>
  <si>
    <t>it_and_quality_support</t>
  </si>
  <si>
    <t>Central Launch Budget</t>
  </si>
  <si>
    <t>central_launch_budget</t>
  </si>
  <si>
    <t>Western Launch Budget</t>
  </si>
  <si>
    <t>western_launch_budget</t>
  </si>
  <si>
    <t>Eastern Launch Budget</t>
  </si>
  <si>
    <t>eastern_launch_budget</t>
  </si>
  <si>
    <t>Northern Launch Budget</t>
  </si>
  <si>
    <t>northern_launch_budget</t>
  </si>
  <si>
    <t>Net Profit</t>
  </si>
  <si>
    <t>Revenue</t>
  </si>
  <si>
    <t>Public / Donor Revenue</t>
  </si>
  <si>
    <t>Central Public Revenue</t>
  </si>
  <si>
    <t>Central Public Administered Doses</t>
  </si>
  <si>
    <t>Central Reachable Pregnancies</t>
  </si>
  <si>
    <t>times Central Regional Opportunity Weight</t>
  </si>
  <si>
    <t>times Central ANC Access Rate</t>
  </si>
  <si>
    <t>times Central Third Trimester Window Rate</t>
  </si>
  <si>
    <t>times Central Public Eligibility Rate</t>
  </si>
  <si>
    <t>times Central Public Provider Recommendation Rate</t>
  </si>
  <si>
    <t>times Central Public Acceptance Rate</t>
  </si>
  <si>
    <t>times Central Public Stock Availability Rate</t>
  </si>
  <si>
    <t>times Central Public Active Coverage State</t>
  </si>
  <si>
    <t>plus Central Public Coverage Churn</t>
  </si>
  <si>
    <t>times Central Public Net Realised Price Per Dose</t>
  </si>
  <si>
    <t>plus Western Public Revenue</t>
  </si>
  <si>
    <t>Western Public Administered Doses</t>
  </si>
  <si>
    <t>Western Reachable Pregnancies</t>
  </si>
  <si>
    <t>times Western Regional Opportunity Weight</t>
  </si>
  <si>
    <t>times Western ANC Access Rate</t>
  </si>
  <si>
    <t>times Western Third Trimester Window Rate</t>
  </si>
  <si>
    <t>times Western Public Eligibility Rate</t>
  </si>
  <si>
    <t>times Western Public Provider Recommendation Rate</t>
  </si>
  <si>
    <t>times Western Public Acceptance Rate</t>
  </si>
  <si>
    <t>times Western Public Stock Availability Rate</t>
  </si>
  <si>
    <t>times Western Public Active Coverage State</t>
  </si>
  <si>
    <t>plus Western Public Coverage Churn</t>
  </si>
  <si>
    <t>times Western Public Net Realised Price Per Dose</t>
  </si>
  <si>
    <t>plus Eastern Public Revenue</t>
  </si>
  <si>
    <t>Eastern Public Administered Doses</t>
  </si>
  <si>
    <t>Eastern Reachable Pregnancies</t>
  </si>
  <si>
    <t>times Eastern Regional Opportunity Weight</t>
  </si>
  <si>
    <t>times Eastern ANC Access Rate</t>
  </si>
  <si>
    <t>times Eastern Third Trimester Window Rate</t>
  </si>
  <si>
    <t>times Eastern Public Eligibility Rate</t>
  </si>
  <si>
    <t>times Eastern Public Provider Recommendation Rate</t>
  </si>
  <si>
    <t>times Eastern Public Acceptance Rate</t>
  </si>
  <si>
    <t>times Eastern Public Stock Availability Rate</t>
  </si>
  <si>
    <t>times Eastern Public Active Coverage State</t>
  </si>
  <si>
    <t>plus Eastern Public Coverage Churn</t>
  </si>
  <si>
    <t>times Eastern Public Net Realised Price Per Dose</t>
  </si>
  <si>
    <t>plus Northern Public Revenue</t>
  </si>
  <si>
    <t>Northern Public Administered Doses</t>
  </si>
  <si>
    <t>Northern Reachable Pregnancies</t>
  </si>
  <si>
    <t>times Northern Regional Opportunity Weight</t>
  </si>
  <si>
    <t>times Northern ANC Access Rate</t>
  </si>
  <si>
    <t>times Northern Third Trimester Window Rate</t>
  </si>
  <si>
    <t>times Northern Public Eligibility Rate</t>
  </si>
  <si>
    <t>times Northern Public Provider Recommendation Rate</t>
  </si>
  <si>
    <t>times Northern Public Acceptance Rate</t>
  </si>
  <si>
    <t>times Northern Public Stock Availability Rate</t>
  </si>
  <si>
    <t>times Northern Public Active Coverage State</t>
  </si>
  <si>
    <t>plus Northern Public Coverage Churn</t>
  </si>
  <si>
    <t>times Northern Public Net Realised Price Per Dose</t>
  </si>
  <si>
    <t>plus Private Revenue</t>
  </si>
  <si>
    <t>Central Private Revenue</t>
  </si>
  <si>
    <t>Central Private Administered Doses</t>
  </si>
  <si>
    <t>times Central Private Eligibility Rate</t>
  </si>
  <si>
    <t>times Central Private Provider Recommendation Rate</t>
  </si>
  <si>
    <t>times Central Private Acceptance Rate</t>
  </si>
  <si>
    <t>times Central Private Stock Availability Rate</t>
  </si>
  <si>
    <t>times Central Private Active Coverage State</t>
  </si>
  <si>
    <t>plus Central Private Coverage Churn</t>
  </si>
  <si>
    <t>times Central Private Net Realised Price Per Dose</t>
  </si>
  <si>
    <t>plus Western Private Revenue</t>
  </si>
  <si>
    <t>Western Private Administered Doses</t>
  </si>
  <si>
    <t>times Western Private Eligibility Rate</t>
  </si>
  <si>
    <t>times Western Private Provider Recommendation Rate</t>
  </si>
  <si>
    <t>times Western Private Acceptance Rate</t>
  </si>
  <si>
    <t>times Western Private Stock Availability Rate</t>
  </si>
  <si>
    <t>times Western Private Active Coverage State</t>
  </si>
  <si>
    <t>plus Western Private Coverage Churn</t>
  </si>
  <si>
    <t>times Western Private Net Realised Price Per Dose</t>
  </si>
  <si>
    <t>plus Eastern Private Revenue</t>
  </si>
  <si>
    <t>Eastern Private Administered Doses</t>
  </si>
  <si>
    <t>times Eastern Private Eligibility Rate</t>
  </si>
  <si>
    <t>times Eastern Private Provider Recommendation Rate</t>
  </si>
  <si>
    <t>times Eastern Private Acceptance Rate</t>
  </si>
  <si>
    <t>times Eastern Private Stock Availability Rate</t>
  </si>
  <si>
    <t>times Eastern Private Active Coverage State</t>
  </si>
  <si>
    <t>plus Eastern Private Coverage Churn</t>
  </si>
  <si>
    <t>times Eastern Private Net Realised Price Per Dose</t>
  </si>
  <si>
    <t>plus Northern Private Revenue</t>
  </si>
  <si>
    <t>Northern Private Administered Doses</t>
  </si>
  <si>
    <t>times Northern Private Eligibility Rate</t>
  </si>
  <si>
    <t>times Northern Private Provider Recommendation Rate</t>
  </si>
  <si>
    <t>times Northern Private Acceptance Rate</t>
  </si>
  <si>
    <t>times Northern Private Stock Availability Rate</t>
  </si>
  <si>
    <t>times Northern Private Active Coverage State</t>
  </si>
  <si>
    <t>plus Northern Private Coverage Churn</t>
  </si>
  <si>
    <t>times Northern Private Net Realised Price Per Dose</t>
  </si>
  <si>
    <t>less Total Costs</t>
  </si>
  <si>
    <t>Total Variable Costs</t>
  </si>
  <si>
    <t>Landed Vaccine Cost</t>
  </si>
  <si>
    <t>Central Public Landed Vaccine Cost</t>
  </si>
  <si>
    <t>times Landed Vaccine Cost Per Dose</t>
  </si>
  <si>
    <t>plus Central Private Landed Vaccine Cost</t>
  </si>
  <si>
    <t>plus Western Public Landed Vaccine Cost</t>
  </si>
  <si>
    <t>plus Western Private Landed Vaccine Cost</t>
  </si>
  <si>
    <t>plus Eastern Public Landed Vaccine Cost</t>
  </si>
  <si>
    <t>plus Eastern Private Landed Vaccine Cost</t>
  </si>
  <si>
    <t>plus Northern Public Landed Vaccine Cost</t>
  </si>
  <si>
    <t>plus Northern Private Landed Vaccine Cost</t>
  </si>
  <si>
    <t>plus Import and Clearance Cost</t>
  </si>
  <si>
    <t>Central Public Import and Clearance Cost</t>
  </si>
  <si>
    <t>times Import and Clearance Cost Per Dose</t>
  </si>
  <si>
    <t>plus Central Private Import and Clearance Cost</t>
  </si>
  <si>
    <t>plus Western Public Import and Clearance Cost</t>
  </si>
  <si>
    <t>plus Western Private Import and Clearance Cost</t>
  </si>
  <si>
    <t>plus Eastern Public Import and Clearance Cost</t>
  </si>
  <si>
    <t>plus Eastern Private Import and Clearance Cost</t>
  </si>
  <si>
    <t>plus Northern Public Import and Clearance Cost</t>
  </si>
  <si>
    <t>plus Northern Private Import and Clearance Cost</t>
  </si>
  <si>
    <t>plus Cold-Chain Warehousing Cost</t>
  </si>
  <si>
    <t>Central Public Cold-Chain Warehousing Cost</t>
  </si>
  <si>
    <t>times Cold-Chain Warehousing Cost Per Dose</t>
  </si>
  <si>
    <t>plus Central Private Cold-Chain Warehousing Cost</t>
  </si>
  <si>
    <t>plus Western Public Cold-Chain Warehousing Cost</t>
  </si>
  <si>
    <t>plus Western Private Cold-Chain Warehousing Cost</t>
  </si>
  <si>
    <t>plus Eastern Public Cold-Chain Warehousing Cost</t>
  </si>
  <si>
    <t>plus Eastern Private Cold-Chain Warehousing Cost</t>
  </si>
  <si>
    <t>plus Northern Public Cold-Chain Warehousing Cost</t>
  </si>
  <si>
    <t>plus Northern Private Cold-Chain Warehousing Cost</t>
  </si>
  <si>
    <t>plus Public Regional Distribution Cost</t>
  </si>
  <si>
    <t>Central Public Distribution Cost</t>
  </si>
  <si>
    <t>times Central Public Distribution Cost Per Dose</t>
  </si>
  <si>
    <t>plus Western Public Distribution Cost</t>
  </si>
  <si>
    <t>times Western Public Distribution Cost Per Dose</t>
  </si>
  <si>
    <t>plus Eastern Public Distribution Cost</t>
  </si>
  <si>
    <t>times Eastern Public Distribution Cost Per Dose</t>
  </si>
  <si>
    <t>plus Northern Public Distribution Cost</t>
  </si>
  <si>
    <t>times Northern Public Distribution Cost Per Dose</t>
  </si>
  <si>
    <t>plus Private Regional Distribution Cost</t>
  </si>
  <si>
    <t>Central Private Distribution Cost</t>
  </si>
  <si>
    <t>times Central Private Distribution Cost Per Dose</t>
  </si>
  <si>
    <t>plus Western Private Distribution Cost</t>
  </si>
  <si>
    <t>times Western Private Distribution Cost Per Dose</t>
  </si>
  <si>
    <t>plus Eastern Private Distribution Cost</t>
  </si>
  <si>
    <t>times Eastern Private Distribution Cost Per Dose</t>
  </si>
  <si>
    <t>plus Northern Private Distribution Cost</t>
  </si>
  <si>
    <t>times Northern Private Distribution Cost Per Dose</t>
  </si>
  <si>
    <t>plus Public Wastage Cost</t>
  </si>
  <si>
    <t>Central Public Wastage Cost</t>
  </si>
  <si>
    <t>times Central Public Wastage Rate</t>
  </si>
  <si>
    <t>plus Western Public Wastage Cost</t>
  </si>
  <si>
    <t>times Western Public Wastage Rate</t>
  </si>
  <si>
    <t>plus Eastern Public Wastage Cost</t>
  </si>
  <si>
    <t>times Eastern Public Wastage Rate</t>
  </si>
  <si>
    <t>plus Northern Public Wastage Cost</t>
  </si>
  <si>
    <t>times Northern Public Wastage Rate</t>
  </si>
  <si>
    <t>plus Private Wastage Cost</t>
  </si>
  <si>
    <t>Central Private Wastage Cost</t>
  </si>
  <si>
    <t>times Central Private Wastage Rate</t>
  </si>
  <si>
    <t>plus Western Private Wastage Cost</t>
  </si>
  <si>
    <t>times Western Private Wastage Rate</t>
  </si>
  <si>
    <t>plus Eastern Private Wastage Cost</t>
  </si>
  <si>
    <t>times Eastern Private Wastage Rate</t>
  </si>
  <si>
    <t>plus Northern Private Wastage Cost</t>
  </si>
  <si>
    <t>times Northern Private Wastage Rate</t>
  </si>
  <si>
    <t>plus Private Channel Incentive Cost</t>
  </si>
  <si>
    <t>Central Private Channel Incentive Cost</t>
  </si>
  <si>
    <t>times Central Private Trade Support Per Dose</t>
  </si>
  <si>
    <t>plus Western Private Channel Incentive Cost</t>
  </si>
  <si>
    <t>times Western Private Trade Support Per Dose</t>
  </si>
  <si>
    <t>plus Eastern Private Channel Incentive Cost</t>
  </si>
  <si>
    <t>times Eastern Private Trade Support Per Dose</t>
  </si>
  <si>
    <t>plus Northern Private Channel Incentive Cost</t>
  </si>
  <si>
    <t>times Northern Private Trade Support Per Dose</t>
  </si>
  <si>
    <t>plus Total Fixed Costs</t>
  </si>
  <si>
    <t>Regulatory and Pharmacovigilance</t>
  </si>
  <si>
    <t>times Regulatory Cost Per FTE</t>
  </si>
  <si>
    <t>plus Regulatory Fees and Compliance</t>
  </si>
  <si>
    <t>plus Market Access and Tender Support</t>
  </si>
  <si>
    <t>times Market Access Cost Per FTE</t>
  </si>
  <si>
    <t>plus Tender Support Budget</t>
  </si>
  <si>
    <t>plus Medical and Scientific Engagement</t>
  </si>
  <si>
    <t>times Medical Cost Per FTE</t>
  </si>
  <si>
    <t>plus KOL and Medical Program Budget</t>
  </si>
  <si>
    <t>plus Provider Training and Demand Creation</t>
  </si>
  <si>
    <t>plus Western Training Budget</t>
  </si>
  <si>
    <t>plus Eastern Training Budget</t>
  </si>
  <si>
    <t>plus Northern Training Budget</t>
  </si>
  <si>
    <t>plus Private Channel Sales Management</t>
  </si>
  <si>
    <t>times Private Field Rep Cost Per FTE</t>
  </si>
  <si>
    <t>plus Private Sales Manager Cost</t>
  </si>
  <si>
    <t>plus Private Sales Travel Budget</t>
  </si>
  <si>
    <t>plus Central Country Overhead</t>
  </si>
  <si>
    <t>plus Utilities and Admin</t>
  </si>
  <si>
    <t>plus IT and Quality Support</t>
  </si>
  <si>
    <t>plus Launch and Awareness Spend</t>
  </si>
  <si>
    <t>plus Western Launch Budget</t>
  </si>
  <si>
    <t>plus Eastern Launch Budget</t>
  </si>
  <si>
    <t>plus Northern Launch Budget</t>
  </si>
  <si>
    <t>All monetary values in UGX millions (UGX M). Source: 3.1b uganda_rsv_market_entry_model_scenarios_dashboard (CODEX).xlsx</t>
  </si>
  <si>
    <t>SLIDE 1 — Title Slide</t>
  </si>
  <si>
    <t>Title</t>
  </si>
  <si>
    <t>Uganda RSV Vaccine: Market Entry Scenarios</t>
  </si>
  <si>
    <t>Subtitle</t>
  </si>
  <si>
    <t>36-Month Commercial Model  |  Base vs. Positive Case  |  Investment Committee</t>
  </si>
  <si>
    <t>Visual</t>
  </si>
  <si>
    <t>Cover image / logo — no data required</t>
  </si>
  <si>
    <t>SLIDE 2 — Market Opportunity</t>
  </si>
  <si>
    <t>Headline</t>
  </si>
  <si>
    <t>~1.75M births/year. Uganda is a real RSV market.</t>
  </si>
  <si>
    <t>Key stat</t>
  </si>
  <si>
    <t>National live births: ~145,800/month | ~1.75M/year</t>
  </si>
  <si>
    <t>Region</t>
  </si>
  <si>
    <t>Opportunity Weight</t>
  </si>
  <si>
    <t>ANC Access Rate (Base)</t>
  </si>
  <si>
    <t>Monthly Addressable Births (Base)</t>
  </si>
  <si>
    <t>Central</t>
  </si>
  <si>
    <t>Western</t>
  </si>
  <si>
    <t>Eastern</t>
  </si>
  <si>
    <t>Northern</t>
  </si>
  <si>
    <t>TOTAL</t>
  </si>
  <si>
    <t>Chart type</t>
  </si>
  <si>
    <t>Donut or horizontal bar — regional opportunity weights (column B)</t>
  </si>
  <si>
    <t>SLIDE 3 — The Access Funnel (Central Public, Base Case, Month 1)</t>
  </si>
  <si>
    <t>Revenue is a product of 5 conversion steps — each one is a lever.</t>
  </si>
  <si>
    <t>Visual note</t>
  </si>
  <si>
    <t>Funnel diagram — use rates below as labels on each step</t>
  </si>
  <si>
    <t>Funnel Step</t>
  </si>
  <si>
    <t>Base Rate (Month 1)</t>
  </si>
  <si>
    <t>Positive Rate (Month 1)</t>
  </si>
  <si>
    <t>What it means</t>
  </si>
  <si>
    <t>1. ANC Access</t>
  </si>
  <si>
    <t>Share of pregnant women reached through ANC channel</t>
  </si>
  <si>
    <t>2. Third Trimester Window</t>
  </si>
  <si>
    <t>Share reached in the relevant gestational window</t>
  </si>
  <si>
    <t>3. Public Eligibility</t>
  </si>
  <si>
    <t>Funded or affordable share of reachable pregnancies</t>
  </si>
  <si>
    <t>4. Provider Recommendation</t>
  </si>
  <si>
    <t>Share where provider actively recommends the vaccine</t>
  </si>
  <si>
    <t>5. Patient Acceptance</t>
  </si>
  <si>
    <t>Share who accept the recommendation</t>
  </si>
  <si>
    <t>6. Stock Availability</t>
  </si>
  <si>
    <t>Share where product is physically in stock</t>
  </si>
  <si>
    <t>7. Active Coverage State (Month 1)</t>
  </si>
  <si>
    <t>Dynamic rollout state — starts low, builds over time</t>
  </si>
  <si>
    <t>Effective reach of addressable births (Base, M1)</t>
  </si>
  <si>
    <t>Effective reach of addressable births (Positive, M1)</t>
  </si>
  <si>
    <t>SLIDE 4 — Two Scenarios, One Question (Key Lever Comparison)</t>
  </si>
  <si>
    <t>What changes between Base and Positive? Execution discipline, not price.</t>
  </si>
  <si>
    <t>Assumption</t>
  </si>
  <si>
    <t>Base (Central Public)</t>
  </si>
  <si>
    <t>Positive (Central Public)</t>
  </si>
  <si>
    <t>Delta / Commentary</t>
  </si>
  <si>
    <t>Public Eligibility Rate (start)</t>
  </si>
  <si>
    <t>+25% better — more funded/affordable access</t>
  </si>
  <si>
    <t>Eligibility Annual Growth</t>
  </si>
  <si>
    <t>+2pp/yr — faster programme expansion</t>
  </si>
  <si>
    <t>Provider Recommendation Rate (start)</t>
  </si>
  <si>
    <t>+12% better — KOL and medical engagement</t>
  </si>
  <si>
    <t>Monthly Coverage Additions</t>
  </si>
  <si>
    <t>+35% faster rollout rate</t>
  </si>
  <si>
    <t>Coverage Churn (monthly)</t>
  </si>
  <si>
    <t>-25% lower drop-off</t>
  </si>
  <si>
    <t>Net Price Per Dose</t>
  </si>
  <si>
    <t>+8% — modest improvement, not the key driver</t>
  </si>
  <si>
    <t>-5% — leaner transfer price in Positive</t>
  </si>
  <si>
    <t>Note</t>
  </si>
  <si>
    <t>All figures are Central Public channel, Month 1 starting values. Other regions follow same directional pattern with lower absolute rates.</t>
  </si>
  <si>
    <t>SLIDES 5, 7 &amp; 8 — Chart Series Data (Revenue | Net Profit | Cumulative Profit)</t>
  </si>
  <si>
    <t>All values in UGX millions (2 decimal places). Source: Graphs tab rows 12–48.</t>
  </si>
  <si>
    <t>S5: Base Revenue (UGX M)</t>
  </si>
  <si>
    <t>S5: Positive Revenue (UGX M)</t>
  </si>
  <si>
    <t>S7: Base Net Profit (UGX M)</t>
  </si>
  <si>
    <t>S7: Positive Net Profit (UGX M)</t>
  </si>
  <si>
    <t>S8: Base Cumulative (UGX M)</t>
  </si>
  <si>
    <t>S8: Positive Cumulative (UGX M)</t>
  </si>
  <si>
    <t>SLIDE 6 — Cost Structure (Month 1, UGX millions)</t>
  </si>
  <si>
    <t>Fixed costs dominate early; variable costs scale with volume.</t>
  </si>
  <si>
    <t>Stacked bar: Fixed vs Variable for Base M1, Positive M1, and a mid-point (M18) for comparison</t>
  </si>
  <si>
    <t>Cost Component</t>
  </si>
  <si>
    <t>Type</t>
  </si>
  <si>
    <t>Base M1 (UGX M)</t>
  </si>
  <si>
    <t>Positive M1 (UGX M)</t>
  </si>
  <si>
    <t>Commentary</t>
  </si>
  <si>
    <t>Variable</t>
  </si>
  <si>
    <t>~UGX 20.5K/dose — largest variable cost</t>
  </si>
  <si>
    <t>Import &amp; Clearance</t>
  </si>
  <si>
    <t>International freight &amp; handling</t>
  </si>
  <si>
    <t>Cold-Chain Warehousing</t>
  </si>
  <si>
    <t>National cold-chain holding</t>
  </si>
  <si>
    <t>Distribution (all regions, both channels)</t>
  </si>
  <si>
    <t>Weighted across 4 regions × 2 channels</t>
  </si>
  <si>
    <t>Regulatory (headcount + fees)</t>
  </si>
  <si>
    <t>Fixed</t>
  </si>
  <si>
    <t>1 FTE + compliance fees</t>
  </si>
  <si>
    <t>Market Access (headcount + tender)</t>
  </si>
  <si>
    <t>2 FTE + tender support budget</t>
  </si>
  <si>
    <t>Medical (headcount + KOL)</t>
  </si>
  <si>
    <t>1 FTE + KOL program</t>
  </si>
  <si>
    <t>Training (all regions)</t>
  </si>
  <si>
    <t>Positive: leaner training budgets</t>
  </si>
  <si>
    <t>Private Sales (reps + manager + travel)</t>
  </si>
  <si>
    <t>3 field reps + sales manager</t>
  </si>
  <si>
    <t>Country Office (rent + admin + IT)</t>
  </si>
  <si>
    <t>Office, utilities, IT/QA</t>
  </si>
  <si>
    <t>Launch Budgets (all regions)</t>
  </si>
  <si>
    <t>Positive: 25% leaner launch spend</t>
  </si>
  <si>
    <t>TOTAL COSTS (UGX M)</t>
  </si>
  <si>
    <t>of which: Fixed</t>
  </si>
  <si>
    <t>of which: Variable</t>
  </si>
  <si>
    <t>Variable costs are approximate for Month 1 dose volumes (~500 total doses across all segments at launch). Fixed costs are drawn directly from Assumptions inputs.</t>
  </si>
  <si>
    <t>SLIDE 9 — What Drives the Difference</t>
  </si>
  <si>
    <t>The Positive case is not aggressive pricing — it’s execution.</t>
  </si>
  <si>
    <t>Lever</t>
  </si>
  <si>
    <t>Delta</t>
  </si>
  <si>
    <t>Investment Required</t>
  </si>
  <si>
    <t>Eligibility rate (Central, start)</t>
  </si>
  <si>
    <t>Donor/govt programme expansion, NHIS coverage</t>
  </si>
  <si>
    <t>Provider recommendation (Central, start)</t>
  </si>
  <si>
    <t>KOL engagement, HCP training, medical education</t>
  </si>
  <si>
    <t>Monthly coverage rollout (Central)</t>
  </si>
  <si>
    <t>Facility onboarding speed, awareness campaigns</t>
  </si>
  <si>
    <t>Coverage churn (monthly)</t>
  </si>
  <si>
    <t>Supply reliability, execution continuity</t>
  </si>
  <si>
    <t>Net price per dose (Central Public)</t>
  </si>
  <si>
    <t>Pricing is NOT the primary lever</t>
  </si>
  <si>
    <t>Revenue outcome (Month 36, UGX M)</t>
  </si>
  <si>
    <t>~2.8× revenue difference driven by access &amp; adoption</t>
  </si>
  <si>
    <t>Cumulative profit (Month 36, UGX M)</t>
  </si>
  <si>
    <t>UGX 4,527M swing in cumulative outcome</t>
  </si>
  <si>
    <t>SLIDE 10 — Strategic Implications &amp; Next Steps</t>
  </si>
  <si>
    <t>To reach the Positive trajectory, three things must be true.</t>
  </si>
  <si>
    <t>#</t>
  </si>
  <si>
    <t>Condition</t>
  </si>
  <si>
    <t>Model lever</t>
  </si>
  <si>
    <t>Decision / Action Required</t>
  </si>
  <si>
    <t>Funding access must expand</t>
  </si>
  <si>
    <t>Eligibility rate: 28% → 35% (Base → Positive)</t>
  </si>
  <si>
    <t>Confirm NHIS/donor commitment; define coverage expansion roadmap</t>
  </si>
  <si>
    <t>Provider engagement must be sustained</t>
  </si>
  <si>
    <t>Recommendation rate: 56% → 63% (Base → Positive)</t>
  </si>
  <si>
    <t>Approve KOL programme and HCP training investment</t>
  </si>
  <si>
    <t>Supply chain must be reliable</t>
  </si>
  <si>
    <t>Stock availability: 90% → 95.4% in Central; lower in North/East</t>
  </si>
  <si>
    <t>Commit cold-chain and distribution investment, esp. Northern/Eastern</t>
  </si>
  <si>
    <t>Key financial milestones (Positive case)</t>
  </si>
  <si>
    <t>Monthly break-even</t>
  </si>
  <si>
    <t>UGX M net profit (positive case)</t>
  </si>
  <si>
    <t>Cumulative cash recovery</t>
  </si>
  <si>
    <t>UGX M cumulative (turns positive)</t>
  </si>
  <si>
    <t>Month 36 run-rate</t>
  </si>
  <si>
    <t>UGX M monthly net profit (Positive)</t>
  </si>
  <si>
    <t>Month 36 cumulative</t>
  </si>
  <si>
    <t>UGX M cumulative (Positive)</t>
  </si>
  <si>
    <t>Call to action</t>
  </si>
  <si>
    <t>Define go/no-go criteria and investment commitment required to unlock Positive trajectory. Key question: what is the cost of the interventions in column D above, and does that change the model?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</si>
</sst>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%"/>
    <numFmt numFmtId="165" formatCode="#,##0.00;[Red]\(#,##0.00\)"/>
    <numFmt numFmtId="166" formatCode="_(* #,##0_);_(* \(#,##0\);_(* &quot;-&quot;??_);_(@_)"/>
    <numFmt numFmtId="167" formatCode="\+0%;\-0%;0%"/>
    <numFmt numFmtId="168" formatCode="\+0.0%;\-0.0%;0.0%"/>
    <numFmt numFmtId="169" formatCode="\+0.00%;\-0.00%;0.00%"/>
    <numFmt numFmtId="170" formatCode="#,##0.0"/>
  </numFmts>
  <fonts count="1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name val="Calibri"/>
      <family val="2"/>
    </font>
    <font>
      <sz val="11"/>
      <color rgb="FF666666"/>
      <name val="Calibri"/>
      <family val="2"/>
    </font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/>
    </fill>
    <fill>
      <patternFill patternType="solid">
        <fgColor rgb="FFC0C0C0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1F1F1F"/>
      </patternFill>
    </fill>
    <fill>
      <patternFill patternType="solid">
        <fgColor rgb="FFE2F0D9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/>
    <xf numFmtId="0" fontId="2" fillId="3" borderId="0" xfId="0" applyFont="1" applyFill="1"/>
    <xf numFmtId="4" fontId="2" fillId="4" borderId="0" xfId="0" applyNumberFormat="1" applyFont="1" applyFill="1"/>
    <xf numFmtId="4" fontId="2" fillId="5" borderId="0" xfId="0" applyNumberFormat="1" applyFont="1" applyFill="1"/>
    <xf numFmtId="0" fontId="1" fillId="6" borderId="0" xfId="0" applyFont="1" applyFill="1"/>
    <xf numFmtId="4" fontId="1" fillId="6" borderId="0" xfId="0" applyNumberFormat="1" applyFont="1" applyFill="1"/>
    <xf numFmtId="0" fontId="3" fillId="7" borderId="0" xfId="0" applyFont="1" applyFill="1"/>
    <xf numFmtId="4" fontId="3" fillId="7" borderId="0" xfId="0" applyNumberFormat="1" applyFont="1" applyFill="1"/>
    <xf numFmtId="4" fontId="2" fillId="3" borderId="0" xfId="0" applyNumberFormat="1" applyFont="1" applyFill="1"/>
    <xf numFmtId="0" fontId="4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/>
    </xf>
    <xf numFmtId="165" fontId="0" fillId="0" borderId="0" xfId="0" applyNumberFormat="1"/>
    <xf numFmtId="0" fontId="3" fillId="9" borderId="0" xfId="0" applyFont="1" applyFill="1" applyAlignment="1">
      <alignment horizontal="center"/>
    </xf>
    <xf numFmtId="166" fontId="1" fillId="2" borderId="0" xfId="1" applyNumberFormat="1" applyFont="1" applyFill="1"/>
    <xf numFmtId="166" fontId="0" fillId="0" borderId="0" xfId="1" applyNumberFormat="1" applyFont="1"/>
    <xf numFmtId="166" fontId="1" fillId="6" borderId="0" xfId="0" applyNumberFormat="1" applyFont="1" applyFill="1"/>
    <xf numFmtId="166" fontId="0" fillId="0" borderId="0" xfId="0" applyNumberFormat="1"/>
    <xf numFmtId="0" fontId="1" fillId="2" borderId="1" xfId="0" applyFont="1" applyFill="1" applyBorder="1"/>
    <xf numFmtId="164" fontId="2" fillId="4" borderId="1" xfId="0" applyNumberFormat="1" applyFont="1" applyFill="1" applyBorder="1"/>
    <xf numFmtId="164" fontId="2" fillId="5" borderId="1" xfId="0" applyNumberFormat="1" applyFont="1" applyFill="1" applyBorder="1"/>
    <xf numFmtId="0" fontId="0" fillId="0" borderId="1" xfId="0" applyBorder="1"/>
    <xf numFmtId="0" fontId="2" fillId="3" borderId="1" xfId="0" applyFont="1" applyFill="1" applyBorder="1"/>
    <xf numFmtId="0" fontId="1" fillId="8" borderId="1" xfId="0" applyFont="1" applyFill="1" applyBorder="1" applyAlignment="1">
      <alignment horizontal="center"/>
    </xf>
    <xf numFmtId="165" fontId="0" fillId="0" borderId="1" xfId="0" applyNumberFormat="1" applyBorder="1"/>
    <xf numFmtId="0" fontId="9" fillId="11" borderId="0" xfId="0" applyFont="1" applyFill="1"/>
    <xf numFmtId="0" fontId="10" fillId="0" borderId="0" xfId="0" applyFont="1"/>
    <xf numFmtId="0" fontId="10" fillId="12" borderId="0" xfId="0" applyFont="1" applyFill="1"/>
    <xf numFmtId="0" fontId="11" fillId="0" borderId="0" xfId="0" applyFont="1"/>
    <xf numFmtId="0" fontId="12" fillId="11" borderId="0" xfId="0" applyFont="1" applyFill="1"/>
    <xf numFmtId="0" fontId="13" fillId="0" borderId="0" xfId="0" applyFont="1"/>
    <xf numFmtId="0" fontId="7" fillId="10" borderId="0" xfId="0" applyFont="1" applyFill="1"/>
    <xf numFmtId="0" fontId="8" fillId="0" borderId="0" xfId="0" applyFont="1"/>
    <xf numFmtId="0" fontId="0" fillId="0" borderId="0" xfId="0" applyAlignment="1">
      <alignment wrapText="1"/>
    </xf>
    <xf numFmtId="0" fontId="10" fillId="12" borderId="0" xfId="0" applyFont="1" applyFill="1" applyAlignment="1">
      <alignment wrapText="1"/>
    </xf>
    <xf numFmtId="9" fontId="0" fillId="0" borderId="0" xfId="0" applyNumberFormat="1" applyAlignment="1">
      <alignment wrapText="1"/>
    </xf>
    <xf numFmtId="9" fontId="10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164" fontId="10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11" fillId="0" borderId="0" xfId="0" applyFont="1" applyAlignment="1">
      <alignment wrapText="1"/>
    </xf>
    <xf numFmtId="4" fontId="0" fillId="0" borderId="0" xfId="0" applyNumberFormat="1" applyAlignment="1">
      <alignment wrapText="1"/>
    </xf>
    <xf numFmtId="4" fontId="10" fillId="0" borderId="0" xfId="0" applyNumberFormat="1" applyFont="1" applyAlignment="1">
      <alignment wrapText="1"/>
    </xf>
    <xf numFmtId="4" fontId="11" fillId="0" borderId="0" xfId="0" applyNumberFormat="1" applyFont="1" applyAlignment="1">
      <alignment wrapText="1"/>
    </xf>
    <xf numFmtId="167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69" fontId="0" fillId="0" borderId="0" xfId="0" applyNumberFormat="1" applyAlignment="1">
      <alignment wrapText="1"/>
    </xf>
    <xf numFmtId="170" fontId="0" fillId="0" borderId="0" xfId="0" applyNumberFormat="1" applyAlignment="1">
      <alignment wrapText="1"/>
    </xf>
    <xf numFmtId="166" fontId="1" fillId="6" borderId="0" xfId="1" applyNumberFormat="1" applyFont="1" applyFill="1"/>
    <xf numFmtId="166" fontId="3" fillId="7" borderId="0" xfId="1" applyNumberFormat="1" applyFont="1" applyFill="1"/>
    <xf numFmtId="166" fontId="2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Revenue vs Total Costs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Graphs!$B$11</c:f>
              <c:strCache>
                <c:ptCount val="1"/>
                <c:pt idx="0">
                  <c:v>Base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Graphs!$B$12:$B$47</c:f>
              <c:numCache>
                <c:formatCode>#,##0.00;[Red]\(#,##0.00\)</c:formatCode>
                <c:ptCount val="36"/>
                <c:pt idx="0">
                  <c:v>16088066.109212415</c:v>
                </c:pt>
                <c:pt idx="1">
                  <c:v>20075532.288676322</c:v>
                </c:pt>
                <c:pt idx="2">
                  <c:v>24206012.604968131</c:v>
                </c:pt>
                <c:pt idx="3">
                  <c:v>28483454.562969118</c:v>
                </c:pt>
                <c:pt idx="4">
                  <c:v>32911903.221438404</c:v>
                </c:pt>
                <c:pt idx="5">
                  <c:v>37495503.461002752</c:v>
                </c:pt>
                <c:pt idx="6">
                  <c:v>42238502.302879289</c:v>
                </c:pt>
                <c:pt idx="7">
                  <c:v>47145251.279435955</c:v>
                </c:pt>
                <c:pt idx="8">
                  <c:v>52220208.857719153</c:v>
                </c:pt>
                <c:pt idx="9">
                  <c:v>57467942.917100847</c:v>
                </c:pt>
                <c:pt idx="10">
                  <c:v>62893133.282223582</c:v>
                </c:pt>
                <c:pt idx="11">
                  <c:v>68500574.31244567</c:v>
                </c:pt>
                <c:pt idx="12">
                  <c:v>74295177.549015179</c:v>
                </c:pt>
                <c:pt idx="13">
                  <c:v>80281974.421227515</c:v>
                </c:pt>
                <c:pt idx="14">
                  <c:v>86466119.012848079</c:v>
                </c:pt>
                <c:pt idx="15">
                  <c:v>92852890.890108466</c:v>
                </c:pt>
                <c:pt idx="16">
                  <c:v>99447697.992613614</c:v>
                </c:pt>
                <c:pt idx="17">
                  <c:v>106256079.5885241</c:v>
                </c:pt>
                <c:pt idx="18">
                  <c:v>113283709.29540926</c:v>
                </c:pt>
                <c:pt idx="19">
                  <c:v>120536398.16819364</c:v>
                </c:pt>
                <c:pt idx="20">
                  <c:v>128020097.85565247</c:v>
                </c:pt>
                <c:pt idx="21">
                  <c:v>135740903.82694072</c:v>
                </c:pt>
                <c:pt idx="22">
                  <c:v>143705058.66967258</c:v>
                </c:pt>
                <c:pt idx="23">
                  <c:v>151918955.46110094</c:v>
                </c:pt>
                <c:pt idx="24">
                  <c:v>160389141.21397993</c:v>
                </c:pt>
                <c:pt idx="25">
                  <c:v>169122320.39872417</c:v>
                </c:pt>
                <c:pt idx="26">
                  <c:v>178125358.54351676</c:v>
                </c:pt>
                <c:pt idx="27">
                  <c:v>187405285.914051</c:v>
                </c:pt>
                <c:pt idx="28">
                  <c:v>196969301.27462667</c:v>
                </c:pt>
                <c:pt idx="29">
                  <c:v>206824775.73235765</c:v>
                </c:pt>
                <c:pt idx="30">
                  <c:v>216979256.66628891</c:v>
                </c:pt>
                <c:pt idx="31">
                  <c:v>227440471.74325216</c:v>
                </c:pt>
                <c:pt idx="32">
                  <c:v>238216333.02233446</c:v>
                </c:pt>
                <c:pt idx="33">
                  <c:v>249314941.14987218</c:v>
                </c:pt>
                <c:pt idx="34">
                  <c:v>260744589.64691982</c:v>
                </c:pt>
                <c:pt idx="35">
                  <c:v>272513769.29119182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1D-D44A-BE28-83A8483530F2}"/>
            </c:ext>
          </c:extLst>
        </c:ser>
        <c:ser>
          <c:idx val="1"/>
          <c:order val="1"/>
          <c:tx>
            <c:strRef>
              <c:f>Graphs!$C$11</c:f>
              <c:strCache>
                <c:ptCount val="1"/>
                <c:pt idx="0">
                  <c:v>Base Total Costs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Graphs!$C$12:$C$47</c:f>
              <c:numCache>
                <c:formatCode>#,##0.00;[Red]\(#,##0.00\)</c:formatCode>
                <c:ptCount val="36"/>
                <c:pt idx="0">
                  <c:v>135045466.90064085</c:v>
                </c:pt>
                <c:pt idx="1">
                  <c:v>137728483.88585582</c:v>
                </c:pt>
                <c:pt idx="2">
                  <c:v>140496441.98788247</c:v>
                </c:pt>
                <c:pt idx="3">
                  <c:v>143351722.08487761</c:v>
                </c:pt>
                <c:pt idx="4">
                  <c:v>146296765.66299957</c:v>
                </c:pt>
                <c:pt idx="5">
                  <c:v>149334076.27109373</c:v>
                </c:pt>
                <c:pt idx="6">
                  <c:v>152466221.00899443</c:v>
                </c:pt>
                <c:pt idx="7">
                  <c:v>155695832.05019933</c:v>
                </c:pt>
                <c:pt idx="8">
                  <c:v>159025608.19969022</c:v>
                </c:pt>
                <c:pt idx="9">
                  <c:v>162458316.48769093</c:v>
                </c:pt>
                <c:pt idx="10">
                  <c:v>165996793.80016983</c:v>
                </c:pt>
                <c:pt idx="11">
                  <c:v>169643948.5469141</c:v>
                </c:pt>
                <c:pt idx="12">
                  <c:v>173402762.36801872</c:v>
                </c:pt>
                <c:pt idx="13">
                  <c:v>177276291.87965375</c:v>
                </c:pt>
                <c:pt idx="14">
                  <c:v>181267670.45999128</c:v>
                </c:pt>
                <c:pt idx="15">
                  <c:v>185380110.07619366</c:v>
                </c:pt>
                <c:pt idx="16">
                  <c:v>189616903.15338406</c:v>
                </c:pt>
                <c:pt idx="17">
                  <c:v>193981424.48654065</c:v>
                </c:pt>
                <c:pt idx="18">
                  <c:v>198477133.19627672</c:v>
                </c:pt>
                <c:pt idx="19">
                  <c:v>203107574.72949028</c:v>
                </c:pt>
                <c:pt idx="20">
                  <c:v>207876382.90588766</c:v>
                </c:pt>
                <c:pt idx="21">
                  <c:v>212787282.01140893</c:v>
                </c:pt>
                <c:pt idx="22">
                  <c:v>217844088.93960407</c:v>
                </c:pt>
                <c:pt idx="23">
                  <c:v>223050715.38203341</c:v>
                </c:pt>
                <c:pt idx="24">
                  <c:v>228411170.06878895</c:v>
                </c:pt>
                <c:pt idx="25">
                  <c:v>233929561.06025603</c:v>
                </c:pt>
                <c:pt idx="26">
                  <c:v>239610098.09126127</c:v>
                </c:pt>
                <c:pt idx="27">
                  <c:v>245457094.96877751</c:v>
                </c:pt>
                <c:pt idx="28">
                  <c:v>251474972.02438095</c:v>
                </c:pt>
                <c:pt idx="29">
                  <c:v>257668258.62268278</c:v>
                </c:pt>
                <c:pt idx="30">
                  <c:v>264041595.72698575</c:v>
                </c:pt>
                <c:pt idx="31">
                  <c:v>270599738.52344048</c:v>
                </c:pt>
                <c:pt idx="32">
                  <c:v>277347559.10500693</c:v>
                </c:pt>
                <c:pt idx="33">
                  <c:v>284290049.216555</c:v>
                </c:pt>
                <c:pt idx="34">
                  <c:v>291432323.06246465</c:v>
                </c:pt>
                <c:pt idx="35">
                  <c:v>298779620.17812014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91D-D44A-BE28-83A848353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UGX</a:t>
                </a:r>
              </a:p>
            </c:rich>
          </c:tx>
          <c:overlay val="1"/>
        </c:title>
        <c:numFmt formatCode="#,##0.00;[Red]\(#,##0.0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Monthly Net Profit: Base vs Positive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Graphs!$D$11</c:f>
              <c:strCache>
                <c:ptCount val="1"/>
                <c:pt idx="0">
                  <c:v>Base Net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Graphs!$D$12:$D$47</c:f>
              <c:numCache>
                <c:formatCode>#,##0.00;[Red]\(#,##0.00\)</c:formatCode>
                <c:ptCount val="36"/>
                <c:pt idx="0">
                  <c:v>-118957400.79142843</c:v>
                </c:pt>
                <c:pt idx="1">
                  <c:v>-117652951.5971795</c:v>
                </c:pt>
                <c:pt idx="2">
                  <c:v>-116290429.38291433</c:v>
                </c:pt>
                <c:pt idx="3">
                  <c:v>-114868267.52190849</c:v>
                </c:pt>
                <c:pt idx="4">
                  <c:v>-113384862.44156116</c:v>
                </c:pt>
                <c:pt idx="5">
                  <c:v>-111838572.81009097</c:v>
                </c:pt>
                <c:pt idx="6">
                  <c:v>-110227718.70611514</c:v>
                </c:pt>
                <c:pt idx="7">
                  <c:v>-108550580.77076337</c:v>
                </c:pt>
                <c:pt idx="8">
                  <c:v>-106805399.34197107</c:v>
                </c:pt>
                <c:pt idx="9">
                  <c:v>-104990373.57059008</c:v>
                </c:pt>
                <c:pt idx="10">
                  <c:v>-103103660.51794624</c:v>
                </c:pt>
                <c:pt idx="11">
                  <c:v>-101143374.23446843</c:v>
                </c:pt>
                <c:pt idx="12">
                  <c:v>-99107584.819003537</c:v>
                </c:pt>
                <c:pt idx="13">
                  <c:v>-96994317.458426237</c:v>
                </c:pt>
                <c:pt idx="14">
                  <c:v>-94801551.447143197</c:v>
                </c:pt>
                <c:pt idx="15">
                  <c:v>-92527219.186085194</c:v>
                </c:pt>
                <c:pt idx="16">
                  <c:v>-90169205.160770446</c:v>
                </c:pt>
                <c:pt idx="17">
                  <c:v>-87725344.898016542</c:v>
                </c:pt>
                <c:pt idx="18">
                  <c:v>-85193423.900867462</c:v>
                </c:pt>
                <c:pt idx="19">
                  <c:v>-82571176.561296642</c:v>
                </c:pt>
                <c:pt idx="20">
                  <c:v>-79856285.050235197</c:v>
                </c:pt>
                <c:pt idx="21">
                  <c:v>-77046378.18446821</c:v>
                </c:pt>
                <c:pt idx="22">
                  <c:v>-74139030.269931495</c:v>
                </c:pt>
                <c:pt idx="23">
                  <c:v>-71131759.920932472</c:v>
                </c:pt>
                <c:pt idx="24">
                  <c:v>-68022028.854809016</c:v>
                </c:pt>
                <c:pt idx="25">
                  <c:v>-64807240.661531866</c:v>
                </c:pt>
                <c:pt idx="26">
                  <c:v>-61484739.547744513</c:v>
                </c:pt>
                <c:pt idx="27">
                  <c:v>-58051809.054726511</c:v>
                </c:pt>
                <c:pt idx="28">
                  <c:v>-54505670.74975428</c:v>
                </c:pt>
                <c:pt idx="29">
                  <c:v>-50843482.890325129</c:v>
                </c:pt>
                <c:pt idx="30">
                  <c:v>-47062339.06069684</c:v>
                </c:pt>
                <c:pt idx="31">
                  <c:v>-43159266.780188322</c:v>
                </c:pt>
                <c:pt idx="32">
                  <c:v>-39131226.082672477</c:v>
                </c:pt>
                <c:pt idx="33">
                  <c:v>-34975108.066682816</c:v>
                </c:pt>
                <c:pt idx="34">
                  <c:v>-30687733.415544838</c:v>
                </c:pt>
                <c:pt idx="35">
                  <c:v>-26265850.88692832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2C-9546-AB43-C5640772359F}"/>
            </c:ext>
          </c:extLst>
        </c:ser>
        <c:ser>
          <c:idx val="1"/>
          <c:order val="1"/>
          <c:tx>
            <c:strRef>
              <c:f>Graphs!$E$11</c:f>
              <c:strCache>
                <c:ptCount val="1"/>
                <c:pt idx="0">
                  <c:v>Base Cumulative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Graphs!$E$12:$E$47</c:f>
              <c:numCache>
                <c:formatCode>#,##0.00;[Red]\(#,##0.00\)</c:formatCode>
                <c:ptCount val="36"/>
                <c:pt idx="0">
                  <c:v>-118957400.79142843</c:v>
                </c:pt>
                <c:pt idx="1">
                  <c:v>-236610352.38860792</c:v>
                </c:pt>
                <c:pt idx="2">
                  <c:v>-352900781.77152228</c:v>
                </c:pt>
                <c:pt idx="3">
                  <c:v>-467769049.29343081</c:v>
                </c:pt>
                <c:pt idx="4">
                  <c:v>-581153911.73499203</c:v>
                </c:pt>
                <c:pt idx="5">
                  <c:v>-692992484.54508305</c:v>
                </c:pt>
                <c:pt idx="6">
                  <c:v>-803220203.25119817</c:v>
                </c:pt>
                <c:pt idx="7">
                  <c:v>-911770784.02196157</c:v>
                </c:pt>
                <c:pt idx="8">
                  <c:v>-1018576183.3639326</c:v>
                </c:pt>
                <c:pt idx="9">
                  <c:v>-1123566556.9345226</c:v>
                </c:pt>
                <c:pt idx="10">
                  <c:v>-1226670217.4524689</c:v>
                </c:pt>
                <c:pt idx="11">
                  <c:v>-1327813591.6869373</c:v>
                </c:pt>
                <c:pt idx="12">
                  <c:v>-1426921176.5059409</c:v>
                </c:pt>
                <c:pt idx="13">
                  <c:v>-1523915493.9643672</c:v>
                </c:pt>
                <c:pt idx="14">
                  <c:v>-1618717045.4115105</c:v>
                </c:pt>
                <c:pt idx="15">
                  <c:v>-1711244264.5975957</c:v>
                </c:pt>
                <c:pt idx="16">
                  <c:v>-1801413469.7583661</c:v>
                </c:pt>
                <c:pt idx="17">
                  <c:v>-1889138814.6563826</c:v>
                </c:pt>
                <c:pt idx="18">
                  <c:v>-1974332238.55725</c:v>
                </c:pt>
                <c:pt idx="19">
                  <c:v>-2056903415.1185467</c:v>
                </c:pt>
                <c:pt idx="20">
                  <c:v>-2136759700.168782</c:v>
                </c:pt>
                <c:pt idx="21">
                  <c:v>-2213806078.35325</c:v>
                </c:pt>
                <c:pt idx="22">
                  <c:v>-2287945108.6231813</c:v>
                </c:pt>
                <c:pt idx="23">
                  <c:v>-2359076868.5441136</c:v>
                </c:pt>
                <c:pt idx="24">
                  <c:v>-2427098897.3989224</c:v>
                </c:pt>
                <c:pt idx="25">
                  <c:v>-2491906138.0604544</c:v>
                </c:pt>
                <c:pt idx="26">
                  <c:v>-2553390877.6081991</c:v>
                </c:pt>
                <c:pt idx="27">
                  <c:v>-2611442686.6629257</c:v>
                </c:pt>
                <c:pt idx="28">
                  <c:v>-2665948357.4126801</c:v>
                </c:pt>
                <c:pt idx="29">
                  <c:v>-2716791840.3030052</c:v>
                </c:pt>
                <c:pt idx="30">
                  <c:v>-2763854179.3637018</c:v>
                </c:pt>
                <c:pt idx="31">
                  <c:v>-2807013446.1438904</c:v>
                </c:pt>
                <c:pt idx="32">
                  <c:v>-2846144672.226563</c:v>
                </c:pt>
                <c:pt idx="33">
                  <c:v>-2881119780.2932458</c:v>
                </c:pt>
                <c:pt idx="34">
                  <c:v>-2911807513.7087908</c:v>
                </c:pt>
                <c:pt idx="35">
                  <c:v>-2938073364.5957193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2C-9546-AB43-C5640772359F}"/>
            </c:ext>
          </c:extLst>
        </c:ser>
        <c:ser>
          <c:idx val="2"/>
          <c:order val="2"/>
          <c:tx>
            <c:strRef>
              <c:f>Graphs!$F$11</c:f>
              <c:strCache>
                <c:ptCount val="1"/>
                <c:pt idx="0">
                  <c:v>Positive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Graphs!$F$12:$F$47</c:f>
              <c:numCache>
                <c:formatCode>#,##0.00;[Red]\(#,##0.00\)</c:formatCode>
                <c:ptCount val="36"/>
                <c:pt idx="0">
                  <c:v>26728496.556102067</c:v>
                </c:pt>
                <c:pt idx="1">
                  <c:v>36784642.878752038</c:v>
                </c:pt>
                <c:pt idx="2">
                  <c:v>47272382.551650099</c:v>
                </c:pt>
                <c:pt idx="3">
                  <c:v>58205907.136929564</c:v>
                </c:pt>
                <c:pt idx="4">
                  <c:v>69599825.782395303</c:v>
                </c:pt>
                <c:pt idx="5">
                  <c:v>81469176.784067959</c:v>
                </c:pt>
                <c:pt idx="6">
                  <c:v>93829439.456921279</c:v>
                </c:pt>
                <c:pt idx="7">
                  <c:v>106696546.32181668</c:v>
                </c:pt>
                <c:pt idx="8">
                  <c:v>120086895.61684546</c:v>
                </c:pt>
                <c:pt idx="9">
                  <c:v>134017364.14149575</c:v>
                </c:pt>
                <c:pt idx="10">
                  <c:v>148505320.44227821</c:v>
                </c:pt>
                <c:pt idx="11">
                  <c:v>163568638.34866226</c:v>
                </c:pt>
                <c:pt idx="12">
                  <c:v>179225710.86840156</c:v>
                </c:pt>
                <c:pt idx="13">
                  <c:v>195495464.45155823</c:v>
                </c:pt>
                <c:pt idx="14">
                  <c:v>212397373.63277164</c:v>
                </c:pt>
                <c:pt idx="15">
                  <c:v>229951476.06156021</c:v>
                </c:pt>
                <c:pt idx="16">
                  <c:v>248178387.93069515</c:v>
                </c:pt>
                <c:pt idx="17">
                  <c:v>267099319.81293947</c:v>
                </c:pt>
                <c:pt idx="18">
                  <c:v>286736092.91670489</c:v>
                </c:pt>
                <c:pt idx="19">
                  <c:v>307111155.77145243</c:v>
                </c:pt>
                <c:pt idx="20">
                  <c:v>328247601.35393131</c:v>
                </c:pt>
                <c:pt idx="21">
                  <c:v>350169184.66663897</c:v>
                </c:pt>
                <c:pt idx="22">
                  <c:v>372900340.78016722</c:v>
                </c:pt>
                <c:pt idx="23">
                  <c:v>396466203.35140002</c:v>
                </c:pt>
                <c:pt idx="24">
                  <c:v>420892623.62983394</c:v>
                </c:pt>
                <c:pt idx="25">
                  <c:v>446206189.96459365</c:v>
                </c:pt>
                <c:pt idx="26">
                  <c:v>472434247.82504594</c:v>
                </c:pt>
                <c:pt idx="27">
                  <c:v>499604920.34823537</c:v>
                </c:pt>
                <c:pt idx="28">
                  <c:v>527747129.42669863</c:v>
                </c:pt>
                <c:pt idx="29">
                  <c:v>556890617.35056531</c:v>
                </c:pt>
                <c:pt idx="30">
                  <c:v>587065969.01819599</c:v>
                </c:pt>
                <c:pt idx="31">
                  <c:v>618304634.72997785</c:v>
                </c:pt>
                <c:pt idx="32">
                  <c:v>650638953.58025575</c:v>
                </c:pt>
                <c:pt idx="33">
                  <c:v>684102177.4627775</c:v>
                </c:pt>
                <c:pt idx="34">
                  <c:v>718728495.70538962</c:v>
                </c:pt>
                <c:pt idx="35">
                  <c:v>754553060.35015023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12C-9546-AB43-C5640772359F}"/>
            </c:ext>
          </c:extLst>
        </c:ser>
        <c:ser>
          <c:idx val="3"/>
          <c:order val="3"/>
          <c:tx>
            <c:strRef>
              <c:f>Graphs!$G$11</c:f>
              <c:strCache>
                <c:ptCount val="1"/>
                <c:pt idx="0">
                  <c:v>Positive Total Costs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Graphs!$G$12:$G$47</c:f>
              <c:numCache>
                <c:formatCode>#,##0.00;[Red]\(#,##0.00\)</c:formatCode>
                <c:ptCount val="36"/>
                <c:pt idx="0">
                  <c:v>119523211.93121669</c:v>
                </c:pt>
                <c:pt idx="1">
                  <c:v>124896861.73695643</c:v>
                </c:pt>
                <c:pt idx="2">
                  <c:v>130492290.01493059</c:v>
                </c:pt>
                <c:pt idx="3">
                  <c:v>136316943.94013554</c:v>
                </c:pt>
                <c:pt idx="4">
                  <c:v>142378495.65119493</c:v>
                </c:pt>
                <c:pt idx="5">
                  <c:v>148684848.65072581</c:v>
                </c:pt>
                <c:pt idx="6">
                  <c:v>155244144.38105127</c:v>
                </c:pt>
                <c:pt idx="7">
                  <c:v>162064768.9799411</c:v>
                </c:pt>
                <c:pt idx="8">
                  <c:v>169155360.22118637</c:v>
                </c:pt>
                <c:pt idx="9">
                  <c:v>176524814.64493793</c:v>
                </c:pt>
                <c:pt idx="10">
                  <c:v>184182294.88286906</c:v>
                </c:pt>
                <c:pt idx="11">
                  <c:v>192137237.18335488</c:v>
                </c:pt>
                <c:pt idx="12">
                  <c:v>200399359.14199656</c:v>
                </c:pt>
                <c:pt idx="13">
                  <c:v>208978667.64295879</c:v>
                </c:pt>
                <c:pt idx="14">
                  <c:v>217885467.01673073</c:v>
                </c:pt>
                <c:pt idx="15">
                  <c:v>227130367.42006859</c:v>
                </c:pt>
                <c:pt idx="16">
                  <c:v>236724293.44402799</c:v>
                </c:pt>
                <c:pt idx="17">
                  <c:v>246678492.95614851</c:v>
                </c:pt>
                <c:pt idx="18">
                  <c:v>257004546.18301123</c:v>
                </c:pt>
                <c:pt idx="19">
                  <c:v>267714375.03955406</c:v>
                </c:pt>
                <c:pt idx="20">
                  <c:v>278820252.71169263</c:v>
                </c:pt>
                <c:pt idx="21">
                  <c:v>290334813.49897063</c:v>
                </c:pt>
                <c:pt idx="22">
                  <c:v>302271062.92413384</c:v>
                </c:pt>
                <c:pt idx="23">
                  <c:v>314642388.11670554</c:v>
                </c:pt>
                <c:pt idx="24">
                  <c:v>327462568.47782439</c:v>
                </c:pt>
                <c:pt idx="25">
                  <c:v>340745786.63379413</c:v>
                </c:pt>
                <c:pt idx="26">
                  <c:v>354506639.68598998</c:v>
                </c:pt>
                <c:pt idx="27">
                  <c:v>368760150.76496553</c:v>
                </c:pt>
                <c:pt idx="28">
                  <c:v>383521780.89680737</c:v>
                </c:pt>
                <c:pt idx="29">
                  <c:v>398807441.18999577</c:v>
                </c:pt>
                <c:pt idx="30">
                  <c:v>414633505.35124284</c:v>
                </c:pt>
                <c:pt idx="31">
                  <c:v>431016822.53900242</c:v>
                </c:pt>
                <c:pt idx="32">
                  <c:v>447974730.56356621</c:v>
                </c:pt>
                <c:pt idx="33">
                  <c:v>465525069.44290614</c:v>
                </c:pt>
                <c:pt idx="34">
                  <c:v>483686195.32363886</c:v>
                </c:pt>
                <c:pt idx="35">
                  <c:v>502476994.77675879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12C-9546-AB43-C5640772359F}"/>
            </c:ext>
          </c:extLst>
        </c:ser>
        <c:ser>
          <c:idx val="4"/>
          <c:order val="4"/>
          <c:tx>
            <c:strRef>
              <c:f>Graphs!$H$11</c:f>
              <c:strCache>
                <c:ptCount val="1"/>
                <c:pt idx="0">
                  <c:v>Positive Net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Graphs!$H$12:$H$47</c:f>
              <c:numCache>
                <c:formatCode>#,##0.00;[Red]\(#,##0.00\)</c:formatCode>
                <c:ptCount val="36"/>
                <c:pt idx="0">
                  <c:v>-92794715.37511462</c:v>
                </c:pt>
                <c:pt idx="1">
                  <c:v>-88112218.858204395</c:v>
                </c:pt>
                <c:pt idx="2">
                  <c:v>-83219907.463280499</c:v>
                </c:pt>
                <c:pt idx="3">
                  <c:v>-78111036.803205967</c:v>
                </c:pt>
                <c:pt idx="4">
                  <c:v>-72778669.868799627</c:v>
                </c:pt>
                <c:pt idx="5">
                  <c:v>-67215671.866657853</c:v>
                </c:pt>
                <c:pt idx="6">
                  <c:v>-61414704.924129993</c:v>
                </c:pt>
                <c:pt idx="7">
                  <c:v>-55368222.658124417</c:v>
                </c:pt>
                <c:pt idx="8">
                  <c:v>-49068464.604340911</c:v>
                </c:pt>
                <c:pt idx="9">
                  <c:v>-42507450.503442183</c:v>
                </c:pt>
                <c:pt idx="10">
                  <c:v>-35676974.440590858</c:v>
                </c:pt>
                <c:pt idx="11">
                  <c:v>-28568598.834692627</c:v>
                </c:pt>
                <c:pt idx="12">
                  <c:v>-21173648.273595005</c:v>
                </c:pt>
                <c:pt idx="13">
                  <c:v>-13483203.191400558</c:v>
                </c:pt>
                <c:pt idx="14">
                  <c:v>-5488093.3839590847</c:v>
                </c:pt>
                <c:pt idx="15">
                  <c:v>2821108.6414916217</c:v>
                </c:pt>
                <c:pt idx="16">
                  <c:v>11454094.486667156</c:v>
                </c:pt>
                <c:pt idx="17">
                  <c:v>20420826.85679096</c:v>
                </c:pt>
                <c:pt idx="18">
                  <c:v>29731546.733693659</c:v>
                </c:pt>
                <c:pt idx="19">
                  <c:v>39396780.731898367</c:v>
                </c:pt>
                <c:pt idx="20">
                  <c:v>49427348.642238677</c:v>
                </c:pt>
                <c:pt idx="21">
                  <c:v>59834371.167668343</c:v>
                </c:pt>
                <c:pt idx="22">
                  <c:v>70629277.856033385</c:v>
                </c:pt>
                <c:pt idx="23">
                  <c:v>81823815.234694481</c:v>
                </c:pt>
                <c:pt idx="24">
                  <c:v>93430055.152009547</c:v>
                </c:pt>
                <c:pt idx="25">
                  <c:v>105460403.33079952</c:v>
                </c:pt>
                <c:pt idx="26">
                  <c:v>117927608.13905597</c:v>
                </c:pt>
                <c:pt idx="27">
                  <c:v>130844769.58326983</c:v>
                </c:pt>
                <c:pt idx="28">
                  <c:v>144225348.52989125</c:v>
                </c:pt>
                <c:pt idx="29">
                  <c:v>158083176.16056955</c:v>
                </c:pt>
                <c:pt idx="30">
                  <c:v>172432463.66695315</c:v>
                </c:pt>
                <c:pt idx="31">
                  <c:v>187287812.19097543</c:v>
                </c:pt>
                <c:pt idx="32">
                  <c:v>202664223.01668954</c:v>
                </c:pt>
                <c:pt idx="33">
                  <c:v>218577108.01987135</c:v>
                </c:pt>
                <c:pt idx="34">
                  <c:v>235042300.38175076</c:v>
                </c:pt>
                <c:pt idx="35">
                  <c:v>252076065.57339144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12C-9546-AB43-C56407723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UGX</a:t>
                </a:r>
              </a:p>
            </c:rich>
          </c:tx>
          <c:overlay val="1"/>
        </c:title>
        <c:numFmt formatCode="#,##0.00;[Red]\(#,##0.0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Cumulative Profit / Cash Proxy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Graphs!$E$11</c:f>
              <c:strCache>
                <c:ptCount val="1"/>
                <c:pt idx="0">
                  <c:v>Base Cumulative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Graphs!$E$12:$E$47</c:f>
              <c:numCache>
                <c:formatCode>#,##0.00;[Red]\(#,##0.00\)</c:formatCode>
                <c:ptCount val="36"/>
                <c:pt idx="0">
                  <c:v>-118957400.79142843</c:v>
                </c:pt>
                <c:pt idx="1">
                  <c:v>-236610352.38860792</c:v>
                </c:pt>
                <c:pt idx="2">
                  <c:v>-352900781.77152228</c:v>
                </c:pt>
                <c:pt idx="3">
                  <c:v>-467769049.29343081</c:v>
                </c:pt>
                <c:pt idx="4">
                  <c:v>-581153911.73499203</c:v>
                </c:pt>
                <c:pt idx="5">
                  <c:v>-692992484.54508305</c:v>
                </c:pt>
                <c:pt idx="6">
                  <c:v>-803220203.25119817</c:v>
                </c:pt>
                <c:pt idx="7">
                  <c:v>-911770784.02196157</c:v>
                </c:pt>
                <c:pt idx="8">
                  <c:v>-1018576183.3639326</c:v>
                </c:pt>
                <c:pt idx="9">
                  <c:v>-1123566556.9345226</c:v>
                </c:pt>
                <c:pt idx="10">
                  <c:v>-1226670217.4524689</c:v>
                </c:pt>
                <c:pt idx="11">
                  <c:v>-1327813591.6869373</c:v>
                </c:pt>
                <c:pt idx="12">
                  <c:v>-1426921176.5059409</c:v>
                </c:pt>
                <c:pt idx="13">
                  <c:v>-1523915493.9643672</c:v>
                </c:pt>
                <c:pt idx="14">
                  <c:v>-1618717045.4115105</c:v>
                </c:pt>
                <c:pt idx="15">
                  <c:v>-1711244264.5975957</c:v>
                </c:pt>
                <c:pt idx="16">
                  <c:v>-1801413469.7583661</c:v>
                </c:pt>
                <c:pt idx="17">
                  <c:v>-1889138814.6563826</c:v>
                </c:pt>
                <c:pt idx="18">
                  <c:v>-1974332238.55725</c:v>
                </c:pt>
                <c:pt idx="19">
                  <c:v>-2056903415.1185467</c:v>
                </c:pt>
                <c:pt idx="20">
                  <c:v>-2136759700.168782</c:v>
                </c:pt>
                <c:pt idx="21">
                  <c:v>-2213806078.35325</c:v>
                </c:pt>
                <c:pt idx="22">
                  <c:v>-2287945108.6231813</c:v>
                </c:pt>
                <c:pt idx="23">
                  <c:v>-2359076868.5441136</c:v>
                </c:pt>
                <c:pt idx="24">
                  <c:v>-2427098897.3989224</c:v>
                </c:pt>
                <c:pt idx="25">
                  <c:v>-2491906138.0604544</c:v>
                </c:pt>
                <c:pt idx="26">
                  <c:v>-2553390877.6081991</c:v>
                </c:pt>
                <c:pt idx="27">
                  <c:v>-2611442686.6629257</c:v>
                </c:pt>
                <c:pt idx="28">
                  <c:v>-2665948357.4126801</c:v>
                </c:pt>
                <c:pt idx="29">
                  <c:v>-2716791840.3030052</c:v>
                </c:pt>
                <c:pt idx="30">
                  <c:v>-2763854179.3637018</c:v>
                </c:pt>
                <c:pt idx="31">
                  <c:v>-2807013446.1438904</c:v>
                </c:pt>
                <c:pt idx="32">
                  <c:v>-2846144672.226563</c:v>
                </c:pt>
                <c:pt idx="33">
                  <c:v>-2881119780.2932458</c:v>
                </c:pt>
                <c:pt idx="34">
                  <c:v>-2911807513.7087908</c:v>
                </c:pt>
                <c:pt idx="35">
                  <c:v>-2938073364.5957193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01-3243-B768-E9410ABF6B2E}"/>
            </c:ext>
          </c:extLst>
        </c:ser>
        <c:ser>
          <c:idx val="1"/>
          <c:order val="1"/>
          <c:tx>
            <c:strRef>
              <c:f>Graphs!$F$11</c:f>
              <c:strCache>
                <c:ptCount val="1"/>
                <c:pt idx="0">
                  <c:v>Positive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Graphs!$F$12:$F$47</c:f>
              <c:numCache>
                <c:formatCode>#,##0.00;[Red]\(#,##0.00\)</c:formatCode>
                <c:ptCount val="36"/>
                <c:pt idx="0">
                  <c:v>26728496.556102067</c:v>
                </c:pt>
                <c:pt idx="1">
                  <c:v>36784642.878752038</c:v>
                </c:pt>
                <c:pt idx="2">
                  <c:v>47272382.551650099</c:v>
                </c:pt>
                <c:pt idx="3">
                  <c:v>58205907.136929564</c:v>
                </c:pt>
                <c:pt idx="4">
                  <c:v>69599825.782395303</c:v>
                </c:pt>
                <c:pt idx="5">
                  <c:v>81469176.784067959</c:v>
                </c:pt>
                <c:pt idx="6">
                  <c:v>93829439.456921279</c:v>
                </c:pt>
                <c:pt idx="7">
                  <c:v>106696546.32181668</c:v>
                </c:pt>
                <c:pt idx="8">
                  <c:v>120086895.61684546</c:v>
                </c:pt>
                <c:pt idx="9">
                  <c:v>134017364.14149575</c:v>
                </c:pt>
                <c:pt idx="10">
                  <c:v>148505320.44227821</c:v>
                </c:pt>
                <c:pt idx="11">
                  <c:v>163568638.34866226</c:v>
                </c:pt>
                <c:pt idx="12">
                  <c:v>179225710.86840156</c:v>
                </c:pt>
                <c:pt idx="13">
                  <c:v>195495464.45155823</c:v>
                </c:pt>
                <c:pt idx="14">
                  <c:v>212397373.63277164</c:v>
                </c:pt>
                <c:pt idx="15">
                  <c:v>229951476.06156021</c:v>
                </c:pt>
                <c:pt idx="16">
                  <c:v>248178387.93069515</c:v>
                </c:pt>
                <c:pt idx="17">
                  <c:v>267099319.81293947</c:v>
                </c:pt>
                <c:pt idx="18">
                  <c:v>286736092.91670489</c:v>
                </c:pt>
                <c:pt idx="19">
                  <c:v>307111155.77145243</c:v>
                </c:pt>
                <c:pt idx="20">
                  <c:v>328247601.35393131</c:v>
                </c:pt>
                <c:pt idx="21">
                  <c:v>350169184.66663897</c:v>
                </c:pt>
                <c:pt idx="22">
                  <c:v>372900340.78016722</c:v>
                </c:pt>
                <c:pt idx="23">
                  <c:v>396466203.35140002</c:v>
                </c:pt>
                <c:pt idx="24">
                  <c:v>420892623.62983394</c:v>
                </c:pt>
                <c:pt idx="25">
                  <c:v>446206189.96459365</c:v>
                </c:pt>
                <c:pt idx="26">
                  <c:v>472434247.82504594</c:v>
                </c:pt>
                <c:pt idx="27">
                  <c:v>499604920.34823537</c:v>
                </c:pt>
                <c:pt idx="28">
                  <c:v>527747129.42669863</c:v>
                </c:pt>
                <c:pt idx="29">
                  <c:v>556890617.35056531</c:v>
                </c:pt>
                <c:pt idx="30">
                  <c:v>587065969.01819599</c:v>
                </c:pt>
                <c:pt idx="31">
                  <c:v>618304634.72997785</c:v>
                </c:pt>
                <c:pt idx="32">
                  <c:v>650638953.58025575</c:v>
                </c:pt>
                <c:pt idx="33">
                  <c:v>684102177.4627775</c:v>
                </c:pt>
                <c:pt idx="34">
                  <c:v>718728495.70538962</c:v>
                </c:pt>
                <c:pt idx="35">
                  <c:v>754553060.35015023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01-3243-B768-E9410ABF6B2E}"/>
            </c:ext>
          </c:extLst>
        </c:ser>
        <c:ser>
          <c:idx val="2"/>
          <c:order val="2"/>
          <c:tx>
            <c:strRef>
              <c:f>Graphs!$G$11</c:f>
              <c:strCache>
                <c:ptCount val="1"/>
                <c:pt idx="0">
                  <c:v>Positive Total Costs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Graphs!$G$12:$G$47</c:f>
              <c:numCache>
                <c:formatCode>#,##0.00;[Red]\(#,##0.00\)</c:formatCode>
                <c:ptCount val="36"/>
                <c:pt idx="0">
                  <c:v>119523211.93121669</c:v>
                </c:pt>
                <c:pt idx="1">
                  <c:v>124896861.73695643</c:v>
                </c:pt>
                <c:pt idx="2">
                  <c:v>130492290.01493059</c:v>
                </c:pt>
                <c:pt idx="3">
                  <c:v>136316943.94013554</c:v>
                </c:pt>
                <c:pt idx="4">
                  <c:v>142378495.65119493</c:v>
                </c:pt>
                <c:pt idx="5">
                  <c:v>148684848.65072581</c:v>
                </c:pt>
                <c:pt idx="6">
                  <c:v>155244144.38105127</c:v>
                </c:pt>
                <c:pt idx="7">
                  <c:v>162064768.9799411</c:v>
                </c:pt>
                <c:pt idx="8">
                  <c:v>169155360.22118637</c:v>
                </c:pt>
                <c:pt idx="9">
                  <c:v>176524814.64493793</c:v>
                </c:pt>
                <c:pt idx="10">
                  <c:v>184182294.88286906</c:v>
                </c:pt>
                <c:pt idx="11">
                  <c:v>192137237.18335488</c:v>
                </c:pt>
                <c:pt idx="12">
                  <c:v>200399359.14199656</c:v>
                </c:pt>
                <c:pt idx="13">
                  <c:v>208978667.64295879</c:v>
                </c:pt>
                <c:pt idx="14">
                  <c:v>217885467.01673073</c:v>
                </c:pt>
                <c:pt idx="15">
                  <c:v>227130367.42006859</c:v>
                </c:pt>
                <c:pt idx="16">
                  <c:v>236724293.44402799</c:v>
                </c:pt>
                <c:pt idx="17">
                  <c:v>246678492.95614851</c:v>
                </c:pt>
                <c:pt idx="18">
                  <c:v>257004546.18301123</c:v>
                </c:pt>
                <c:pt idx="19">
                  <c:v>267714375.03955406</c:v>
                </c:pt>
                <c:pt idx="20">
                  <c:v>278820252.71169263</c:v>
                </c:pt>
                <c:pt idx="21">
                  <c:v>290334813.49897063</c:v>
                </c:pt>
                <c:pt idx="22">
                  <c:v>302271062.92413384</c:v>
                </c:pt>
                <c:pt idx="23">
                  <c:v>314642388.11670554</c:v>
                </c:pt>
                <c:pt idx="24">
                  <c:v>327462568.47782439</c:v>
                </c:pt>
                <c:pt idx="25">
                  <c:v>340745786.63379413</c:v>
                </c:pt>
                <c:pt idx="26">
                  <c:v>354506639.68598998</c:v>
                </c:pt>
                <c:pt idx="27">
                  <c:v>368760150.76496553</c:v>
                </c:pt>
                <c:pt idx="28">
                  <c:v>383521780.89680737</c:v>
                </c:pt>
                <c:pt idx="29">
                  <c:v>398807441.18999577</c:v>
                </c:pt>
                <c:pt idx="30">
                  <c:v>414633505.35124284</c:v>
                </c:pt>
                <c:pt idx="31">
                  <c:v>431016822.53900242</c:v>
                </c:pt>
                <c:pt idx="32">
                  <c:v>447974730.56356621</c:v>
                </c:pt>
                <c:pt idx="33">
                  <c:v>465525069.44290614</c:v>
                </c:pt>
                <c:pt idx="34">
                  <c:v>483686195.32363886</c:v>
                </c:pt>
                <c:pt idx="35">
                  <c:v>502476994.77675879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101-3243-B768-E9410ABF6B2E}"/>
            </c:ext>
          </c:extLst>
        </c:ser>
        <c:ser>
          <c:idx val="3"/>
          <c:order val="3"/>
          <c:tx>
            <c:strRef>
              <c:f>Graphs!$H$11</c:f>
              <c:strCache>
                <c:ptCount val="1"/>
                <c:pt idx="0">
                  <c:v>Positive Net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Graphs!$H$12:$H$47</c:f>
              <c:numCache>
                <c:formatCode>#,##0.00;[Red]\(#,##0.00\)</c:formatCode>
                <c:ptCount val="36"/>
                <c:pt idx="0">
                  <c:v>-92794715.37511462</c:v>
                </c:pt>
                <c:pt idx="1">
                  <c:v>-88112218.858204395</c:v>
                </c:pt>
                <c:pt idx="2">
                  <c:v>-83219907.463280499</c:v>
                </c:pt>
                <c:pt idx="3">
                  <c:v>-78111036.803205967</c:v>
                </c:pt>
                <c:pt idx="4">
                  <c:v>-72778669.868799627</c:v>
                </c:pt>
                <c:pt idx="5">
                  <c:v>-67215671.866657853</c:v>
                </c:pt>
                <c:pt idx="6">
                  <c:v>-61414704.924129993</c:v>
                </c:pt>
                <c:pt idx="7">
                  <c:v>-55368222.658124417</c:v>
                </c:pt>
                <c:pt idx="8">
                  <c:v>-49068464.604340911</c:v>
                </c:pt>
                <c:pt idx="9">
                  <c:v>-42507450.503442183</c:v>
                </c:pt>
                <c:pt idx="10">
                  <c:v>-35676974.440590858</c:v>
                </c:pt>
                <c:pt idx="11">
                  <c:v>-28568598.834692627</c:v>
                </c:pt>
                <c:pt idx="12">
                  <c:v>-21173648.273595005</c:v>
                </c:pt>
                <c:pt idx="13">
                  <c:v>-13483203.191400558</c:v>
                </c:pt>
                <c:pt idx="14">
                  <c:v>-5488093.3839590847</c:v>
                </c:pt>
                <c:pt idx="15">
                  <c:v>2821108.6414916217</c:v>
                </c:pt>
                <c:pt idx="16">
                  <c:v>11454094.486667156</c:v>
                </c:pt>
                <c:pt idx="17">
                  <c:v>20420826.85679096</c:v>
                </c:pt>
                <c:pt idx="18">
                  <c:v>29731546.733693659</c:v>
                </c:pt>
                <c:pt idx="19">
                  <c:v>39396780.731898367</c:v>
                </c:pt>
                <c:pt idx="20">
                  <c:v>49427348.642238677</c:v>
                </c:pt>
                <c:pt idx="21">
                  <c:v>59834371.167668343</c:v>
                </c:pt>
                <c:pt idx="22">
                  <c:v>70629277.856033385</c:v>
                </c:pt>
                <c:pt idx="23">
                  <c:v>81823815.234694481</c:v>
                </c:pt>
                <c:pt idx="24">
                  <c:v>93430055.152009547</c:v>
                </c:pt>
                <c:pt idx="25">
                  <c:v>105460403.33079952</c:v>
                </c:pt>
                <c:pt idx="26">
                  <c:v>117927608.13905597</c:v>
                </c:pt>
                <c:pt idx="27">
                  <c:v>130844769.58326983</c:v>
                </c:pt>
                <c:pt idx="28">
                  <c:v>144225348.52989125</c:v>
                </c:pt>
                <c:pt idx="29">
                  <c:v>158083176.16056955</c:v>
                </c:pt>
                <c:pt idx="30">
                  <c:v>172432463.66695315</c:v>
                </c:pt>
                <c:pt idx="31">
                  <c:v>187287812.19097543</c:v>
                </c:pt>
                <c:pt idx="32">
                  <c:v>202664223.01668954</c:v>
                </c:pt>
                <c:pt idx="33">
                  <c:v>218577108.01987135</c:v>
                </c:pt>
                <c:pt idx="34">
                  <c:v>235042300.38175076</c:v>
                </c:pt>
                <c:pt idx="35">
                  <c:v>252076065.57339144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101-3243-B768-E9410ABF6B2E}"/>
            </c:ext>
          </c:extLst>
        </c:ser>
        <c:ser>
          <c:idx val="4"/>
          <c:order val="4"/>
          <c:tx>
            <c:strRef>
              <c:f>Graphs!$I$11</c:f>
              <c:strCache>
                <c:ptCount val="1"/>
                <c:pt idx="0">
                  <c:v>Positive Cumulative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Graphs!$I$12:$I$47</c:f>
              <c:numCache>
                <c:formatCode>#,##0.00;[Red]\(#,##0.00\)</c:formatCode>
                <c:ptCount val="36"/>
                <c:pt idx="0">
                  <c:v>-92794715.37511462</c:v>
                </c:pt>
                <c:pt idx="1">
                  <c:v>-180906934.23331901</c:v>
                </c:pt>
                <c:pt idx="2">
                  <c:v>-264126841.69659951</c:v>
                </c:pt>
                <c:pt idx="3">
                  <c:v>-342237878.49980545</c:v>
                </c:pt>
                <c:pt idx="4">
                  <c:v>-415016548.36860508</c:v>
                </c:pt>
                <c:pt idx="5">
                  <c:v>-482232220.23526293</c:v>
                </c:pt>
                <c:pt idx="6">
                  <c:v>-543646925.15939295</c:v>
                </c:pt>
                <c:pt idx="7">
                  <c:v>-599015147.8175174</c:v>
                </c:pt>
                <c:pt idx="8">
                  <c:v>-648083612.42185831</c:v>
                </c:pt>
                <c:pt idx="9">
                  <c:v>-690591062.92530048</c:v>
                </c:pt>
                <c:pt idx="10">
                  <c:v>-726268037.36589134</c:v>
                </c:pt>
                <c:pt idx="11">
                  <c:v>-754836636.20058393</c:v>
                </c:pt>
                <c:pt idx="12">
                  <c:v>-776010284.47417891</c:v>
                </c:pt>
                <c:pt idx="13">
                  <c:v>-789493487.66557944</c:v>
                </c:pt>
                <c:pt idx="14">
                  <c:v>-794981581.04953849</c:v>
                </c:pt>
                <c:pt idx="15">
                  <c:v>-792160472.40804684</c:v>
                </c:pt>
                <c:pt idx="16">
                  <c:v>-780706377.92137969</c:v>
                </c:pt>
                <c:pt idx="17">
                  <c:v>-760285551.06458879</c:v>
                </c:pt>
                <c:pt idx="18">
                  <c:v>-730554004.33089519</c:v>
                </c:pt>
                <c:pt idx="19">
                  <c:v>-691157223.59899688</c:v>
                </c:pt>
                <c:pt idx="20">
                  <c:v>-641729874.95675826</c:v>
                </c:pt>
                <c:pt idx="21">
                  <c:v>-581895503.78908992</c:v>
                </c:pt>
                <c:pt idx="22">
                  <c:v>-511266225.93305653</c:v>
                </c:pt>
                <c:pt idx="23">
                  <c:v>-429442410.69836205</c:v>
                </c:pt>
                <c:pt idx="24">
                  <c:v>-336012355.54635251</c:v>
                </c:pt>
                <c:pt idx="25">
                  <c:v>-230551952.21555299</c:v>
                </c:pt>
                <c:pt idx="26">
                  <c:v>-112624344.07649702</c:v>
                </c:pt>
                <c:pt idx="27">
                  <c:v>18220425.506772816</c:v>
                </c:pt>
                <c:pt idx="28">
                  <c:v>162445774.03666407</c:v>
                </c:pt>
                <c:pt idx="29">
                  <c:v>320528950.19723362</c:v>
                </c:pt>
                <c:pt idx="30">
                  <c:v>492961413.86418676</c:v>
                </c:pt>
                <c:pt idx="31">
                  <c:v>680249226.05516219</c:v>
                </c:pt>
                <c:pt idx="32">
                  <c:v>882913449.07185173</c:v>
                </c:pt>
                <c:pt idx="33">
                  <c:v>1101490557.091723</c:v>
                </c:pt>
                <c:pt idx="34">
                  <c:v>1336532857.4734738</c:v>
                </c:pt>
                <c:pt idx="35">
                  <c:v>1588608923.0468652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101-3243-B768-E9410ABF6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UGX</a:t>
                </a:r>
              </a:p>
            </c:rich>
          </c:tx>
          <c:overlay val="1"/>
        </c:title>
        <c:numFmt formatCode="#,##0.00;[Red]\(#,##0.0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Monthly Revenue: Base vs Positive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Graphs!$B$11</c:f>
              <c:strCache>
                <c:ptCount val="1"/>
                <c:pt idx="0">
                  <c:v>Base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Graphs!$B$12:$B$47</c:f>
              <c:numCache>
                <c:formatCode>#,##0.00;[Red]\(#,##0.00\)</c:formatCode>
                <c:ptCount val="36"/>
                <c:pt idx="0">
                  <c:v>16088066.109212415</c:v>
                </c:pt>
                <c:pt idx="1">
                  <c:v>20075532.288676322</c:v>
                </c:pt>
                <c:pt idx="2">
                  <c:v>24206012.604968131</c:v>
                </c:pt>
                <c:pt idx="3">
                  <c:v>28483454.562969118</c:v>
                </c:pt>
                <c:pt idx="4">
                  <c:v>32911903.221438404</c:v>
                </c:pt>
                <c:pt idx="5">
                  <c:v>37495503.461002752</c:v>
                </c:pt>
                <c:pt idx="6">
                  <c:v>42238502.302879289</c:v>
                </c:pt>
                <c:pt idx="7">
                  <c:v>47145251.279435955</c:v>
                </c:pt>
                <c:pt idx="8">
                  <c:v>52220208.857719153</c:v>
                </c:pt>
                <c:pt idx="9">
                  <c:v>57467942.917100847</c:v>
                </c:pt>
                <c:pt idx="10">
                  <c:v>62893133.282223582</c:v>
                </c:pt>
                <c:pt idx="11">
                  <c:v>68500574.31244567</c:v>
                </c:pt>
                <c:pt idx="12">
                  <c:v>74295177.549015179</c:v>
                </c:pt>
                <c:pt idx="13">
                  <c:v>80281974.421227515</c:v>
                </c:pt>
                <c:pt idx="14">
                  <c:v>86466119.012848079</c:v>
                </c:pt>
                <c:pt idx="15">
                  <c:v>92852890.890108466</c:v>
                </c:pt>
                <c:pt idx="16">
                  <c:v>99447697.992613614</c:v>
                </c:pt>
                <c:pt idx="17">
                  <c:v>106256079.5885241</c:v>
                </c:pt>
                <c:pt idx="18">
                  <c:v>113283709.29540926</c:v>
                </c:pt>
                <c:pt idx="19">
                  <c:v>120536398.16819364</c:v>
                </c:pt>
                <c:pt idx="20">
                  <c:v>128020097.85565247</c:v>
                </c:pt>
                <c:pt idx="21">
                  <c:v>135740903.82694072</c:v>
                </c:pt>
                <c:pt idx="22">
                  <c:v>143705058.66967258</c:v>
                </c:pt>
                <c:pt idx="23">
                  <c:v>151918955.46110094</c:v>
                </c:pt>
                <c:pt idx="24">
                  <c:v>160389141.21397993</c:v>
                </c:pt>
                <c:pt idx="25">
                  <c:v>169122320.39872417</c:v>
                </c:pt>
                <c:pt idx="26">
                  <c:v>178125358.54351676</c:v>
                </c:pt>
                <c:pt idx="27">
                  <c:v>187405285.914051</c:v>
                </c:pt>
                <c:pt idx="28">
                  <c:v>196969301.27462667</c:v>
                </c:pt>
                <c:pt idx="29">
                  <c:v>206824775.73235765</c:v>
                </c:pt>
                <c:pt idx="30">
                  <c:v>216979256.66628891</c:v>
                </c:pt>
                <c:pt idx="31">
                  <c:v>227440471.74325216</c:v>
                </c:pt>
                <c:pt idx="32">
                  <c:v>238216333.02233446</c:v>
                </c:pt>
                <c:pt idx="33">
                  <c:v>249314941.14987218</c:v>
                </c:pt>
                <c:pt idx="34">
                  <c:v>260744589.64691982</c:v>
                </c:pt>
                <c:pt idx="35">
                  <c:v>272513769.29119182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4-294F-81CD-8C039F53CE6B}"/>
            </c:ext>
          </c:extLst>
        </c:ser>
        <c:ser>
          <c:idx val="1"/>
          <c:order val="1"/>
          <c:tx>
            <c:strRef>
              <c:f>Graphs!$C$11</c:f>
              <c:strCache>
                <c:ptCount val="1"/>
                <c:pt idx="0">
                  <c:v>Base Total Costs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Graphs!$C$12:$C$47</c:f>
              <c:numCache>
                <c:formatCode>#,##0.00;[Red]\(#,##0.00\)</c:formatCode>
                <c:ptCount val="36"/>
                <c:pt idx="0">
                  <c:v>135045466.90064085</c:v>
                </c:pt>
                <c:pt idx="1">
                  <c:v>137728483.88585582</c:v>
                </c:pt>
                <c:pt idx="2">
                  <c:v>140496441.98788247</c:v>
                </c:pt>
                <c:pt idx="3">
                  <c:v>143351722.08487761</c:v>
                </c:pt>
                <c:pt idx="4">
                  <c:v>146296765.66299957</c:v>
                </c:pt>
                <c:pt idx="5">
                  <c:v>149334076.27109373</c:v>
                </c:pt>
                <c:pt idx="6">
                  <c:v>152466221.00899443</c:v>
                </c:pt>
                <c:pt idx="7">
                  <c:v>155695832.05019933</c:v>
                </c:pt>
                <c:pt idx="8">
                  <c:v>159025608.19969022</c:v>
                </c:pt>
                <c:pt idx="9">
                  <c:v>162458316.48769093</c:v>
                </c:pt>
                <c:pt idx="10">
                  <c:v>165996793.80016983</c:v>
                </c:pt>
                <c:pt idx="11">
                  <c:v>169643948.5469141</c:v>
                </c:pt>
                <c:pt idx="12">
                  <c:v>173402762.36801872</c:v>
                </c:pt>
                <c:pt idx="13">
                  <c:v>177276291.87965375</c:v>
                </c:pt>
                <c:pt idx="14">
                  <c:v>181267670.45999128</c:v>
                </c:pt>
                <c:pt idx="15">
                  <c:v>185380110.07619366</c:v>
                </c:pt>
                <c:pt idx="16">
                  <c:v>189616903.15338406</c:v>
                </c:pt>
                <c:pt idx="17">
                  <c:v>193981424.48654065</c:v>
                </c:pt>
                <c:pt idx="18">
                  <c:v>198477133.19627672</c:v>
                </c:pt>
                <c:pt idx="19">
                  <c:v>203107574.72949028</c:v>
                </c:pt>
                <c:pt idx="20">
                  <c:v>207876382.90588766</c:v>
                </c:pt>
                <c:pt idx="21">
                  <c:v>212787282.01140893</c:v>
                </c:pt>
                <c:pt idx="22">
                  <c:v>217844088.93960407</c:v>
                </c:pt>
                <c:pt idx="23">
                  <c:v>223050715.38203341</c:v>
                </c:pt>
                <c:pt idx="24">
                  <c:v>228411170.06878895</c:v>
                </c:pt>
                <c:pt idx="25">
                  <c:v>233929561.06025603</c:v>
                </c:pt>
                <c:pt idx="26">
                  <c:v>239610098.09126127</c:v>
                </c:pt>
                <c:pt idx="27">
                  <c:v>245457094.96877751</c:v>
                </c:pt>
                <c:pt idx="28">
                  <c:v>251474972.02438095</c:v>
                </c:pt>
                <c:pt idx="29">
                  <c:v>257668258.62268278</c:v>
                </c:pt>
                <c:pt idx="30">
                  <c:v>264041595.72698575</c:v>
                </c:pt>
                <c:pt idx="31">
                  <c:v>270599738.52344048</c:v>
                </c:pt>
                <c:pt idx="32">
                  <c:v>277347559.10500693</c:v>
                </c:pt>
                <c:pt idx="33">
                  <c:v>284290049.216555</c:v>
                </c:pt>
                <c:pt idx="34">
                  <c:v>291432323.06246465</c:v>
                </c:pt>
                <c:pt idx="35">
                  <c:v>298779620.17812014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4-294F-81CD-8C039F53CE6B}"/>
            </c:ext>
          </c:extLst>
        </c:ser>
        <c:ser>
          <c:idx val="2"/>
          <c:order val="2"/>
          <c:tx>
            <c:strRef>
              <c:f>Graphs!$D$11</c:f>
              <c:strCache>
                <c:ptCount val="1"/>
                <c:pt idx="0">
                  <c:v>Base Net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Graphs!$D$12:$D$47</c:f>
              <c:numCache>
                <c:formatCode>#,##0.00;[Red]\(#,##0.00\)</c:formatCode>
                <c:ptCount val="36"/>
                <c:pt idx="0">
                  <c:v>-118957400.79142843</c:v>
                </c:pt>
                <c:pt idx="1">
                  <c:v>-117652951.5971795</c:v>
                </c:pt>
                <c:pt idx="2">
                  <c:v>-116290429.38291433</c:v>
                </c:pt>
                <c:pt idx="3">
                  <c:v>-114868267.52190849</c:v>
                </c:pt>
                <c:pt idx="4">
                  <c:v>-113384862.44156116</c:v>
                </c:pt>
                <c:pt idx="5">
                  <c:v>-111838572.81009097</c:v>
                </c:pt>
                <c:pt idx="6">
                  <c:v>-110227718.70611514</c:v>
                </c:pt>
                <c:pt idx="7">
                  <c:v>-108550580.77076337</c:v>
                </c:pt>
                <c:pt idx="8">
                  <c:v>-106805399.34197107</c:v>
                </c:pt>
                <c:pt idx="9">
                  <c:v>-104990373.57059008</c:v>
                </c:pt>
                <c:pt idx="10">
                  <c:v>-103103660.51794624</c:v>
                </c:pt>
                <c:pt idx="11">
                  <c:v>-101143374.23446843</c:v>
                </c:pt>
                <c:pt idx="12">
                  <c:v>-99107584.819003537</c:v>
                </c:pt>
                <c:pt idx="13">
                  <c:v>-96994317.458426237</c:v>
                </c:pt>
                <c:pt idx="14">
                  <c:v>-94801551.447143197</c:v>
                </c:pt>
                <c:pt idx="15">
                  <c:v>-92527219.186085194</c:v>
                </c:pt>
                <c:pt idx="16">
                  <c:v>-90169205.160770446</c:v>
                </c:pt>
                <c:pt idx="17">
                  <c:v>-87725344.898016542</c:v>
                </c:pt>
                <c:pt idx="18">
                  <c:v>-85193423.900867462</c:v>
                </c:pt>
                <c:pt idx="19">
                  <c:v>-82571176.561296642</c:v>
                </c:pt>
                <c:pt idx="20">
                  <c:v>-79856285.050235197</c:v>
                </c:pt>
                <c:pt idx="21">
                  <c:v>-77046378.18446821</c:v>
                </c:pt>
                <c:pt idx="22">
                  <c:v>-74139030.269931495</c:v>
                </c:pt>
                <c:pt idx="23">
                  <c:v>-71131759.920932472</c:v>
                </c:pt>
                <c:pt idx="24">
                  <c:v>-68022028.854809016</c:v>
                </c:pt>
                <c:pt idx="25">
                  <c:v>-64807240.661531866</c:v>
                </c:pt>
                <c:pt idx="26">
                  <c:v>-61484739.547744513</c:v>
                </c:pt>
                <c:pt idx="27">
                  <c:v>-58051809.054726511</c:v>
                </c:pt>
                <c:pt idx="28">
                  <c:v>-54505670.74975428</c:v>
                </c:pt>
                <c:pt idx="29">
                  <c:v>-50843482.890325129</c:v>
                </c:pt>
                <c:pt idx="30">
                  <c:v>-47062339.06069684</c:v>
                </c:pt>
                <c:pt idx="31">
                  <c:v>-43159266.780188322</c:v>
                </c:pt>
                <c:pt idx="32">
                  <c:v>-39131226.082672477</c:v>
                </c:pt>
                <c:pt idx="33">
                  <c:v>-34975108.066682816</c:v>
                </c:pt>
                <c:pt idx="34">
                  <c:v>-30687733.415544838</c:v>
                </c:pt>
                <c:pt idx="35">
                  <c:v>-26265850.88692832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A4-294F-81CD-8C039F53CE6B}"/>
            </c:ext>
          </c:extLst>
        </c:ser>
        <c:ser>
          <c:idx val="3"/>
          <c:order val="3"/>
          <c:tx>
            <c:strRef>
              <c:f>Graphs!$E$11</c:f>
              <c:strCache>
                <c:ptCount val="1"/>
                <c:pt idx="0">
                  <c:v>Base Cumulative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Graphs!$E$12:$E$47</c:f>
              <c:numCache>
                <c:formatCode>#,##0.00;[Red]\(#,##0.00\)</c:formatCode>
                <c:ptCount val="36"/>
                <c:pt idx="0">
                  <c:v>-118957400.79142843</c:v>
                </c:pt>
                <c:pt idx="1">
                  <c:v>-236610352.38860792</c:v>
                </c:pt>
                <c:pt idx="2">
                  <c:v>-352900781.77152228</c:v>
                </c:pt>
                <c:pt idx="3">
                  <c:v>-467769049.29343081</c:v>
                </c:pt>
                <c:pt idx="4">
                  <c:v>-581153911.73499203</c:v>
                </c:pt>
                <c:pt idx="5">
                  <c:v>-692992484.54508305</c:v>
                </c:pt>
                <c:pt idx="6">
                  <c:v>-803220203.25119817</c:v>
                </c:pt>
                <c:pt idx="7">
                  <c:v>-911770784.02196157</c:v>
                </c:pt>
                <c:pt idx="8">
                  <c:v>-1018576183.3639326</c:v>
                </c:pt>
                <c:pt idx="9">
                  <c:v>-1123566556.9345226</c:v>
                </c:pt>
                <c:pt idx="10">
                  <c:v>-1226670217.4524689</c:v>
                </c:pt>
                <c:pt idx="11">
                  <c:v>-1327813591.6869373</c:v>
                </c:pt>
                <c:pt idx="12">
                  <c:v>-1426921176.5059409</c:v>
                </c:pt>
                <c:pt idx="13">
                  <c:v>-1523915493.9643672</c:v>
                </c:pt>
                <c:pt idx="14">
                  <c:v>-1618717045.4115105</c:v>
                </c:pt>
                <c:pt idx="15">
                  <c:v>-1711244264.5975957</c:v>
                </c:pt>
                <c:pt idx="16">
                  <c:v>-1801413469.7583661</c:v>
                </c:pt>
                <c:pt idx="17">
                  <c:v>-1889138814.6563826</c:v>
                </c:pt>
                <c:pt idx="18">
                  <c:v>-1974332238.55725</c:v>
                </c:pt>
                <c:pt idx="19">
                  <c:v>-2056903415.1185467</c:v>
                </c:pt>
                <c:pt idx="20">
                  <c:v>-2136759700.168782</c:v>
                </c:pt>
                <c:pt idx="21">
                  <c:v>-2213806078.35325</c:v>
                </c:pt>
                <c:pt idx="22">
                  <c:v>-2287945108.6231813</c:v>
                </c:pt>
                <c:pt idx="23">
                  <c:v>-2359076868.5441136</c:v>
                </c:pt>
                <c:pt idx="24">
                  <c:v>-2427098897.3989224</c:v>
                </c:pt>
                <c:pt idx="25">
                  <c:v>-2491906138.0604544</c:v>
                </c:pt>
                <c:pt idx="26">
                  <c:v>-2553390877.6081991</c:v>
                </c:pt>
                <c:pt idx="27">
                  <c:v>-2611442686.6629257</c:v>
                </c:pt>
                <c:pt idx="28">
                  <c:v>-2665948357.4126801</c:v>
                </c:pt>
                <c:pt idx="29">
                  <c:v>-2716791840.3030052</c:v>
                </c:pt>
                <c:pt idx="30">
                  <c:v>-2763854179.3637018</c:v>
                </c:pt>
                <c:pt idx="31">
                  <c:v>-2807013446.1438904</c:v>
                </c:pt>
                <c:pt idx="32">
                  <c:v>-2846144672.226563</c:v>
                </c:pt>
                <c:pt idx="33">
                  <c:v>-2881119780.2932458</c:v>
                </c:pt>
                <c:pt idx="34">
                  <c:v>-2911807513.7087908</c:v>
                </c:pt>
                <c:pt idx="35">
                  <c:v>-2938073364.5957193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A4-294F-81CD-8C039F53CE6B}"/>
            </c:ext>
          </c:extLst>
        </c:ser>
        <c:ser>
          <c:idx val="4"/>
          <c:order val="4"/>
          <c:tx>
            <c:strRef>
              <c:f>Graphs!$F$11</c:f>
              <c:strCache>
                <c:ptCount val="1"/>
                <c:pt idx="0">
                  <c:v>Positive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Graphs!$F$12:$F$47</c:f>
              <c:numCache>
                <c:formatCode>#,##0.00;[Red]\(#,##0.00\)</c:formatCode>
                <c:ptCount val="36"/>
                <c:pt idx="0">
                  <c:v>26728496.556102067</c:v>
                </c:pt>
                <c:pt idx="1">
                  <c:v>36784642.878752038</c:v>
                </c:pt>
                <c:pt idx="2">
                  <c:v>47272382.551650099</c:v>
                </c:pt>
                <c:pt idx="3">
                  <c:v>58205907.136929564</c:v>
                </c:pt>
                <c:pt idx="4">
                  <c:v>69599825.782395303</c:v>
                </c:pt>
                <c:pt idx="5">
                  <c:v>81469176.784067959</c:v>
                </c:pt>
                <c:pt idx="6">
                  <c:v>93829439.456921279</c:v>
                </c:pt>
                <c:pt idx="7">
                  <c:v>106696546.32181668</c:v>
                </c:pt>
                <c:pt idx="8">
                  <c:v>120086895.61684546</c:v>
                </c:pt>
                <c:pt idx="9">
                  <c:v>134017364.14149575</c:v>
                </c:pt>
                <c:pt idx="10">
                  <c:v>148505320.44227821</c:v>
                </c:pt>
                <c:pt idx="11">
                  <c:v>163568638.34866226</c:v>
                </c:pt>
                <c:pt idx="12">
                  <c:v>179225710.86840156</c:v>
                </c:pt>
                <c:pt idx="13">
                  <c:v>195495464.45155823</c:v>
                </c:pt>
                <c:pt idx="14">
                  <c:v>212397373.63277164</c:v>
                </c:pt>
                <c:pt idx="15">
                  <c:v>229951476.06156021</c:v>
                </c:pt>
                <c:pt idx="16">
                  <c:v>248178387.93069515</c:v>
                </c:pt>
                <c:pt idx="17">
                  <c:v>267099319.81293947</c:v>
                </c:pt>
                <c:pt idx="18">
                  <c:v>286736092.91670489</c:v>
                </c:pt>
                <c:pt idx="19">
                  <c:v>307111155.77145243</c:v>
                </c:pt>
                <c:pt idx="20">
                  <c:v>328247601.35393131</c:v>
                </c:pt>
                <c:pt idx="21">
                  <c:v>350169184.66663897</c:v>
                </c:pt>
                <c:pt idx="22">
                  <c:v>372900340.78016722</c:v>
                </c:pt>
                <c:pt idx="23">
                  <c:v>396466203.35140002</c:v>
                </c:pt>
                <c:pt idx="24">
                  <c:v>420892623.62983394</c:v>
                </c:pt>
                <c:pt idx="25">
                  <c:v>446206189.96459365</c:v>
                </c:pt>
                <c:pt idx="26">
                  <c:v>472434247.82504594</c:v>
                </c:pt>
                <c:pt idx="27">
                  <c:v>499604920.34823537</c:v>
                </c:pt>
                <c:pt idx="28">
                  <c:v>527747129.42669863</c:v>
                </c:pt>
                <c:pt idx="29">
                  <c:v>556890617.35056531</c:v>
                </c:pt>
                <c:pt idx="30">
                  <c:v>587065969.01819599</c:v>
                </c:pt>
                <c:pt idx="31">
                  <c:v>618304634.72997785</c:v>
                </c:pt>
                <c:pt idx="32">
                  <c:v>650638953.58025575</c:v>
                </c:pt>
                <c:pt idx="33">
                  <c:v>684102177.4627775</c:v>
                </c:pt>
                <c:pt idx="34">
                  <c:v>718728495.70538962</c:v>
                </c:pt>
                <c:pt idx="35">
                  <c:v>754553060.35015023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A4-294F-81CD-8C039F53C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UGX</a:t>
                </a:r>
              </a:p>
            </c:rich>
          </c:tx>
          <c:overlay val="1"/>
        </c:title>
        <c:numFmt formatCode="#,##0.00;[Red]\(#,##0.0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Ramp: Base vs. Positive (UGX 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Base</c:v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'Slide Data'!$A$54:$A$89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'Slide Data'!$B$54:$B$89</c:f>
              <c:numCache>
                <c:formatCode>General</c:formatCode>
                <c:ptCount val="36"/>
                <c:pt idx="0">
                  <c:v>16.09</c:v>
                </c:pt>
                <c:pt idx="1">
                  <c:v>20.079999999999998</c:v>
                </c:pt>
                <c:pt idx="2">
                  <c:v>24.21</c:v>
                </c:pt>
                <c:pt idx="3">
                  <c:v>28.48</c:v>
                </c:pt>
                <c:pt idx="4">
                  <c:v>32.909999999999997</c:v>
                </c:pt>
                <c:pt idx="5">
                  <c:v>37.5</c:v>
                </c:pt>
                <c:pt idx="6">
                  <c:v>42.24</c:v>
                </c:pt>
                <c:pt idx="7">
                  <c:v>47.15</c:v>
                </c:pt>
                <c:pt idx="8">
                  <c:v>52.22</c:v>
                </c:pt>
                <c:pt idx="9">
                  <c:v>57.47</c:v>
                </c:pt>
                <c:pt idx="10">
                  <c:v>62.89</c:v>
                </c:pt>
                <c:pt idx="11">
                  <c:v>68.5</c:v>
                </c:pt>
                <c:pt idx="12">
                  <c:v>74.3</c:v>
                </c:pt>
                <c:pt idx="13">
                  <c:v>80.28</c:v>
                </c:pt>
                <c:pt idx="14">
                  <c:v>86.47</c:v>
                </c:pt>
                <c:pt idx="15">
                  <c:v>92.85</c:v>
                </c:pt>
                <c:pt idx="16">
                  <c:v>99.45</c:v>
                </c:pt>
                <c:pt idx="17">
                  <c:v>106.26</c:v>
                </c:pt>
                <c:pt idx="18">
                  <c:v>113.28</c:v>
                </c:pt>
                <c:pt idx="19">
                  <c:v>120.54</c:v>
                </c:pt>
                <c:pt idx="20">
                  <c:v>128.02000000000001</c:v>
                </c:pt>
                <c:pt idx="21">
                  <c:v>135.74</c:v>
                </c:pt>
                <c:pt idx="22">
                  <c:v>143.71</c:v>
                </c:pt>
                <c:pt idx="23">
                  <c:v>151.91999999999999</c:v>
                </c:pt>
                <c:pt idx="24">
                  <c:v>160.38999999999999</c:v>
                </c:pt>
                <c:pt idx="25">
                  <c:v>169.12</c:v>
                </c:pt>
                <c:pt idx="26">
                  <c:v>178.13</c:v>
                </c:pt>
                <c:pt idx="27">
                  <c:v>187.41</c:v>
                </c:pt>
                <c:pt idx="28">
                  <c:v>196.97</c:v>
                </c:pt>
                <c:pt idx="29">
                  <c:v>206.82</c:v>
                </c:pt>
                <c:pt idx="30">
                  <c:v>216.98</c:v>
                </c:pt>
                <c:pt idx="31">
                  <c:v>227.44</c:v>
                </c:pt>
                <c:pt idx="32">
                  <c:v>238.22</c:v>
                </c:pt>
                <c:pt idx="33">
                  <c:v>249.31</c:v>
                </c:pt>
                <c:pt idx="34">
                  <c:v>260.74</c:v>
                </c:pt>
                <c:pt idx="35">
                  <c:v>272.51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F-2A4B-876E-304236CE5C00}"/>
            </c:ext>
          </c:extLst>
        </c:ser>
        <c:ser>
          <c:idx val="1"/>
          <c:order val="1"/>
          <c:tx>
            <c:v>Positive</c:v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'Slide Data'!$A$54:$A$89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'Slide Data'!$C$54:$C$89</c:f>
              <c:numCache>
                <c:formatCode>General</c:formatCode>
                <c:ptCount val="36"/>
                <c:pt idx="0">
                  <c:v>26.73</c:v>
                </c:pt>
                <c:pt idx="1">
                  <c:v>36.78</c:v>
                </c:pt>
                <c:pt idx="2">
                  <c:v>47.27</c:v>
                </c:pt>
                <c:pt idx="3">
                  <c:v>58.21</c:v>
                </c:pt>
                <c:pt idx="4">
                  <c:v>69.599999999999994</c:v>
                </c:pt>
                <c:pt idx="5">
                  <c:v>81.47</c:v>
                </c:pt>
                <c:pt idx="6">
                  <c:v>93.83</c:v>
                </c:pt>
                <c:pt idx="7">
                  <c:v>106.7</c:v>
                </c:pt>
                <c:pt idx="8">
                  <c:v>120.09</c:v>
                </c:pt>
                <c:pt idx="9">
                  <c:v>134.02000000000001</c:v>
                </c:pt>
                <c:pt idx="10">
                  <c:v>148.51</c:v>
                </c:pt>
                <c:pt idx="11">
                  <c:v>163.57</c:v>
                </c:pt>
                <c:pt idx="12">
                  <c:v>179.23</c:v>
                </c:pt>
                <c:pt idx="13">
                  <c:v>195.5</c:v>
                </c:pt>
                <c:pt idx="14">
                  <c:v>212.4</c:v>
                </c:pt>
                <c:pt idx="15">
                  <c:v>229.95</c:v>
                </c:pt>
                <c:pt idx="16">
                  <c:v>248.18</c:v>
                </c:pt>
                <c:pt idx="17">
                  <c:v>267.10000000000002</c:v>
                </c:pt>
                <c:pt idx="18">
                  <c:v>286.74</c:v>
                </c:pt>
                <c:pt idx="19">
                  <c:v>307.11</c:v>
                </c:pt>
                <c:pt idx="20">
                  <c:v>328.25</c:v>
                </c:pt>
                <c:pt idx="21">
                  <c:v>350.17</c:v>
                </c:pt>
                <c:pt idx="22">
                  <c:v>372.9</c:v>
                </c:pt>
                <c:pt idx="23">
                  <c:v>396.47</c:v>
                </c:pt>
                <c:pt idx="24">
                  <c:v>420.89</c:v>
                </c:pt>
                <c:pt idx="25">
                  <c:v>446.21</c:v>
                </c:pt>
                <c:pt idx="26">
                  <c:v>472.43</c:v>
                </c:pt>
                <c:pt idx="27">
                  <c:v>499.6</c:v>
                </c:pt>
                <c:pt idx="28">
                  <c:v>527.75</c:v>
                </c:pt>
                <c:pt idx="29">
                  <c:v>556.89</c:v>
                </c:pt>
                <c:pt idx="30">
                  <c:v>587.07000000000005</c:v>
                </c:pt>
                <c:pt idx="31">
                  <c:v>618.29999999999995</c:v>
                </c:pt>
                <c:pt idx="32">
                  <c:v>650.64</c:v>
                </c:pt>
                <c:pt idx="33">
                  <c:v>684.1</c:v>
                </c:pt>
                <c:pt idx="34">
                  <c:v>718.73</c:v>
                </c:pt>
                <c:pt idx="35">
                  <c:v>754.55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1F-2A4B-876E-304236CE5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276927"/>
        <c:axId val="724285887"/>
      </c:lineChart>
      <c:catAx>
        <c:axId val="72427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85887"/>
        <c:crosses val="autoZero"/>
        <c:auto val="1"/>
        <c:lblAlgn val="ctr"/>
        <c:lblOffset val="100"/>
        <c:noMultiLvlLbl val="0"/>
      </c:catAx>
      <c:valAx>
        <c:axId val="72428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UGX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7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Net Profit: Base vs. Positive (UGX 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Base</c:v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'Slide Data'!$A$54:$A$89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'Slide Data'!$C$54:$C$89</c:f>
              <c:numCache>
                <c:formatCode>General</c:formatCode>
                <c:ptCount val="36"/>
                <c:pt idx="0">
                  <c:v>26.73</c:v>
                </c:pt>
                <c:pt idx="1">
                  <c:v>36.78</c:v>
                </c:pt>
                <c:pt idx="2">
                  <c:v>47.27</c:v>
                </c:pt>
                <c:pt idx="3">
                  <c:v>58.21</c:v>
                </c:pt>
                <c:pt idx="4">
                  <c:v>69.599999999999994</c:v>
                </c:pt>
                <c:pt idx="5">
                  <c:v>81.47</c:v>
                </c:pt>
                <c:pt idx="6">
                  <c:v>93.83</c:v>
                </c:pt>
                <c:pt idx="7">
                  <c:v>106.7</c:v>
                </c:pt>
                <c:pt idx="8">
                  <c:v>120.09</c:v>
                </c:pt>
                <c:pt idx="9">
                  <c:v>134.02000000000001</c:v>
                </c:pt>
                <c:pt idx="10">
                  <c:v>148.51</c:v>
                </c:pt>
                <c:pt idx="11">
                  <c:v>163.57</c:v>
                </c:pt>
                <c:pt idx="12">
                  <c:v>179.23</c:v>
                </c:pt>
                <c:pt idx="13">
                  <c:v>195.5</c:v>
                </c:pt>
                <c:pt idx="14">
                  <c:v>212.4</c:v>
                </c:pt>
                <c:pt idx="15">
                  <c:v>229.95</c:v>
                </c:pt>
                <c:pt idx="16">
                  <c:v>248.18</c:v>
                </c:pt>
                <c:pt idx="17">
                  <c:v>267.10000000000002</c:v>
                </c:pt>
                <c:pt idx="18">
                  <c:v>286.74</c:v>
                </c:pt>
                <c:pt idx="19">
                  <c:v>307.11</c:v>
                </c:pt>
                <c:pt idx="20">
                  <c:v>328.25</c:v>
                </c:pt>
                <c:pt idx="21">
                  <c:v>350.17</c:v>
                </c:pt>
                <c:pt idx="22">
                  <c:v>372.9</c:v>
                </c:pt>
                <c:pt idx="23">
                  <c:v>396.47</c:v>
                </c:pt>
                <c:pt idx="24">
                  <c:v>420.89</c:v>
                </c:pt>
                <c:pt idx="25">
                  <c:v>446.21</c:v>
                </c:pt>
                <c:pt idx="26">
                  <c:v>472.43</c:v>
                </c:pt>
                <c:pt idx="27">
                  <c:v>499.6</c:v>
                </c:pt>
                <c:pt idx="28">
                  <c:v>527.75</c:v>
                </c:pt>
                <c:pt idx="29">
                  <c:v>556.89</c:v>
                </c:pt>
                <c:pt idx="30">
                  <c:v>587.07000000000005</c:v>
                </c:pt>
                <c:pt idx="31">
                  <c:v>618.29999999999995</c:v>
                </c:pt>
                <c:pt idx="32">
                  <c:v>650.64</c:v>
                </c:pt>
                <c:pt idx="33">
                  <c:v>684.1</c:v>
                </c:pt>
                <c:pt idx="34">
                  <c:v>718.73</c:v>
                </c:pt>
                <c:pt idx="35">
                  <c:v>754.55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FF-FA43-A433-0FF5A6DB6C0C}"/>
            </c:ext>
          </c:extLst>
        </c:ser>
        <c:ser>
          <c:idx val="3"/>
          <c:order val="1"/>
          <c:tx>
            <c:v>Positive</c:v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'Slide Data'!$A$54:$A$89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'Slide Data'!$E$54:$E$89</c:f>
              <c:numCache>
                <c:formatCode>General</c:formatCode>
                <c:ptCount val="36"/>
                <c:pt idx="0">
                  <c:v>-92.79</c:v>
                </c:pt>
                <c:pt idx="1">
                  <c:v>-88.11</c:v>
                </c:pt>
                <c:pt idx="2">
                  <c:v>-83.22</c:v>
                </c:pt>
                <c:pt idx="3">
                  <c:v>-78.11</c:v>
                </c:pt>
                <c:pt idx="4">
                  <c:v>-72.78</c:v>
                </c:pt>
                <c:pt idx="5">
                  <c:v>-67.22</c:v>
                </c:pt>
                <c:pt idx="6">
                  <c:v>-61.41</c:v>
                </c:pt>
                <c:pt idx="7">
                  <c:v>-55.37</c:v>
                </c:pt>
                <c:pt idx="8">
                  <c:v>-49.07</c:v>
                </c:pt>
                <c:pt idx="9">
                  <c:v>-42.51</c:v>
                </c:pt>
                <c:pt idx="10">
                  <c:v>-35.68</c:v>
                </c:pt>
                <c:pt idx="11">
                  <c:v>-28.57</c:v>
                </c:pt>
                <c:pt idx="12">
                  <c:v>-21.17</c:v>
                </c:pt>
                <c:pt idx="13">
                  <c:v>-13.48</c:v>
                </c:pt>
                <c:pt idx="14">
                  <c:v>-5.49</c:v>
                </c:pt>
                <c:pt idx="15">
                  <c:v>2.82</c:v>
                </c:pt>
                <c:pt idx="16">
                  <c:v>11.45</c:v>
                </c:pt>
                <c:pt idx="17">
                  <c:v>20.420000000000002</c:v>
                </c:pt>
                <c:pt idx="18">
                  <c:v>29.73</c:v>
                </c:pt>
                <c:pt idx="19">
                  <c:v>39.4</c:v>
                </c:pt>
                <c:pt idx="20">
                  <c:v>49.43</c:v>
                </c:pt>
                <c:pt idx="21">
                  <c:v>59.83</c:v>
                </c:pt>
                <c:pt idx="22">
                  <c:v>70.63</c:v>
                </c:pt>
                <c:pt idx="23">
                  <c:v>81.819999999999993</c:v>
                </c:pt>
                <c:pt idx="24">
                  <c:v>93.43</c:v>
                </c:pt>
                <c:pt idx="25">
                  <c:v>105.46</c:v>
                </c:pt>
                <c:pt idx="26">
                  <c:v>117.93</c:v>
                </c:pt>
                <c:pt idx="27">
                  <c:v>130.84</c:v>
                </c:pt>
                <c:pt idx="28">
                  <c:v>144.22999999999999</c:v>
                </c:pt>
                <c:pt idx="29">
                  <c:v>158.08000000000001</c:v>
                </c:pt>
                <c:pt idx="30">
                  <c:v>172.43</c:v>
                </c:pt>
                <c:pt idx="31">
                  <c:v>187.29</c:v>
                </c:pt>
                <c:pt idx="32">
                  <c:v>202.66</c:v>
                </c:pt>
                <c:pt idx="33">
                  <c:v>218.58</c:v>
                </c:pt>
                <c:pt idx="34">
                  <c:v>235.04</c:v>
                </c:pt>
                <c:pt idx="35">
                  <c:v>252.08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FF-FA43-A433-0FF5A6DB6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353023"/>
        <c:axId val="724251327"/>
      </c:lineChart>
      <c:catAx>
        <c:axId val="72435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51327"/>
        <c:crosses val="autoZero"/>
        <c:auto val="1"/>
        <c:lblAlgn val="ctr"/>
        <c:lblOffset val="100"/>
        <c:noMultiLvlLbl val="0"/>
      </c:catAx>
      <c:valAx>
        <c:axId val="72425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UGX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35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Cash Position: Base vs. Positive (UGX 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'Slide Data'!$C$53</c:f>
              <c:strCache>
                <c:ptCount val="1"/>
                <c:pt idx="0">
                  <c:v>S5: Positive Revenue (UGX 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'Slide Data'!$A$54:$A$89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'Slide Data'!$C$54:$C$89</c:f>
              <c:numCache>
                <c:formatCode>General</c:formatCode>
                <c:ptCount val="36"/>
                <c:pt idx="0">
                  <c:v>26.73</c:v>
                </c:pt>
                <c:pt idx="1">
                  <c:v>36.78</c:v>
                </c:pt>
                <c:pt idx="2">
                  <c:v>47.27</c:v>
                </c:pt>
                <c:pt idx="3">
                  <c:v>58.21</c:v>
                </c:pt>
                <c:pt idx="4">
                  <c:v>69.599999999999994</c:v>
                </c:pt>
                <c:pt idx="5">
                  <c:v>81.47</c:v>
                </c:pt>
                <c:pt idx="6">
                  <c:v>93.83</c:v>
                </c:pt>
                <c:pt idx="7">
                  <c:v>106.7</c:v>
                </c:pt>
                <c:pt idx="8">
                  <c:v>120.09</c:v>
                </c:pt>
                <c:pt idx="9">
                  <c:v>134.02000000000001</c:v>
                </c:pt>
                <c:pt idx="10">
                  <c:v>148.51</c:v>
                </c:pt>
                <c:pt idx="11">
                  <c:v>163.57</c:v>
                </c:pt>
                <c:pt idx="12">
                  <c:v>179.23</c:v>
                </c:pt>
                <c:pt idx="13">
                  <c:v>195.5</c:v>
                </c:pt>
                <c:pt idx="14">
                  <c:v>212.4</c:v>
                </c:pt>
                <c:pt idx="15">
                  <c:v>229.95</c:v>
                </c:pt>
                <c:pt idx="16">
                  <c:v>248.18</c:v>
                </c:pt>
                <c:pt idx="17">
                  <c:v>267.10000000000002</c:v>
                </c:pt>
                <c:pt idx="18">
                  <c:v>286.74</c:v>
                </c:pt>
                <c:pt idx="19">
                  <c:v>307.11</c:v>
                </c:pt>
                <c:pt idx="20">
                  <c:v>328.25</c:v>
                </c:pt>
                <c:pt idx="21">
                  <c:v>350.17</c:v>
                </c:pt>
                <c:pt idx="22">
                  <c:v>372.9</c:v>
                </c:pt>
                <c:pt idx="23">
                  <c:v>396.47</c:v>
                </c:pt>
                <c:pt idx="24">
                  <c:v>420.89</c:v>
                </c:pt>
                <c:pt idx="25">
                  <c:v>446.21</c:v>
                </c:pt>
                <c:pt idx="26">
                  <c:v>472.43</c:v>
                </c:pt>
                <c:pt idx="27">
                  <c:v>499.6</c:v>
                </c:pt>
                <c:pt idx="28">
                  <c:v>527.75</c:v>
                </c:pt>
                <c:pt idx="29">
                  <c:v>556.89</c:v>
                </c:pt>
                <c:pt idx="30">
                  <c:v>587.07000000000005</c:v>
                </c:pt>
                <c:pt idx="31">
                  <c:v>618.29999999999995</c:v>
                </c:pt>
                <c:pt idx="32">
                  <c:v>650.64</c:v>
                </c:pt>
                <c:pt idx="33">
                  <c:v>684.1</c:v>
                </c:pt>
                <c:pt idx="34">
                  <c:v>718.73</c:v>
                </c:pt>
                <c:pt idx="35">
                  <c:v>754.55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C2-EE4E-9482-8DFF8668ED74}"/>
            </c:ext>
          </c:extLst>
        </c:ser>
        <c:ser>
          <c:idx val="3"/>
          <c:order val="1"/>
          <c:tx>
            <c:strRef>
              <c:f>'Slide Data'!$E$53</c:f>
              <c:strCache>
                <c:ptCount val="1"/>
                <c:pt idx="0">
                  <c:v>S7: Positive Net Profit (UGX 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'Slide Data'!$A$54:$A$89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'Slide Data'!$E$54:$E$89</c:f>
              <c:numCache>
                <c:formatCode>General</c:formatCode>
                <c:ptCount val="36"/>
                <c:pt idx="0">
                  <c:v>-92.79</c:v>
                </c:pt>
                <c:pt idx="1">
                  <c:v>-88.11</c:v>
                </c:pt>
                <c:pt idx="2">
                  <c:v>-83.22</c:v>
                </c:pt>
                <c:pt idx="3">
                  <c:v>-78.11</c:v>
                </c:pt>
                <c:pt idx="4">
                  <c:v>-72.78</c:v>
                </c:pt>
                <c:pt idx="5">
                  <c:v>-67.22</c:v>
                </c:pt>
                <c:pt idx="6">
                  <c:v>-61.41</c:v>
                </c:pt>
                <c:pt idx="7">
                  <c:v>-55.37</c:v>
                </c:pt>
                <c:pt idx="8">
                  <c:v>-49.07</c:v>
                </c:pt>
                <c:pt idx="9">
                  <c:v>-42.51</c:v>
                </c:pt>
                <c:pt idx="10">
                  <c:v>-35.68</c:v>
                </c:pt>
                <c:pt idx="11">
                  <c:v>-28.57</c:v>
                </c:pt>
                <c:pt idx="12">
                  <c:v>-21.17</c:v>
                </c:pt>
                <c:pt idx="13">
                  <c:v>-13.48</c:v>
                </c:pt>
                <c:pt idx="14">
                  <c:v>-5.49</c:v>
                </c:pt>
                <c:pt idx="15">
                  <c:v>2.82</c:v>
                </c:pt>
                <c:pt idx="16">
                  <c:v>11.45</c:v>
                </c:pt>
                <c:pt idx="17">
                  <c:v>20.420000000000002</c:v>
                </c:pt>
                <c:pt idx="18">
                  <c:v>29.73</c:v>
                </c:pt>
                <c:pt idx="19">
                  <c:v>39.4</c:v>
                </c:pt>
                <c:pt idx="20">
                  <c:v>49.43</c:v>
                </c:pt>
                <c:pt idx="21">
                  <c:v>59.83</c:v>
                </c:pt>
                <c:pt idx="22">
                  <c:v>70.63</c:v>
                </c:pt>
                <c:pt idx="23">
                  <c:v>81.819999999999993</c:v>
                </c:pt>
                <c:pt idx="24">
                  <c:v>93.43</c:v>
                </c:pt>
                <c:pt idx="25">
                  <c:v>105.46</c:v>
                </c:pt>
                <c:pt idx="26">
                  <c:v>117.93</c:v>
                </c:pt>
                <c:pt idx="27">
                  <c:v>130.84</c:v>
                </c:pt>
                <c:pt idx="28">
                  <c:v>144.22999999999999</c:v>
                </c:pt>
                <c:pt idx="29">
                  <c:v>158.08000000000001</c:v>
                </c:pt>
                <c:pt idx="30">
                  <c:v>172.43</c:v>
                </c:pt>
                <c:pt idx="31">
                  <c:v>187.29</c:v>
                </c:pt>
                <c:pt idx="32">
                  <c:v>202.66</c:v>
                </c:pt>
                <c:pt idx="33">
                  <c:v>218.58</c:v>
                </c:pt>
                <c:pt idx="34">
                  <c:v>235.04</c:v>
                </c:pt>
                <c:pt idx="35">
                  <c:v>252.08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C2-EE4E-9482-8DFF8668ED74}"/>
            </c:ext>
          </c:extLst>
        </c:ser>
        <c:ser>
          <c:idx val="5"/>
          <c:order val="2"/>
          <c:tx>
            <c:strRef>
              <c:f>'Slide Data'!$G$53</c:f>
              <c:strCache>
                <c:ptCount val="1"/>
                <c:pt idx="0">
                  <c:v>S8: Positive Cumulative (UGX M)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'Slide Data'!$A$54:$A$89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'Slide Data'!$G$54:$G$89</c:f>
              <c:numCache>
                <c:formatCode>General</c:formatCode>
                <c:ptCount val="36"/>
                <c:pt idx="0">
                  <c:v>-92.79</c:v>
                </c:pt>
                <c:pt idx="1">
                  <c:v>-180.91</c:v>
                </c:pt>
                <c:pt idx="2">
                  <c:v>-264.13</c:v>
                </c:pt>
                <c:pt idx="3">
                  <c:v>-342.24</c:v>
                </c:pt>
                <c:pt idx="4">
                  <c:v>-415.02</c:v>
                </c:pt>
                <c:pt idx="5">
                  <c:v>-482.23</c:v>
                </c:pt>
                <c:pt idx="6">
                  <c:v>-543.65</c:v>
                </c:pt>
                <c:pt idx="7">
                  <c:v>-599.02</c:v>
                </c:pt>
                <c:pt idx="8">
                  <c:v>-648.08000000000004</c:v>
                </c:pt>
                <c:pt idx="9">
                  <c:v>-690.59</c:v>
                </c:pt>
                <c:pt idx="10">
                  <c:v>-726.27</c:v>
                </c:pt>
                <c:pt idx="11">
                  <c:v>-754.84</c:v>
                </c:pt>
                <c:pt idx="12">
                  <c:v>-776.01</c:v>
                </c:pt>
                <c:pt idx="13">
                  <c:v>-789.49</c:v>
                </c:pt>
                <c:pt idx="14">
                  <c:v>-794.98</c:v>
                </c:pt>
                <c:pt idx="15">
                  <c:v>-792.16</c:v>
                </c:pt>
                <c:pt idx="16">
                  <c:v>-780.71</c:v>
                </c:pt>
                <c:pt idx="17">
                  <c:v>-760.29</c:v>
                </c:pt>
                <c:pt idx="18">
                  <c:v>-730.55</c:v>
                </c:pt>
                <c:pt idx="19">
                  <c:v>-691.16</c:v>
                </c:pt>
                <c:pt idx="20">
                  <c:v>-641.73</c:v>
                </c:pt>
                <c:pt idx="21">
                  <c:v>-581.9</c:v>
                </c:pt>
                <c:pt idx="22">
                  <c:v>-511.27</c:v>
                </c:pt>
                <c:pt idx="23">
                  <c:v>-429.44</c:v>
                </c:pt>
                <c:pt idx="24">
                  <c:v>-336.01</c:v>
                </c:pt>
                <c:pt idx="25">
                  <c:v>-230.55</c:v>
                </c:pt>
                <c:pt idx="26">
                  <c:v>-112.62</c:v>
                </c:pt>
                <c:pt idx="27">
                  <c:v>18.22</c:v>
                </c:pt>
                <c:pt idx="28">
                  <c:v>162.44999999999999</c:v>
                </c:pt>
                <c:pt idx="29">
                  <c:v>320.52999999999997</c:v>
                </c:pt>
                <c:pt idx="30">
                  <c:v>492.96</c:v>
                </c:pt>
                <c:pt idx="31">
                  <c:v>680.25</c:v>
                </c:pt>
                <c:pt idx="32">
                  <c:v>882.91</c:v>
                </c:pt>
                <c:pt idx="33">
                  <c:v>1101.49</c:v>
                </c:pt>
                <c:pt idx="34">
                  <c:v>1336.53</c:v>
                </c:pt>
                <c:pt idx="35">
                  <c:v>1588.61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C2-EE4E-9482-8DFF8668E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314623"/>
        <c:axId val="689911359"/>
      </c:lineChart>
      <c:catAx>
        <c:axId val="72431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11359"/>
        <c:crosses val="autoZero"/>
        <c:auto val="1"/>
        <c:lblAlgn val="ctr"/>
        <c:lblOffset val="100"/>
        <c:noMultiLvlLbl val="0"/>
      </c:catAx>
      <c:valAx>
        <c:axId val="68991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31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19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35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51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0</xdr:col>
      <xdr:colOff>127000</xdr:colOff>
      <xdr:row>3</xdr:row>
      <xdr:rowOff>114300</xdr:rowOff>
    </xdr:from>
    <xdr:to>
      <xdr:col>4</xdr:col>
      <xdr:colOff>1346200</xdr:colOff>
      <xdr:row>22</xdr:row>
      <xdr:rowOff>50800</xdr:rowOff>
    </xdr:to>
    <xdr:graphicFrame macro="">
      <xdr:nvGraphicFramePr>
        <xdr:cNvPr id="7" name="S5_Revenue">
          <a:extLst>
            <a:ext uri="{FF2B5EF4-FFF2-40B4-BE49-F238E27FC236}">
              <a16:creationId xmlns:a16="http://schemas.microsoft.com/office/drawing/2014/main" id="{D3158A0F-491C-CB32-A04F-2DF87AC6B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228600</xdr:colOff>
      <xdr:row>3</xdr:row>
      <xdr:rowOff>114300</xdr:rowOff>
    </xdr:from>
    <xdr:to>
      <xdr:col>10</xdr:col>
      <xdr:colOff>304800</xdr:colOff>
      <xdr:row>22</xdr:row>
      <xdr:rowOff>50800</xdr:rowOff>
    </xdr:to>
    <xdr:graphicFrame macro="">
      <xdr:nvGraphicFramePr>
        <xdr:cNvPr id="8" name="S7_NetProfit">
          <a:extLst>
            <a:ext uri="{FF2B5EF4-FFF2-40B4-BE49-F238E27FC236}">
              <a16:creationId xmlns:a16="http://schemas.microsoft.com/office/drawing/2014/main" id="{B91486AE-FBEA-0ACD-77E2-132B15AD3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127000</xdr:colOff>
      <xdr:row>23</xdr:row>
      <xdr:rowOff>114299</xdr:rowOff>
    </xdr:from>
    <xdr:to>
      <xdr:col>4</xdr:col>
      <xdr:colOff>1346200</xdr:colOff>
      <xdr:row>42</xdr:row>
      <xdr:rowOff>50799</xdr:rowOff>
    </xdr:to>
    <xdr:graphicFrame macro="">
      <xdr:nvGraphicFramePr>
        <xdr:cNvPr id="9" name="S8_Cumulative">
          <a:extLst>
            <a:ext uri="{FF2B5EF4-FFF2-40B4-BE49-F238E27FC236}">
              <a16:creationId xmlns:a16="http://schemas.microsoft.com/office/drawing/2014/main" id="{57DD5274-3B51-5168-F05E-7E1F8FD77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0B3AD0-6E32-B14E-A393-E9BBD9575EAC}">
  <we:reference id="wa200009404" version="1.0.0.8" store="en-GB" storeType="OMEX"/>
  <we:alternateReferences>
    <we:reference id="WA200009404" version="1.0.0.8" store="" storeType="OMEX"/>
  </we:alternateReferences>
  <we:properties>
    <we:property name="claude.fileId" value="&quot;110501a1-9407-486b-b783-d708631d2d67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0"/>
  <sheetViews>
    <sheetView tabSelected="1" zoomScale="150" workbookViewId="0">
      <pane xSplit="3" ySplit="1" topLeftCell="D2" activePane="bottomRight" state="frozen"/>
      <selection pane="topRight"/>
      <selection pane="bottomLeft"/>
      <selection pane="bottomRight" activeCell="E8" sqref="E8"/>
    </sheetView>
  </sheetViews>
  <sheetFormatPr baseColWidth="10" defaultColWidth="8.83203125" defaultRowHeight="15"/>
  <cols>
    <col min="1" max="1" width="38.6640625" customWidth="1"/>
    <col min="2" max="2" width="34" hidden="1" customWidth="1"/>
    <col min="3" max="3" width="34" style="22" customWidth="1"/>
    <col min="4" max="4" width="14" customWidth="1"/>
    <col min="5" max="5" width="14" style="22" customWidth="1"/>
    <col min="6" max="6" width="14" customWidth="1"/>
    <col min="7" max="7" width="14" style="22" customWidth="1"/>
  </cols>
  <sheetData>
    <row r="1" spans="1:7">
      <c r="A1" s="1" t="s">
        <v>63</v>
      </c>
      <c r="B1" s="1" t="s">
        <v>64</v>
      </c>
      <c r="C1" s="19" t="s">
        <v>65</v>
      </c>
      <c r="D1" s="1" t="s">
        <v>66</v>
      </c>
      <c r="E1" s="19" t="s">
        <v>67</v>
      </c>
      <c r="F1" s="1" t="s">
        <v>68</v>
      </c>
      <c r="G1" s="19" t="s">
        <v>69</v>
      </c>
    </row>
    <row r="2" spans="1:7">
      <c r="A2" s="1" t="s">
        <v>70</v>
      </c>
      <c r="B2" s="1"/>
      <c r="C2" s="19"/>
      <c r="D2" s="1"/>
      <c r="E2" s="19"/>
      <c r="F2" s="1"/>
      <c r="G2" s="19"/>
    </row>
    <row r="3" spans="1:7">
      <c r="A3" s="2" t="s">
        <v>71</v>
      </c>
      <c r="B3" s="2" t="s">
        <v>72</v>
      </c>
      <c r="C3" s="23" t="s">
        <v>73</v>
      </c>
      <c r="D3" s="3">
        <v>145833</v>
      </c>
      <c r="E3" s="20">
        <v>1.7999999999999999E-2</v>
      </c>
      <c r="F3" s="3">
        <v>145833</v>
      </c>
      <c r="G3" s="20">
        <v>1.7999999999999999E-2</v>
      </c>
    </row>
    <row r="4" spans="1:7">
      <c r="A4" s="2" t="s">
        <v>74</v>
      </c>
      <c r="B4" s="2" t="s">
        <v>75</v>
      </c>
      <c r="C4" s="23" t="s">
        <v>76</v>
      </c>
      <c r="D4" s="4">
        <v>0.28000000000000003</v>
      </c>
      <c r="E4" s="21">
        <v>0</v>
      </c>
      <c r="F4" s="4">
        <v>0.28000000000000003</v>
      </c>
      <c r="G4" s="21">
        <v>0</v>
      </c>
    </row>
    <row r="5" spans="1:7">
      <c r="A5" s="2" t="s">
        <v>77</v>
      </c>
      <c r="B5" s="2" t="s">
        <v>78</v>
      </c>
      <c r="C5" s="23" t="s">
        <v>79</v>
      </c>
      <c r="D5" s="3">
        <v>0.72</v>
      </c>
      <c r="E5" s="20">
        <v>3.0000000000000001E-3</v>
      </c>
      <c r="F5" s="3">
        <v>0.72</v>
      </c>
      <c r="G5" s="20">
        <v>3.0000000000000001E-3</v>
      </c>
    </row>
    <row r="6" spans="1:7">
      <c r="A6" s="2" t="s">
        <v>80</v>
      </c>
      <c r="B6" s="2" t="s">
        <v>81</v>
      </c>
      <c r="C6" s="23" t="s">
        <v>82</v>
      </c>
      <c r="D6" s="3">
        <v>0.62</v>
      </c>
      <c r="E6" s="20">
        <v>6.0000000000000001E-3</v>
      </c>
      <c r="F6" s="3">
        <v>0.62</v>
      </c>
      <c r="G6" s="20">
        <v>6.0000000000000001E-3</v>
      </c>
    </row>
    <row r="7" spans="1:7">
      <c r="A7" s="2" t="s">
        <v>83</v>
      </c>
      <c r="B7" s="2" t="s">
        <v>84</v>
      </c>
      <c r="C7" s="23" t="s">
        <v>85</v>
      </c>
      <c r="D7" s="3">
        <v>0.28000000000000003</v>
      </c>
      <c r="E7" s="20">
        <v>0.08</v>
      </c>
      <c r="F7" s="3">
        <v>0.35</v>
      </c>
      <c r="G7" s="20">
        <v>0.1</v>
      </c>
    </row>
    <row r="8" spans="1:7">
      <c r="A8" s="2" t="s">
        <v>86</v>
      </c>
      <c r="B8" s="2" t="s">
        <v>87</v>
      </c>
      <c r="C8" s="23" t="s">
        <v>88</v>
      </c>
      <c r="D8" s="3">
        <v>0.56000000000000005</v>
      </c>
      <c r="E8" s="20">
        <v>0.04</v>
      </c>
      <c r="F8" s="3">
        <v>0.62720000000000009</v>
      </c>
      <c r="G8" s="20">
        <v>0.05</v>
      </c>
    </row>
    <row r="9" spans="1:7">
      <c r="A9" s="2" t="s">
        <v>89</v>
      </c>
      <c r="B9" s="2" t="s">
        <v>90</v>
      </c>
      <c r="C9" s="23" t="s">
        <v>88</v>
      </c>
      <c r="D9" s="3">
        <v>0.78</v>
      </c>
      <c r="E9" s="20">
        <v>0.02</v>
      </c>
      <c r="F9" s="3">
        <v>0.81900000000000006</v>
      </c>
      <c r="G9" s="20">
        <v>2.5000000000000001E-2</v>
      </c>
    </row>
    <row r="10" spans="1:7">
      <c r="A10" s="2" t="s">
        <v>91</v>
      </c>
      <c r="B10" s="2" t="s">
        <v>92</v>
      </c>
      <c r="C10" s="23" t="s">
        <v>88</v>
      </c>
      <c r="D10" s="3">
        <v>0.9</v>
      </c>
      <c r="E10" s="20">
        <v>1.4999999999999999E-2</v>
      </c>
      <c r="F10" s="3">
        <v>0.95400000000000007</v>
      </c>
      <c r="G10" s="20">
        <v>0.02</v>
      </c>
    </row>
    <row r="11" spans="1:7">
      <c r="A11" s="2" t="s">
        <v>93</v>
      </c>
      <c r="B11" s="2" t="s">
        <v>94</v>
      </c>
      <c r="C11" s="23" t="s">
        <v>95</v>
      </c>
      <c r="D11" s="3">
        <v>2.5000000000000001E-2</v>
      </c>
      <c r="E11" s="20">
        <v>0.03</v>
      </c>
      <c r="F11" s="3">
        <v>3.3750000000000002E-2</v>
      </c>
      <c r="G11" s="20">
        <v>0.04</v>
      </c>
    </row>
    <row r="12" spans="1:7">
      <c r="A12" s="2" t="s">
        <v>96</v>
      </c>
      <c r="B12" s="2" t="s">
        <v>97</v>
      </c>
      <c r="C12" s="23" t="s">
        <v>98</v>
      </c>
      <c r="D12" s="3">
        <v>4.0000000000000001E-3</v>
      </c>
      <c r="E12" s="20">
        <v>0</v>
      </c>
      <c r="F12" s="3">
        <v>3.0000000000000001E-3</v>
      </c>
      <c r="G12" s="20">
        <v>0</v>
      </c>
    </row>
    <row r="13" spans="1:7">
      <c r="A13" s="2" t="s">
        <v>99</v>
      </c>
      <c r="B13" s="2" t="s">
        <v>100</v>
      </c>
      <c r="C13" s="23" t="s">
        <v>101</v>
      </c>
      <c r="D13" s="3">
        <v>35500</v>
      </c>
      <c r="E13" s="20">
        <v>0.03</v>
      </c>
      <c r="F13" s="3">
        <v>38340</v>
      </c>
      <c r="G13" s="20">
        <v>0.03</v>
      </c>
    </row>
    <row r="14" spans="1:7">
      <c r="A14" s="2" t="s">
        <v>102</v>
      </c>
      <c r="B14" s="2" t="s">
        <v>103</v>
      </c>
      <c r="C14" s="23" t="s">
        <v>76</v>
      </c>
      <c r="D14" s="4">
        <v>0.25</v>
      </c>
      <c r="E14" s="21">
        <v>0</v>
      </c>
      <c r="F14" s="4">
        <v>0.25</v>
      </c>
      <c r="G14" s="21">
        <v>0</v>
      </c>
    </row>
    <row r="15" spans="1:7">
      <c r="A15" s="2" t="s">
        <v>104</v>
      </c>
      <c r="B15" s="2" t="s">
        <v>105</v>
      </c>
      <c r="C15" s="23" t="s">
        <v>79</v>
      </c>
      <c r="D15" s="3">
        <v>0.66</v>
      </c>
      <c r="E15" s="20">
        <v>3.0000000000000001E-3</v>
      </c>
      <c r="F15" s="3">
        <v>0.66</v>
      </c>
      <c r="G15" s="20">
        <v>3.0000000000000001E-3</v>
      </c>
    </row>
    <row r="16" spans="1:7">
      <c r="A16" s="2" t="s">
        <v>106</v>
      </c>
      <c r="B16" s="2" t="s">
        <v>107</v>
      </c>
      <c r="C16" s="23" t="s">
        <v>82</v>
      </c>
      <c r="D16" s="3">
        <v>0.56000000000000005</v>
      </c>
      <c r="E16" s="20">
        <v>6.0000000000000001E-3</v>
      </c>
      <c r="F16" s="3">
        <v>0.56000000000000005</v>
      </c>
      <c r="G16" s="20">
        <v>6.0000000000000001E-3</v>
      </c>
    </row>
    <row r="17" spans="1:7">
      <c r="A17" s="2" t="s">
        <v>108</v>
      </c>
      <c r="B17" s="2" t="s">
        <v>109</v>
      </c>
      <c r="C17" s="23" t="s">
        <v>85</v>
      </c>
      <c r="D17" s="3">
        <v>0.22</v>
      </c>
      <c r="E17" s="20">
        <v>0.08</v>
      </c>
      <c r="F17" s="3">
        <v>0.27500000000000002</v>
      </c>
      <c r="G17" s="20">
        <v>0.1</v>
      </c>
    </row>
    <row r="18" spans="1:7">
      <c r="A18" s="2" t="s">
        <v>110</v>
      </c>
      <c r="B18" s="2" t="s">
        <v>111</v>
      </c>
      <c r="C18" s="23" t="s">
        <v>88</v>
      </c>
      <c r="D18" s="3">
        <v>0.49</v>
      </c>
      <c r="E18" s="20">
        <v>0.04</v>
      </c>
      <c r="F18" s="3">
        <v>0.54880000000000007</v>
      </c>
      <c r="G18" s="20">
        <v>0.05</v>
      </c>
    </row>
    <row r="19" spans="1:7">
      <c r="A19" s="2" t="s">
        <v>112</v>
      </c>
      <c r="B19" s="2" t="s">
        <v>113</v>
      </c>
      <c r="C19" s="23" t="s">
        <v>88</v>
      </c>
      <c r="D19" s="3">
        <v>0.78</v>
      </c>
      <c r="E19" s="20">
        <v>0.02</v>
      </c>
      <c r="F19" s="3">
        <v>0.81900000000000006</v>
      </c>
      <c r="G19" s="20">
        <v>2.5000000000000001E-2</v>
      </c>
    </row>
    <row r="20" spans="1:7">
      <c r="A20" s="2" t="s">
        <v>114</v>
      </c>
      <c r="B20" s="2" t="s">
        <v>115</v>
      </c>
      <c r="C20" s="23" t="s">
        <v>88</v>
      </c>
      <c r="D20" s="3">
        <v>0.86</v>
      </c>
      <c r="E20" s="20">
        <v>1.4999999999999999E-2</v>
      </c>
      <c r="F20" s="3">
        <v>0.91160000000000008</v>
      </c>
      <c r="G20" s="20">
        <v>0.02</v>
      </c>
    </row>
    <row r="21" spans="1:7">
      <c r="A21" s="2" t="s">
        <v>116</v>
      </c>
      <c r="B21" s="2" t="s">
        <v>117</v>
      </c>
      <c r="C21" s="23" t="s">
        <v>95</v>
      </c>
      <c r="D21" s="3">
        <v>1.7999999999999999E-2</v>
      </c>
      <c r="E21" s="20">
        <v>0.03</v>
      </c>
      <c r="F21" s="3">
        <v>2.4299999999999999E-2</v>
      </c>
      <c r="G21" s="20">
        <v>0.04</v>
      </c>
    </row>
    <row r="22" spans="1:7">
      <c r="A22" s="2" t="s">
        <v>118</v>
      </c>
      <c r="B22" s="2" t="s">
        <v>119</v>
      </c>
      <c r="C22" s="23" t="s">
        <v>98</v>
      </c>
      <c r="D22" s="3">
        <v>4.0000000000000001E-3</v>
      </c>
      <c r="E22" s="20">
        <v>0</v>
      </c>
      <c r="F22" s="3">
        <v>3.0000000000000001E-3</v>
      </c>
      <c r="G22" s="20">
        <v>0</v>
      </c>
    </row>
    <row r="23" spans="1:7">
      <c r="A23" s="2" t="s">
        <v>120</v>
      </c>
      <c r="B23" s="2" t="s">
        <v>121</v>
      </c>
      <c r="C23" s="23" t="s">
        <v>101</v>
      </c>
      <c r="D23" s="3">
        <v>34500</v>
      </c>
      <c r="E23" s="20">
        <v>0.03</v>
      </c>
      <c r="F23" s="3">
        <v>37260</v>
      </c>
      <c r="G23" s="20">
        <v>0.03</v>
      </c>
    </row>
    <row r="24" spans="1:7">
      <c r="A24" s="2" t="s">
        <v>122</v>
      </c>
      <c r="B24" s="2" t="s">
        <v>123</v>
      </c>
      <c r="C24" s="23" t="s">
        <v>76</v>
      </c>
      <c r="D24" s="4">
        <v>0.25</v>
      </c>
      <c r="E24" s="21">
        <v>0</v>
      </c>
      <c r="F24" s="4">
        <v>0.25</v>
      </c>
      <c r="G24" s="21">
        <v>0</v>
      </c>
    </row>
    <row r="25" spans="1:7">
      <c r="A25" s="2" t="s">
        <v>124</v>
      </c>
      <c r="B25" s="2" t="s">
        <v>125</v>
      </c>
      <c r="C25" s="23" t="s">
        <v>79</v>
      </c>
      <c r="D25" s="3">
        <v>0.63</v>
      </c>
      <c r="E25" s="20">
        <v>3.0000000000000001E-3</v>
      </c>
      <c r="F25" s="3">
        <v>0.63</v>
      </c>
      <c r="G25" s="20">
        <v>3.0000000000000001E-3</v>
      </c>
    </row>
    <row r="26" spans="1:7">
      <c r="A26" s="2" t="s">
        <v>126</v>
      </c>
      <c r="B26" s="2" t="s">
        <v>127</v>
      </c>
      <c r="C26" s="23" t="s">
        <v>82</v>
      </c>
      <c r="D26" s="3">
        <v>0.5</v>
      </c>
      <c r="E26" s="20">
        <v>6.0000000000000001E-3</v>
      </c>
      <c r="F26" s="3">
        <v>0.5</v>
      </c>
      <c r="G26" s="20">
        <v>6.0000000000000001E-3</v>
      </c>
    </row>
    <row r="27" spans="1:7">
      <c r="A27" s="2" t="s">
        <v>128</v>
      </c>
      <c r="B27" s="2" t="s">
        <v>129</v>
      </c>
      <c r="C27" s="23" t="s">
        <v>85</v>
      </c>
      <c r="D27" s="3">
        <v>0.19</v>
      </c>
      <c r="E27" s="20">
        <v>0.08</v>
      </c>
      <c r="F27" s="3">
        <v>0.23749999999999999</v>
      </c>
      <c r="G27" s="20">
        <v>0.1</v>
      </c>
    </row>
    <row r="28" spans="1:7">
      <c r="A28" s="2" t="s">
        <v>130</v>
      </c>
      <c r="B28" s="2" t="s">
        <v>131</v>
      </c>
      <c r="C28" s="23" t="s">
        <v>88</v>
      </c>
      <c r="D28" s="3">
        <v>0.44</v>
      </c>
      <c r="E28" s="20">
        <v>0.04</v>
      </c>
      <c r="F28" s="3">
        <v>0.49280000000000013</v>
      </c>
      <c r="G28" s="20">
        <v>0.05</v>
      </c>
    </row>
    <row r="29" spans="1:7">
      <c r="A29" s="2" t="s">
        <v>132</v>
      </c>
      <c r="B29" s="2" t="s">
        <v>133</v>
      </c>
      <c r="C29" s="23" t="s">
        <v>88</v>
      </c>
      <c r="D29" s="3">
        <v>0.78</v>
      </c>
      <c r="E29" s="20">
        <v>0.02</v>
      </c>
      <c r="F29" s="3">
        <v>0.81900000000000006</v>
      </c>
      <c r="G29" s="20">
        <v>2.5000000000000001E-2</v>
      </c>
    </row>
    <row r="30" spans="1:7">
      <c r="A30" s="2" t="s">
        <v>134</v>
      </c>
      <c r="B30" s="2" t="s">
        <v>135</v>
      </c>
      <c r="C30" s="23" t="s">
        <v>88</v>
      </c>
      <c r="D30" s="3">
        <v>0.82</v>
      </c>
      <c r="E30" s="20">
        <v>1.4999999999999999E-2</v>
      </c>
      <c r="F30" s="3">
        <v>0.86919999999999997</v>
      </c>
      <c r="G30" s="20">
        <v>0.02</v>
      </c>
    </row>
    <row r="31" spans="1:7">
      <c r="A31" s="2" t="s">
        <v>136</v>
      </c>
      <c r="B31" s="2" t="s">
        <v>137</v>
      </c>
      <c r="C31" s="23" t="s">
        <v>95</v>
      </c>
      <c r="D31" s="3">
        <v>1.4E-2</v>
      </c>
      <c r="E31" s="20">
        <v>0.03</v>
      </c>
      <c r="F31" s="3">
        <v>1.89E-2</v>
      </c>
      <c r="G31" s="20">
        <v>0.04</v>
      </c>
    </row>
    <row r="32" spans="1:7">
      <c r="A32" s="2" t="s">
        <v>138</v>
      </c>
      <c r="B32" s="2" t="s">
        <v>139</v>
      </c>
      <c r="C32" s="23" t="s">
        <v>98</v>
      </c>
      <c r="D32" s="3">
        <v>4.0000000000000001E-3</v>
      </c>
      <c r="E32" s="20">
        <v>0</v>
      </c>
      <c r="F32" s="3">
        <v>3.0000000000000001E-3</v>
      </c>
      <c r="G32" s="20">
        <v>0</v>
      </c>
    </row>
    <row r="33" spans="1:7">
      <c r="A33" s="2" t="s">
        <v>140</v>
      </c>
      <c r="B33" s="2" t="s">
        <v>141</v>
      </c>
      <c r="C33" s="23" t="s">
        <v>101</v>
      </c>
      <c r="D33" s="3">
        <v>33500</v>
      </c>
      <c r="E33" s="20">
        <v>0.03</v>
      </c>
      <c r="F33" s="3">
        <v>36180</v>
      </c>
      <c r="G33" s="20">
        <v>0.03</v>
      </c>
    </row>
    <row r="34" spans="1:7">
      <c r="A34" s="2" t="s">
        <v>142</v>
      </c>
      <c r="B34" s="2" t="s">
        <v>143</v>
      </c>
      <c r="C34" s="23" t="s">
        <v>76</v>
      </c>
      <c r="D34" s="4">
        <v>0.22</v>
      </c>
      <c r="E34" s="21">
        <v>0</v>
      </c>
      <c r="F34" s="4">
        <v>0.22</v>
      </c>
      <c r="G34" s="21">
        <v>0</v>
      </c>
    </row>
    <row r="35" spans="1:7">
      <c r="A35" s="2" t="s">
        <v>144</v>
      </c>
      <c r="B35" s="2" t="s">
        <v>145</v>
      </c>
      <c r="C35" s="23" t="s">
        <v>79</v>
      </c>
      <c r="D35" s="3">
        <v>0.57999999999999996</v>
      </c>
      <c r="E35" s="20">
        <v>3.0000000000000001E-3</v>
      </c>
      <c r="F35" s="3">
        <v>0.57999999999999996</v>
      </c>
      <c r="G35" s="20">
        <v>3.0000000000000001E-3</v>
      </c>
    </row>
    <row r="36" spans="1:7">
      <c r="A36" s="2" t="s">
        <v>146</v>
      </c>
      <c r="B36" s="2" t="s">
        <v>147</v>
      </c>
      <c r="C36" s="23" t="s">
        <v>82</v>
      </c>
      <c r="D36" s="3">
        <v>0.45</v>
      </c>
      <c r="E36" s="20">
        <v>6.0000000000000001E-3</v>
      </c>
      <c r="F36" s="3">
        <v>0.45</v>
      </c>
      <c r="G36" s="20">
        <v>6.0000000000000001E-3</v>
      </c>
    </row>
    <row r="37" spans="1:7">
      <c r="A37" s="2" t="s">
        <v>148</v>
      </c>
      <c r="B37" s="2" t="s">
        <v>149</v>
      </c>
      <c r="C37" s="23" t="s">
        <v>85</v>
      </c>
      <c r="D37" s="3">
        <v>0.17</v>
      </c>
      <c r="E37" s="20">
        <v>0.08</v>
      </c>
      <c r="F37" s="3">
        <v>0.21249999999999999</v>
      </c>
      <c r="G37" s="20">
        <v>0.1</v>
      </c>
    </row>
    <row r="38" spans="1:7">
      <c r="A38" s="2" t="s">
        <v>150</v>
      </c>
      <c r="B38" s="2" t="s">
        <v>151</v>
      </c>
      <c r="C38" s="23" t="s">
        <v>88</v>
      </c>
      <c r="D38" s="3">
        <v>0.39</v>
      </c>
      <c r="E38" s="20">
        <v>0.04</v>
      </c>
      <c r="F38" s="3">
        <v>0.43680000000000008</v>
      </c>
      <c r="G38" s="20">
        <v>0.05</v>
      </c>
    </row>
    <row r="39" spans="1:7">
      <c r="A39" s="2" t="s">
        <v>152</v>
      </c>
      <c r="B39" s="2" t="s">
        <v>153</v>
      </c>
      <c r="C39" s="23" t="s">
        <v>88</v>
      </c>
      <c r="D39" s="3">
        <v>0.78</v>
      </c>
      <c r="E39" s="20">
        <v>0.02</v>
      </c>
      <c r="F39" s="3">
        <v>0.81900000000000006</v>
      </c>
      <c r="G39" s="20">
        <v>2.5000000000000001E-2</v>
      </c>
    </row>
    <row r="40" spans="1:7">
      <c r="A40" s="2" t="s">
        <v>154</v>
      </c>
      <c r="B40" s="2" t="s">
        <v>155</v>
      </c>
      <c r="C40" s="23" t="s">
        <v>88</v>
      </c>
      <c r="D40" s="3">
        <v>0.78</v>
      </c>
      <c r="E40" s="20">
        <v>1.4999999999999999E-2</v>
      </c>
      <c r="F40" s="3">
        <v>0.82680000000000009</v>
      </c>
      <c r="G40" s="20">
        <v>0.02</v>
      </c>
    </row>
    <row r="41" spans="1:7">
      <c r="A41" s="2" t="s">
        <v>156</v>
      </c>
      <c r="B41" s="2" t="s">
        <v>157</v>
      </c>
      <c r="C41" s="23" t="s">
        <v>95</v>
      </c>
      <c r="D41" s="3">
        <v>1.0999999999999999E-2</v>
      </c>
      <c r="E41" s="20">
        <v>0.03</v>
      </c>
      <c r="F41" s="3">
        <v>1.485E-2</v>
      </c>
      <c r="G41" s="20">
        <v>0.04</v>
      </c>
    </row>
    <row r="42" spans="1:7">
      <c r="A42" s="2" t="s">
        <v>158</v>
      </c>
      <c r="B42" s="2" t="s">
        <v>159</v>
      </c>
      <c r="C42" s="23" t="s">
        <v>98</v>
      </c>
      <c r="D42" s="3">
        <v>4.0000000000000001E-3</v>
      </c>
      <c r="E42" s="20">
        <v>0</v>
      </c>
      <c r="F42" s="3">
        <v>3.0000000000000001E-3</v>
      </c>
      <c r="G42" s="20">
        <v>0</v>
      </c>
    </row>
    <row r="43" spans="1:7">
      <c r="A43" s="2" t="s">
        <v>160</v>
      </c>
      <c r="B43" s="2" t="s">
        <v>161</v>
      </c>
      <c r="C43" s="23" t="s">
        <v>101</v>
      </c>
      <c r="D43" s="3">
        <v>32500</v>
      </c>
      <c r="E43" s="20">
        <v>0.03</v>
      </c>
      <c r="F43" s="3">
        <v>35100</v>
      </c>
      <c r="G43" s="20">
        <v>0.03</v>
      </c>
    </row>
    <row r="44" spans="1:7">
      <c r="A44" s="2" t="s">
        <v>162</v>
      </c>
      <c r="B44" s="2" t="s">
        <v>163</v>
      </c>
      <c r="C44" s="23" t="s">
        <v>85</v>
      </c>
      <c r="D44" s="3">
        <v>7.0000000000000007E-2</v>
      </c>
      <c r="E44" s="20">
        <v>0.06</v>
      </c>
      <c r="F44" s="3">
        <v>8.7500000000000008E-2</v>
      </c>
      <c r="G44" s="20">
        <v>0.08</v>
      </c>
    </row>
    <row r="45" spans="1:7">
      <c r="A45" s="2" t="s">
        <v>164</v>
      </c>
      <c r="B45" s="2" t="s">
        <v>165</v>
      </c>
      <c r="C45" s="23" t="s">
        <v>88</v>
      </c>
      <c r="D45" s="3">
        <v>0.67</v>
      </c>
      <c r="E45" s="20">
        <v>0.04</v>
      </c>
      <c r="F45" s="3">
        <v>0.75040000000000007</v>
      </c>
      <c r="G45" s="20">
        <v>0.05</v>
      </c>
    </row>
    <row r="46" spans="1:7">
      <c r="A46" s="2" t="s">
        <v>166</v>
      </c>
      <c r="B46" s="2" t="s">
        <v>167</v>
      </c>
      <c r="C46" s="23" t="s">
        <v>88</v>
      </c>
      <c r="D46" s="3">
        <v>0.81</v>
      </c>
      <c r="E46" s="20">
        <v>0.02</v>
      </c>
      <c r="F46" s="3">
        <v>0.85050000000000014</v>
      </c>
      <c r="G46" s="20">
        <v>2.5000000000000001E-2</v>
      </c>
    </row>
    <row r="47" spans="1:7">
      <c r="A47" s="2" t="s">
        <v>168</v>
      </c>
      <c r="B47" s="2" t="s">
        <v>169</v>
      </c>
      <c r="C47" s="23" t="s">
        <v>88</v>
      </c>
      <c r="D47" s="3">
        <v>0.94</v>
      </c>
      <c r="E47" s="20">
        <v>1.4999999999999999E-2</v>
      </c>
      <c r="F47" s="3">
        <v>0.98</v>
      </c>
      <c r="G47" s="20">
        <v>0.02</v>
      </c>
    </row>
    <row r="48" spans="1:7">
      <c r="A48" s="2" t="s">
        <v>170</v>
      </c>
      <c r="B48" s="2" t="s">
        <v>171</v>
      </c>
      <c r="C48" s="23" t="s">
        <v>95</v>
      </c>
      <c r="D48" s="3">
        <v>2.1250000000000002E-2</v>
      </c>
      <c r="E48" s="20">
        <v>0.03</v>
      </c>
      <c r="F48" s="3">
        <v>2.8687500000000001E-2</v>
      </c>
      <c r="G48" s="20">
        <v>0.04</v>
      </c>
    </row>
    <row r="49" spans="1:7">
      <c r="A49" s="2" t="s">
        <v>172</v>
      </c>
      <c r="B49" s="2" t="s">
        <v>173</v>
      </c>
      <c r="C49" s="23" t="s">
        <v>98</v>
      </c>
      <c r="D49" s="3">
        <v>6.0000000000000001E-3</v>
      </c>
      <c r="E49" s="20">
        <v>0</v>
      </c>
      <c r="F49" s="3">
        <v>4.5000000000000014E-3</v>
      </c>
      <c r="G49" s="20">
        <v>0</v>
      </c>
    </row>
    <row r="50" spans="1:7">
      <c r="A50" s="2" t="s">
        <v>174</v>
      </c>
      <c r="B50" s="2" t="s">
        <v>175</v>
      </c>
      <c r="C50" s="23" t="s">
        <v>101</v>
      </c>
      <c r="D50" s="3">
        <v>118000</v>
      </c>
      <c r="E50" s="20">
        <v>3.5000000000000003E-2</v>
      </c>
      <c r="F50" s="3">
        <v>123900</v>
      </c>
      <c r="G50" s="20">
        <v>3.5000000000000003E-2</v>
      </c>
    </row>
    <row r="51" spans="1:7">
      <c r="A51" s="2" t="s">
        <v>176</v>
      </c>
      <c r="B51" s="2" t="s">
        <v>177</v>
      </c>
      <c r="C51" s="23" t="s">
        <v>85</v>
      </c>
      <c r="D51" s="3">
        <v>3.5000000000000003E-2</v>
      </c>
      <c r="E51" s="20">
        <v>0.06</v>
      </c>
      <c r="F51" s="3">
        <v>4.3749999999999997E-2</v>
      </c>
      <c r="G51" s="20">
        <v>0.08</v>
      </c>
    </row>
    <row r="52" spans="1:7">
      <c r="A52" s="2" t="s">
        <v>178</v>
      </c>
      <c r="B52" s="2" t="s">
        <v>179</v>
      </c>
      <c r="C52" s="23" t="s">
        <v>88</v>
      </c>
      <c r="D52" s="3">
        <v>0.55000000000000004</v>
      </c>
      <c r="E52" s="20">
        <v>0.04</v>
      </c>
      <c r="F52" s="3">
        <v>0.6160000000000001</v>
      </c>
      <c r="G52" s="20">
        <v>0.05</v>
      </c>
    </row>
    <row r="53" spans="1:7">
      <c r="A53" s="2" t="s">
        <v>180</v>
      </c>
      <c r="B53" s="2" t="s">
        <v>181</v>
      </c>
      <c r="C53" s="23" t="s">
        <v>88</v>
      </c>
      <c r="D53" s="3">
        <v>0.81</v>
      </c>
      <c r="E53" s="20">
        <v>0.02</v>
      </c>
      <c r="F53" s="3">
        <v>0.85050000000000014</v>
      </c>
      <c r="G53" s="20">
        <v>2.5000000000000001E-2</v>
      </c>
    </row>
    <row r="54" spans="1:7">
      <c r="A54" s="2" t="s">
        <v>182</v>
      </c>
      <c r="B54" s="2" t="s">
        <v>183</v>
      </c>
      <c r="C54" s="23" t="s">
        <v>88</v>
      </c>
      <c r="D54" s="3">
        <v>0.9</v>
      </c>
      <c r="E54" s="20">
        <v>1.4999999999999999E-2</v>
      </c>
      <c r="F54" s="3">
        <v>0.95400000000000007</v>
      </c>
      <c r="G54" s="20">
        <v>0.02</v>
      </c>
    </row>
    <row r="55" spans="1:7">
      <c r="A55" s="2" t="s">
        <v>184</v>
      </c>
      <c r="B55" s="2" t="s">
        <v>185</v>
      </c>
      <c r="C55" s="23" t="s">
        <v>95</v>
      </c>
      <c r="D55" s="3">
        <v>1.5299999999999999E-2</v>
      </c>
      <c r="E55" s="20">
        <v>0.03</v>
      </c>
      <c r="F55" s="3">
        <v>2.0655E-2</v>
      </c>
      <c r="G55" s="20">
        <v>0.04</v>
      </c>
    </row>
    <row r="56" spans="1:7">
      <c r="A56" s="2" t="s">
        <v>186</v>
      </c>
      <c r="B56" s="2" t="s">
        <v>187</v>
      </c>
      <c r="C56" s="23" t="s">
        <v>98</v>
      </c>
      <c r="D56" s="3">
        <v>6.0000000000000001E-3</v>
      </c>
      <c r="E56" s="20">
        <v>0</v>
      </c>
      <c r="F56" s="3">
        <v>4.5000000000000014E-3</v>
      </c>
      <c r="G56" s="20">
        <v>0</v>
      </c>
    </row>
    <row r="57" spans="1:7">
      <c r="A57" s="2" t="s">
        <v>188</v>
      </c>
      <c r="B57" s="2" t="s">
        <v>189</v>
      </c>
      <c r="C57" s="23" t="s">
        <v>101</v>
      </c>
      <c r="D57" s="3">
        <v>102000</v>
      </c>
      <c r="E57" s="20">
        <v>3.5000000000000003E-2</v>
      </c>
      <c r="F57" s="3">
        <v>107100</v>
      </c>
      <c r="G57" s="20">
        <v>3.5000000000000003E-2</v>
      </c>
    </row>
    <row r="58" spans="1:7">
      <c r="A58" s="2" t="s">
        <v>190</v>
      </c>
      <c r="B58" s="2" t="s">
        <v>191</v>
      </c>
      <c r="C58" s="23" t="s">
        <v>85</v>
      </c>
      <c r="D58" s="3">
        <v>1.7999999999999999E-2</v>
      </c>
      <c r="E58" s="20">
        <v>0.06</v>
      </c>
      <c r="F58" s="3">
        <v>2.2499999999999999E-2</v>
      </c>
      <c r="G58" s="20">
        <v>0.08</v>
      </c>
    </row>
    <row r="59" spans="1:7">
      <c r="A59" s="2" t="s">
        <v>192</v>
      </c>
      <c r="B59" s="2" t="s">
        <v>193</v>
      </c>
      <c r="C59" s="23" t="s">
        <v>88</v>
      </c>
      <c r="D59" s="3">
        <v>0.46</v>
      </c>
      <c r="E59" s="20">
        <v>0.04</v>
      </c>
      <c r="F59" s="3">
        <v>0.5152000000000001</v>
      </c>
      <c r="G59" s="20">
        <v>0.05</v>
      </c>
    </row>
    <row r="60" spans="1:7">
      <c r="A60" s="2" t="s">
        <v>194</v>
      </c>
      <c r="B60" s="2" t="s">
        <v>195</v>
      </c>
      <c r="C60" s="23" t="s">
        <v>88</v>
      </c>
      <c r="D60" s="3">
        <v>0.81</v>
      </c>
      <c r="E60" s="20">
        <v>0.02</v>
      </c>
      <c r="F60" s="3">
        <v>0.85050000000000014</v>
      </c>
      <c r="G60" s="20">
        <v>2.5000000000000001E-2</v>
      </c>
    </row>
    <row r="61" spans="1:7">
      <c r="A61" s="2" t="s">
        <v>196</v>
      </c>
      <c r="B61" s="2" t="s">
        <v>197</v>
      </c>
      <c r="C61" s="23" t="s">
        <v>88</v>
      </c>
      <c r="D61" s="3">
        <v>0.86</v>
      </c>
      <c r="E61" s="20">
        <v>1.4999999999999999E-2</v>
      </c>
      <c r="F61" s="3">
        <v>0.91160000000000008</v>
      </c>
      <c r="G61" s="20">
        <v>0.02</v>
      </c>
    </row>
    <row r="62" spans="1:7">
      <c r="A62" s="2" t="s">
        <v>198</v>
      </c>
      <c r="B62" s="2" t="s">
        <v>199</v>
      </c>
      <c r="C62" s="23" t="s">
        <v>95</v>
      </c>
      <c r="D62" s="3">
        <v>1.1900000000000001E-2</v>
      </c>
      <c r="E62" s="20">
        <v>0.03</v>
      </c>
      <c r="F62" s="3">
        <v>1.6064999999999999E-2</v>
      </c>
      <c r="G62" s="20">
        <v>0.04</v>
      </c>
    </row>
    <row r="63" spans="1:7">
      <c r="A63" s="2" t="s">
        <v>200</v>
      </c>
      <c r="B63" s="2" t="s">
        <v>201</v>
      </c>
      <c r="C63" s="23" t="s">
        <v>98</v>
      </c>
      <c r="D63" s="3">
        <v>6.0000000000000001E-3</v>
      </c>
      <c r="E63" s="20">
        <v>0</v>
      </c>
      <c r="F63" s="3">
        <v>4.5000000000000014E-3</v>
      </c>
      <c r="G63" s="20">
        <v>0</v>
      </c>
    </row>
    <row r="64" spans="1:7">
      <c r="A64" s="2" t="s">
        <v>202</v>
      </c>
      <c r="B64" s="2" t="s">
        <v>203</v>
      </c>
      <c r="C64" s="23" t="s">
        <v>101</v>
      </c>
      <c r="D64" s="3">
        <v>88000</v>
      </c>
      <c r="E64" s="20">
        <v>3.5000000000000003E-2</v>
      </c>
      <c r="F64" s="3">
        <v>92400</v>
      </c>
      <c r="G64" s="20">
        <v>3.5000000000000003E-2</v>
      </c>
    </row>
    <row r="65" spans="1:7">
      <c r="A65" s="2" t="s">
        <v>204</v>
      </c>
      <c r="B65" s="2" t="s">
        <v>205</v>
      </c>
      <c r="C65" s="23" t="s">
        <v>85</v>
      </c>
      <c r="D65" s="3">
        <v>0.01</v>
      </c>
      <c r="E65" s="20">
        <v>0.06</v>
      </c>
      <c r="F65" s="3">
        <v>1.2500000000000001E-2</v>
      </c>
      <c r="G65" s="20">
        <v>0.08</v>
      </c>
    </row>
    <row r="66" spans="1:7">
      <c r="A66" s="2" t="s">
        <v>206</v>
      </c>
      <c r="B66" s="2" t="s">
        <v>207</v>
      </c>
      <c r="C66" s="23" t="s">
        <v>88</v>
      </c>
      <c r="D66" s="3">
        <v>0.38</v>
      </c>
      <c r="E66" s="20">
        <v>0.04</v>
      </c>
      <c r="F66" s="3">
        <v>0.42559999999999998</v>
      </c>
      <c r="G66" s="20">
        <v>0.05</v>
      </c>
    </row>
    <row r="67" spans="1:7">
      <c r="A67" s="2" t="s">
        <v>208</v>
      </c>
      <c r="B67" s="2" t="s">
        <v>209</v>
      </c>
      <c r="C67" s="23" t="s">
        <v>88</v>
      </c>
      <c r="D67" s="3">
        <v>0.81</v>
      </c>
      <c r="E67" s="20">
        <v>0.02</v>
      </c>
      <c r="F67" s="3">
        <v>0.85050000000000014</v>
      </c>
      <c r="G67" s="20">
        <v>2.5000000000000001E-2</v>
      </c>
    </row>
    <row r="68" spans="1:7">
      <c r="A68" s="2" t="s">
        <v>210</v>
      </c>
      <c r="B68" s="2" t="s">
        <v>211</v>
      </c>
      <c r="C68" s="23" t="s">
        <v>88</v>
      </c>
      <c r="D68" s="3">
        <v>0.82</v>
      </c>
      <c r="E68" s="20">
        <v>1.4999999999999999E-2</v>
      </c>
      <c r="F68" s="3">
        <v>0.86919999999999997</v>
      </c>
      <c r="G68" s="20">
        <v>0.02</v>
      </c>
    </row>
    <row r="69" spans="1:7">
      <c r="A69" s="2" t="s">
        <v>212</v>
      </c>
      <c r="B69" s="2" t="s">
        <v>213</v>
      </c>
      <c r="C69" s="23" t="s">
        <v>95</v>
      </c>
      <c r="D69" s="3">
        <v>9.3499999999999989E-3</v>
      </c>
      <c r="E69" s="20">
        <v>0.03</v>
      </c>
      <c r="F69" s="3">
        <v>1.26225E-2</v>
      </c>
      <c r="G69" s="20">
        <v>0.04</v>
      </c>
    </row>
    <row r="70" spans="1:7">
      <c r="A70" s="2" t="s">
        <v>214</v>
      </c>
      <c r="B70" s="2" t="s">
        <v>215</v>
      </c>
      <c r="C70" s="23" t="s">
        <v>98</v>
      </c>
      <c r="D70" s="3">
        <v>6.0000000000000001E-3</v>
      </c>
      <c r="E70" s="20">
        <v>0</v>
      </c>
      <c r="F70" s="3">
        <v>4.5000000000000014E-3</v>
      </c>
      <c r="G70" s="20">
        <v>0</v>
      </c>
    </row>
    <row r="71" spans="1:7">
      <c r="A71" s="2" t="s">
        <v>216</v>
      </c>
      <c r="B71" s="2" t="s">
        <v>217</v>
      </c>
      <c r="C71" s="23" t="s">
        <v>101</v>
      </c>
      <c r="D71" s="3">
        <v>76000</v>
      </c>
      <c r="E71" s="20">
        <v>3.5000000000000003E-2</v>
      </c>
      <c r="F71" s="3">
        <v>79800</v>
      </c>
      <c r="G71" s="20">
        <v>3.5000000000000003E-2</v>
      </c>
    </row>
    <row r="72" spans="1:7">
      <c r="A72" s="1" t="s">
        <v>218</v>
      </c>
      <c r="B72" s="1"/>
      <c r="C72" s="19"/>
      <c r="D72" s="1"/>
      <c r="E72" s="19"/>
      <c r="F72" s="1"/>
      <c r="G72" s="19"/>
    </row>
    <row r="73" spans="1:7">
      <c r="A73" s="2" t="s">
        <v>219</v>
      </c>
      <c r="B73" s="2" t="s">
        <v>220</v>
      </c>
      <c r="C73" s="23" t="s">
        <v>221</v>
      </c>
      <c r="D73" s="3">
        <v>20500</v>
      </c>
      <c r="E73" s="20">
        <v>3.5000000000000003E-2</v>
      </c>
      <c r="F73" s="3">
        <v>19475</v>
      </c>
      <c r="G73" s="20">
        <v>3.5000000000000003E-2</v>
      </c>
    </row>
    <row r="74" spans="1:7">
      <c r="A74" s="2" t="s">
        <v>222</v>
      </c>
      <c r="B74" s="2" t="s">
        <v>223</v>
      </c>
      <c r="C74" s="23" t="s">
        <v>224</v>
      </c>
      <c r="D74" s="3">
        <v>850</v>
      </c>
      <c r="E74" s="20">
        <v>0.04</v>
      </c>
      <c r="F74" s="3">
        <v>824.5</v>
      </c>
      <c r="G74" s="20">
        <v>0.04</v>
      </c>
    </row>
    <row r="75" spans="1:7">
      <c r="A75" s="2" t="s">
        <v>225</v>
      </c>
      <c r="B75" s="2" t="s">
        <v>226</v>
      </c>
      <c r="C75" s="23" t="s">
        <v>227</v>
      </c>
      <c r="D75" s="3">
        <v>950</v>
      </c>
      <c r="E75" s="20">
        <v>0.04</v>
      </c>
      <c r="F75" s="3">
        <v>921.5</v>
      </c>
      <c r="G75" s="20">
        <v>0.04</v>
      </c>
    </row>
    <row r="76" spans="1:7">
      <c r="A76" s="2" t="s">
        <v>228</v>
      </c>
      <c r="B76" s="2" t="s">
        <v>229</v>
      </c>
      <c r="C76" s="23" t="s">
        <v>101</v>
      </c>
      <c r="D76" s="3">
        <v>2500</v>
      </c>
      <c r="E76" s="20">
        <v>0.04</v>
      </c>
      <c r="F76" s="3">
        <v>2400</v>
      </c>
      <c r="G76" s="20">
        <v>0.04</v>
      </c>
    </row>
    <row r="77" spans="1:7">
      <c r="A77" s="2" t="s">
        <v>230</v>
      </c>
      <c r="B77" s="2" t="s">
        <v>231</v>
      </c>
      <c r="C77" s="23" t="s">
        <v>101</v>
      </c>
      <c r="D77" s="3">
        <v>3400</v>
      </c>
      <c r="E77" s="20">
        <v>0.04</v>
      </c>
      <c r="F77" s="3">
        <v>3264</v>
      </c>
      <c r="G77" s="20">
        <v>0.04</v>
      </c>
    </row>
    <row r="78" spans="1:7">
      <c r="A78" s="2" t="s">
        <v>232</v>
      </c>
      <c r="B78" s="2" t="s">
        <v>233</v>
      </c>
      <c r="C78" s="23" t="s">
        <v>101</v>
      </c>
      <c r="D78" s="3">
        <v>4200</v>
      </c>
      <c r="E78" s="20">
        <v>0.04</v>
      </c>
      <c r="F78" s="3">
        <v>4032</v>
      </c>
      <c r="G78" s="20">
        <v>0.04</v>
      </c>
    </row>
    <row r="79" spans="1:7">
      <c r="A79" s="2" t="s">
        <v>234</v>
      </c>
      <c r="B79" s="2" t="s">
        <v>235</v>
      </c>
      <c r="C79" s="23" t="s">
        <v>101</v>
      </c>
      <c r="D79" s="3">
        <v>5600</v>
      </c>
      <c r="E79" s="20">
        <v>0.04</v>
      </c>
      <c r="F79" s="3">
        <v>5376</v>
      </c>
      <c r="G79" s="20">
        <v>0.04</v>
      </c>
    </row>
    <row r="80" spans="1:7">
      <c r="A80" s="2" t="s">
        <v>236</v>
      </c>
      <c r="B80" s="2" t="s">
        <v>237</v>
      </c>
      <c r="C80" s="23" t="s">
        <v>101</v>
      </c>
      <c r="D80" s="3">
        <v>3200</v>
      </c>
      <c r="E80" s="20">
        <v>0.04</v>
      </c>
      <c r="F80" s="3">
        <v>3072</v>
      </c>
      <c r="G80" s="20">
        <v>0.04</v>
      </c>
    </row>
    <row r="81" spans="1:7">
      <c r="A81" s="2" t="s">
        <v>238</v>
      </c>
      <c r="B81" s="2" t="s">
        <v>239</v>
      </c>
      <c r="C81" s="23" t="s">
        <v>101</v>
      </c>
      <c r="D81" s="3">
        <v>4300</v>
      </c>
      <c r="E81" s="20">
        <v>0.04</v>
      </c>
      <c r="F81" s="3">
        <v>4128</v>
      </c>
      <c r="G81" s="20">
        <v>0.04</v>
      </c>
    </row>
    <row r="82" spans="1:7">
      <c r="A82" s="2" t="s">
        <v>240</v>
      </c>
      <c r="B82" s="2" t="s">
        <v>241</v>
      </c>
      <c r="C82" s="23" t="s">
        <v>101</v>
      </c>
      <c r="D82" s="3">
        <v>5100</v>
      </c>
      <c r="E82" s="20">
        <v>0.04</v>
      </c>
      <c r="F82" s="3">
        <v>4896</v>
      </c>
      <c r="G82" s="20">
        <v>0.04</v>
      </c>
    </row>
    <row r="83" spans="1:7">
      <c r="A83" s="2" t="s">
        <v>242</v>
      </c>
      <c r="B83" s="2" t="s">
        <v>243</v>
      </c>
      <c r="C83" s="23" t="s">
        <v>101</v>
      </c>
      <c r="D83" s="3">
        <v>6600</v>
      </c>
      <c r="E83" s="20">
        <v>0.04</v>
      </c>
      <c r="F83" s="3">
        <v>6336</v>
      </c>
      <c r="G83" s="20">
        <v>0.04</v>
      </c>
    </row>
    <row r="84" spans="1:7">
      <c r="A84" s="2" t="s">
        <v>244</v>
      </c>
      <c r="B84" s="2" t="s">
        <v>245</v>
      </c>
      <c r="C84" s="23" t="s">
        <v>88</v>
      </c>
      <c r="D84" s="3">
        <v>3.5000000000000003E-2</v>
      </c>
      <c r="E84" s="20">
        <v>0</v>
      </c>
      <c r="F84" s="3">
        <v>3.1500000000000007E-2</v>
      </c>
      <c r="G84" s="20">
        <v>0</v>
      </c>
    </row>
    <row r="85" spans="1:7">
      <c r="A85" s="2" t="s">
        <v>246</v>
      </c>
      <c r="B85" s="2" t="s">
        <v>247</v>
      </c>
      <c r="C85" s="23" t="s">
        <v>88</v>
      </c>
      <c r="D85" s="3">
        <v>4.4999999999999998E-2</v>
      </c>
      <c r="E85" s="20">
        <v>0</v>
      </c>
      <c r="F85" s="3">
        <v>4.0500000000000001E-2</v>
      </c>
      <c r="G85" s="20">
        <v>0</v>
      </c>
    </row>
    <row r="86" spans="1:7">
      <c r="A86" s="2" t="s">
        <v>248</v>
      </c>
      <c r="B86" s="2" t="s">
        <v>249</v>
      </c>
      <c r="C86" s="23" t="s">
        <v>88</v>
      </c>
      <c r="D86" s="3">
        <v>5.5E-2</v>
      </c>
      <c r="E86" s="20">
        <v>0</v>
      </c>
      <c r="F86" s="3">
        <v>4.9500000000000002E-2</v>
      </c>
      <c r="G86" s="20">
        <v>0</v>
      </c>
    </row>
    <row r="87" spans="1:7">
      <c r="A87" s="2" t="s">
        <v>250</v>
      </c>
      <c r="B87" s="2" t="s">
        <v>251</v>
      </c>
      <c r="C87" s="23" t="s">
        <v>88</v>
      </c>
      <c r="D87" s="3">
        <v>7.0000000000000007E-2</v>
      </c>
      <c r="E87" s="20">
        <v>0</v>
      </c>
      <c r="F87" s="3">
        <v>6.3000000000000014E-2</v>
      </c>
      <c r="G87" s="20">
        <v>0</v>
      </c>
    </row>
    <row r="88" spans="1:7">
      <c r="A88" s="2" t="s">
        <v>252</v>
      </c>
      <c r="B88" s="2" t="s">
        <v>253</v>
      </c>
      <c r="C88" s="23" t="s">
        <v>88</v>
      </c>
      <c r="D88" s="3">
        <v>0.03</v>
      </c>
      <c r="E88" s="20">
        <v>0</v>
      </c>
      <c r="F88" s="3">
        <v>2.7E-2</v>
      </c>
      <c r="G88" s="20">
        <v>0</v>
      </c>
    </row>
    <row r="89" spans="1:7">
      <c r="A89" s="2" t="s">
        <v>254</v>
      </c>
      <c r="B89" s="2" t="s">
        <v>255</v>
      </c>
      <c r="C89" s="23" t="s">
        <v>88</v>
      </c>
      <c r="D89" s="3">
        <v>0.04</v>
      </c>
      <c r="E89" s="20">
        <v>0</v>
      </c>
      <c r="F89" s="3">
        <v>3.5999999999999997E-2</v>
      </c>
      <c r="G89" s="20">
        <v>0</v>
      </c>
    </row>
    <row r="90" spans="1:7">
      <c r="A90" s="2" t="s">
        <v>256</v>
      </c>
      <c r="B90" s="2" t="s">
        <v>257</v>
      </c>
      <c r="C90" s="23" t="s">
        <v>88</v>
      </c>
      <c r="D90" s="3">
        <v>0.05</v>
      </c>
      <c r="E90" s="20">
        <v>0</v>
      </c>
      <c r="F90" s="3">
        <v>4.5000000000000012E-2</v>
      </c>
      <c r="G90" s="20">
        <v>0</v>
      </c>
    </row>
    <row r="91" spans="1:7">
      <c r="A91" s="2" t="s">
        <v>258</v>
      </c>
      <c r="B91" s="2" t="s">
        <v>259</v>
      </c>
      <c r="C91" s="23" t="s">
        <v>88</v>
      </c>
      <c r="D91" s="3">
        <v>6.5000000000000002E-2</v>
      </c>
      <c r="E91" s="20">
        <v>0</v>
      </c>
      <c r="F91" s="3">
        <v>5.8500000000000003E-2</v>
      </c>
      <c r="G91" s="20">
        <v>0</v>
      </c>
    </row>
    <row r="92" spans="1:7">
      <c r="A92" s="2" t="s">
        <v>260</v>
      </c>
      <c r="B92" s="2" t="s">
        <v>261</v>
      </c>
      <c r="C92" s="23" t="s">
        <v>101</v>
      </c>
      <c r="D92" s="3">
        <v>4500</v>
      </c>
      <c r="E92" s="20">
        <v>0.03</v>
      </c>
      <c r="F92" s="3">
        <v>4275</v>
      </c>
      <c r="G92" s="20">
        <v>0.03</v>
      </c>
    </row>
    <row r="93" spans="1:7">
      <c r="A93" s="2" t="s">
        <v>262</v>
      </c>
      <c r="B93" s="2" t="s">
        <v>263</v>
      </c>
      <c r="C93" s="23" t="s">
        <v>101</v>
      </c>
      <c r="D93" s="3">
        <v>3500</v>
      </c>
      <c r="E93" s="20">
        <v>0.03</v>
      </c>
      <c r="F93" s="3">
        <v>3325</v>
      </c>
      <c r="G93" s="20">
        <v>0.03</v>
      </c>
    </row>
    <row r="94" spans="1:7">
      <c r="A94" s="2" t="s">
        <v>264</v>
      </c>
      <c r="B94" s="2" t="s">
        <v>265</v>
      </c>
      <c r="C94" s="23" t="s">
        <v>101</v>
      </c>
      <c r="D94" s="3">
        <v>2500</v>
      </c>
      <c r="E94" s="20">
        <v>0.03</v>
      </c>
      <c r="F94" s="3">
        <v>2375</v>
      </c>
      <c r="G94" s="20">
        <v>0.03</v>
      </c>
    </row>
    <row r="95" spans="1:7">
      <c r="A95" s="2" t="s">
        <v>266</v>
      </c>
      <c r="B95" s="2" t="s">
        <v>267</v>
      </c>
      <c r="C95" s="23" t="s">
        <v>101</v>
      </c>
      <c r="D95" s="3">
        <v>1200</v>
      </c>
      <c r="E95" s="20">
        <v>0.03</v>
      </c>
      <c r="F95" s="3">
        <v>1140</v>
      </c>
      <c r="G95" s="20">
        <v>0.03</v>
      </c>
    </row>
    <row r="96" spans="1:7">
      <c r="A96" s="1" t="s">
        <v>268</v>
      </c>
      <c r="B96" s="1"/>
      <c r="C96" s="19"/>
      <c r="D96" s="1"/>
      <c r="E96" s="19"/>
      <c r="F96" s="1"/>
      <c r="G96" s="19"/>
    </row>
    <row r="97" spans="1:7">
      <c r="A97" s="2" t="s">
        <v>269</v>
      </c>
      <c r="B97" s="2" t="s">
        <v>270</v>
      </c>
      <c r="C97" s="23" t="s">
        <v>271</v>
      </c>
      <c r="D97" s="3">
        <v>1</v>
      </c>
      <c r="E97" s="20">
        <v>0</v>
      </c>
      <c r="F97" s="3">
        <v>1</v>
      </c>
      <c r="G97" s="20">
        <v>0</v>
      </c>
    </row>
    <row r="98" spans="1:7">
      <c r="A98" s="2" t="s">
        <v>272</v>
      </c>
      <c r="B98" s="2" t="s">
        <v>273</v>
      </c>
      <c r="C98" s="23" t="s">
        <v>274</v>
      </c>
      <c r="D98" s="3">
        <v>8500000</v>
      </c>
      <c r="E98" s="20">
        <v>0.05</v>
      </c>
      <c r="F98" s="3">
        <v>7480000</v>
      </c>
      <c r="G98" s="20">
        <v>0.05</v>
      </c>
    </row>
    <row r="99" spans="1:7">
      <c r="A99" s="2" t="s">
        <v>275</v>
      </c>
      <c r="B99" s="2" t="s">
        <v>276</v>
      </c>
      <c r="C99" s="23" t="s">
        <v>277</v>
      </c>
      <c r="D99" s="3">
        <v>4500000</v>
      </c>
      <c r="E99" s="20">
        <v>0.04</v>
      </c>
      <c r="F99" s="3">
        <v>3960000</v>
      </c>
      <c r="G99" s="20">
        <v>0.04</v>
      </c>
    </row>
    <row r="100" spans="1:7">
      <c r="A100" s="2" t="s">
        <v>278</v>
      </c>
      <c r="B100" s="2" t="s">
        <v>279</v>
      </c>
      <c r="C100" s="23" t="s">
        <v>271</v>
      </c>
      <c r="D100" s="3">
        <v>2</v>
      </c>
      <c r="E100" s="20">
        <v>0</v>
      </c>
      <c r="F100" s="3">
        <v>2</v>
      </c>
      <c r="G100" s="20">
        <v>0</v>
      </c>
    </row>
    <row r="101" spans="1:7">
      <c r="A101" s="2" t="s">
        <v>280</v>
      </c>
      <c r="B101" s="2" t="s">
        <v>281</v>
      </c>
      <c r="C101" s="23" t="s">
        <v>274</v>
      </c>
      <c r="D101" s="3">
        <v>8000000</v>
      </c>
      <c r="E101" s="20">
        <v>0.05</v>
      </c>
      <c r="F101" s="3">
        <v>7040000</v>
      </c>
      <c r="G101" s="20">
        <v>0.05</v>
      </c>
    </row>
    <row r="102" spans="1:7">
      <c r="A102" s="2" t="s">
        <v>282</v>
      </c>
      <c r="B102" s="2" t="s">
        <v>283</v>
      </c>
      <c r="C102" s="23" t="s">
        <v>277</v>
      </c>
      <c r="D102" s="3">
        <v>5000000</v>
      </c>
      <c r="E102" s="20">
        <v>0.04</v>
      </c>
      <c r="F102" s="3">
        <v>4400000</v>
      </c>
      <c r="G102" s="20">
        <v>0.04</v>
      </c>
    </row>
    <row r="103" spans="1:7">
      <c r="A103" s="2" t="s">
        <v>284</v>
      </c>
      <c r="B103" s="2" t="s">
        <v>285</v>
      </c>
      <c r="C103" s="23" t="s">
        <v>271</v>
      </c>
      <c r="D103" s="3">
        <v>1</v>
      </c>
      <c r="E103" s="20">
        <v>0</v>
      </c>
      <c r="F103" s="3">
        <v>1</v>
      </c>
      <c r="G103" s="20">
        <v>0</v>
      </c>
    </row>
    <row r="104" spans="1:7">
      <c r="A104" s="2" t="s">
        <v>286</v>
      </c>
      <c r="B104" s="2" t="s">
        <v>287</v>
      </c>
      <c r="C104" s="23" t="s">
        <v>274</v>
      </c>
      <c r="D104" s="3">
        <v>9500000</v>
      </c>
      <c r="E104" s="20">
        <v>0.05</v>
      </c>
      <c r="F104" s="3">
        <v>8360000</v>
      </c>
      <c r="G104" s="20">
        <v>0.05</v>
      </c>
    </row>
    <row r="105" spans="1:7">
      <c r="A105" s="2" t="s">
        <v>288</v>
      </c>
      <c r="B105" s="2" t="s">
        <v>289</v>
      </c>
      <c r="C105" s="23" t="s">
        <v>277</v>
      </c>
      <c r="D105" s="3">
        <v>6000000</v>
      </c>
      <c r="E105" s="20">
        <v>0.04</v>
      </c>
      <c r="F105" s="3">
        <v>5280000</v>
      </c>
      <c r="G105" s="20">
        <v>0.04</v>
      </c>
    </row>
    <row r="106" spans="1:7">
      <c r="A106" s="2" t="s">
        <v>290</v>
      </c>
      <c r="B106" s="2" t="s">
        <v>291</v>
      </c>
      <c r="C106" s="23" t="s">
        <v>277</v>
      </c>
      <c r="D106" s="3">
        <v>8000000</v>
      </c>
      <c r="E106" s="20">
        <v>0.03</v>
      </c>
      <c r="F106" s="3">
        <v>6000000</v>
      </c>
      <c r="G106" s="20">
        <v>0.03</v>
      </c>
    </row>
    <row r="107" spans="1:7">
      <c r="A107" s="2" t="s">
        <v>292</v>
      </c>
      <c r="B107" s="2" t="s">
        <v>293</v>
      </c>
      <c r="C107" s="23" t="s">
        <v>277</v>
      </c>
      <c r="D107" s="3">
        <v>5000000</v>
      </c>
      <c r="E107" s="20">
        <v>0.03</v>
      </c>
      <c r="F107" s="3">
        <v>3750000</v>
      </c>
      <c r="G107" s="20">
        <v>0.03</v>
      </c>
    </row>
    <row r="108" spans="1:7">
      <c r="A108" s="2" t="s">
        <v>294</v>
      </c>
      <c r="B108" s="2" t="s">
        <v>295</v>
      </c>
      <c r="C108" s="23" t="s">
        <v>277</v>
      </c>
      <c r="D108" s="3">
        <v>3500000</v>
      </c>
      <c r="E108" s="20">
        <v>0.03</v>
      </c>
      <c r="F108" s="3">
        <v>2625000</v>
      </c>
      <c r="G108" s="20">
        <v>0.03</v>
      </c>
    </row>
    <row r="109" spans="1:7">
      <c r="A109" s="2" t="s">
        <v>296</v>
      </c>
      <c r="B109" s="2" t="s">
        <v>297</v>
      </c>
      <c r="C109" s="23" t="s">
        <v>277</v>
      </c>
      <c r="D109" s="3">
        <v>3000000</v>
      </c>
      <c r="E109" s="20">
        <v>0.03</v>
      </c>
      <c r="F109" s="3">
        <v>2250000</v>
      </c>
      <c r="G109" s="20">
        <v>0.03</v>
      </c>
    </row>
    <row r="110" spans="1:7">
      <c r="A110" s="2" t="s">
        <v>298</v>
      </c>
      <c r="B110" s="2" t="s">
        <v>299</v>
      </c>
      <c r="C110" s="23" t="s">
        <v>271</v>
      </c>
      <c r="D110" s="3">
        <v>3</v>
      </c>
      <c r="E110" s="20">
        <v>0</v>
      </c>
      <c r="F110" s="3">
        <v>3</v>
      </c>
      <c r="G110" s="20">
        <v>0</v>
      </c>
    </row>
    <row r="111" spans="1:7">
      <c r="A111" s="2" t="s">
        <v>300</v>
      </c>
      <c r="B111" s="2" t="s">
        <v>301</v>
      </c>
      <c r="C111" s="23" t="s">
        <v>274</v>
      </c>
      <c r="D111" s="3">
        <v>3600000</v>
      </c>
      <c r="E111" s="20">
        <v>0.05</v>
      </c>
      <c r="F111" s="3">
        <v>3168000</v>
      </c>
      <c r="G111" s="20">
        <v>0.05</v>
      </c>
    </row>
    <row r="112" spans="1:7">
      <c r="A112" s="2" t="s">
        <v>302</v>
      </c>
      <c r="B112" s="2" t="s">
        <v>303</v>
      </c>
      <c r="C112" s="23" t="s">
        <v>277</v>
      </c>
      <c r="D112" s="3">
        <v>5000000</v>
      </c>
      <c r="E112" s="20">
        <v>0.05</v>
      </c>
      <c r="F112" s="3">
        <v>4400000</v>
      </c>
      <c r="G112" s="20">
        <v>0.05</v>
      </c>
    </row>
    <row r="113" spans="1:7">
      <c r="A113" s="2" t="s">
        <v>304</v>
      </c>
      <c r="B113" s="2" t="s">
        <v>305</v>
      </c>
      <c r="C113" s="23" t="s">
        <v>277</v>
      </c>
      <c r="D113" s="3">
        <v>4500000</v>
      </c>
      <c r="E113" s="20">
        <v>0.04</v>
      </c>
      <c r="F113" s="3">
        <v>3960000</v>
      </c>
      <c r="G113" s="20">
        <v>0.04</v>
      </c>
    </row>
    <row r="114" spans="1:7">
      <c r="A114" s="2" t="s">
        <v>306</v>
      </c>
      <c r="B114" s="2" t="s">
        <v>307</v>
      </c>
      <c r="C114" s="23" t="s">
        <v>277</v>
      </c>
      <c r="D114" s="3">
        <v>9000000</v>
      </c>
      <c r="E114" s="20">
        <v>0.04</v>
      </c>
      <c r="F114" s="3">
        <v>7920000</v>
      </c>
      <c r="G114" s="20">
        <v>0.04</v>
      </c>
    </row>
    <row r="115" spans="1:7">
      <c r="A115" s="2" t="s">
        <v>308</v>
      </c>
      <c r="B115" s="2" t="s">
        <v>309</v>
      </c>
      <c r="C115" s="23" t="s">
        <v>277</v>
      </c>
      <c r="D115" s="3">
        <v>4000000</v>
      </c>
      <c r="E115" s="20">
        <v>0.04</v>
      </c>
      <c r="F115" s="3">
        <v>3520000</v>
      </c>
      <c r="G115" s="20">
        <v>0.04</v>
      </c>
    </row>
    <row r="116" spans="1:7">
      <c r="A116" s="2" t="s">
        <v>310</v>
      </c>
      <c r="B116" s="2" t="s">
        <v>311</v>
      </c>
      <c r="C116" s="23" t="s">
        <v>277</v>
      </c>
      <c r="D116" s="3">
        <v>3000000</v>
      </c>
      <c r="E116" s="20">
        <v>0.04</v>
      </c>
      <c r="F116" s="3">
        <v>2640000</v>
      </c>
      <c r="G116" s="20">
        <v>0.04</v>
      </c>
    </row>
    <row r="117" spans="1:7">
      <c r="A117" s="2" t="s">
        <v>312</v>
      </c>
      <c r="B117" s="2" t="s">
        <v>313</v>
      </c>
      <c r="C117" s="23" t="s">
        <v>277</v>
      </c>
      <c r="D117" s="3">
        <v>9000000</v>
      </c>
      <c r="E117" s="20">
        <v>0.03</v>
      </c>
      <c r="F117" s="3">
        <v>6750000</v>
      </c>
      <c r="G117" s="20">
        <v>0.03</v>
      </c>
    </row>
    <row r="118" spans="1:7">
      <c r="A118" s="2" t="s">
        <v>314</v>
      </c>
      <c r="B118" s="2" t="s">
        <v>315</v>
      </c>
      <c r="C118" s="23" t="s">
        <v>277</v>
      </c>
      <c r="D118" s="3">
        <v>5000000</v>
      </c>
      <c r="E118" s="20">
        <v>0.03</v>
      </c>
      <c r="F118" s="3">
        <v>3750000</v>
      </c>
      <c r="G118" s="20">
        <v>0.03</v>
      </c>
    </row>
    <row r="119" spans="1:7">
      <c r="A119" s="2" t="s">
        <v>316</v>
      </c>
      <c r="B119" s="2" t="s">
        <v>317</v>
      </c>
      <c r="C119" s="23" t="s">
        <v>277</v>
      </c>
      <c r="D119" s="3">
        <v>3500000</v>
      </c>
      <c r="E119" s="20">
        <v>0.03</v>
      </c>
      <c r="F119" s="3">
        <v>2625000</v>
      </c>
      <c r="G119" s="20">
        <v>0.03</v>
      </c>
    </row>
    <row r="120" spans="1:7">
      <c r="A120" s="2" t="s">
        <v>318</v>
      </c>
      <c r="B120" s="2" t="s">
        <v>319</v>
      </c>
      <c r="C120" s="23" t="s">
        <v>277</v>
      </c>
      <c r="D120" s="3">
        <v>2500000</v>
      </c>
      <c r="E120" s="20">
        <v>0.03</v>
      </c>
      <c r="F120" s="3">
        <v>1875000</v>
      </c>
      <c r="G120" s="20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Q292"/>
  <sheetViews>
    <sheetView zoomScale="168" workbookViewId="0">
      <pane xSplit="7" ySplit="1" topLeftCell="H2" activePane="bottomRight" state="frozen"/>
      <selection pane="topRight"/>
      <selection pane="bottomLeft"/>
      <selection pane="bottomRight" activeCell="I4" sqref="I4"/>
    </sheetView>
  </sheetViews>
  <sheetFormatPr baseColWidth="10" defaultColWidth="8.83203125" defaultRowHeight="15" outlineLevelRow="6" outlineLevelCol="1"/>
  <cols>
    <col min="1" max="6" width="2" customWidth="1"/>
    <col min="7" max="7" width="60.1640625" customWidth="1"/>
    <col min="8" max="10" width="12" customWidth="1"/>
    <col min="11" max="40" width="12" hidden="1" customWidth="1" outlineLevel="1"/>
    <col min="41" max="41" width="12" customWidth="1" collapsed="1"/>
    <col min="42" max="43" width="12" customWidth="1"/>
  </cols>
  <sheetData>
    <row r="1" spans="1:43" s="16" customFormat="1">
      <c r="A1" s="15"/>
      <c r="B1" s="15"/>
      <c r="C1" s="15"/>
      <c r="D1" s="15"/>
      <c r="E1" s="15"/>
      <c r="F1" s="15"/>
      <c r="G1" s="15"/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35</v>
      </c>
      <c r="U1" s="15" t="s">
        <v>36</v>
      </c>
      <c r="V1" s="15" t="s">
        <v>37</v>
      </c>
      <c r="W1" s="15" t="s">
        <v>38</v>
      </c>
      <c r="X1" s="15" t="s">
        <v>39</v>
      </c>
      <c r="Y1" s="15" t="s">
        <v>40</v>
      </c>
      <c r="Z1" s="15" t="s">
        <v>41</v>
      </c>
      <c r="AA1" s="15" t="s">
        <v>42</v>
      </c>
      <c r="AB1" s="15" t="s">
        <v>43</v>
      </c>
      <c r="AC1" s="15" t="s">
        <v>44</v>
      </c>
      <c r="AD1" s="15" t="s">
        <v>45</v>
      </c>
      <c r="AE1" s="15" t="s">
        <v>46</v>
      </c>
      <c r="AF1" s="15" t="s">
        <v>47</v>
      </c>
      <c r="AG1" s="15" t="s">
        <v>48</v>
      </c>
      <c r="AH1" s="15" t="s">
        <v>49</v>
      </c>
      <c r="AI1" s="15" t="s">
        <v>50</v>
      </c>
      <c r="AJ1" s="15" t="s">
        <v>51</v>
      </c>
      <c r="AK1" s="15" t="s">
        <v>52</v>
      </c>
      <c r="AL1" s="15" t="s">
        <v>53</v>
      </c>
      <c r="AM1" s="15" t="s">
        <v>54</v>
      </c>
      <c r="AN1" s="15" t="s">
        <v>55</v>
      </c>
      <c r="AO1" s="15" t="s">
        <v>56</v>
      </c>
      <c r="AP1" s="15" t="s">
        <v>57</v>
      </c>
      <c r="AQ1" s="15" t="s">
        <v>58</v>
      </c>
    </row>
    <row r="2" spans="1:43" s="16" customFormat="1">
      <c r="A2" s="15" t="s">
        <v>320</v>
      </c>
      <c r="B2" s="15"/>
      <c r="C2" s="15"/>
      <c r="D2" s="15"/>
      <c r="E2" s="15"/>
      <c r="F2" s="15"/>
      <c r="G2" s="15"/>
      <c r="H2" s="15">
        <f t="shared" ref="H2:AQ2" si="0">(H3-H110)</f>
        <v>-92794715.37511462</v>
      </c>
      <c r="I2" s="15">
        <f t="shared" si="0"/>
        <v>-88112218.858204395</v>
      </c>
      <c r="J2" s="15">
        <f t="shared" si="0"/>
        <v>-83219907.463280499</v>
      </c>
      <c r="K2" s="15">
        <f t="shared" si="0"/>
        <v>-78111036.803205967</v>
      </c>
      <c r="L2" s="15">
        <f t="shared" si="0"/>
        <v>-72778669.868799627</v>
      </c>
      <c r="M2" s="15">
        <f t="shared" si="0"/>
        <v>-67215671.866657853</v>
      </c>
      <c r="N2" s="15">
        <f t="shared" si="0"/>
        <v>-61414704.924129993</v>
      </c>
      <c r="O2" s="15">
        <f t="shared" si="0"/>
        <v>-55368222.658124417</v>
      </c>
      <c r="P2" s="15">
        <f t="shared" si="0"/>
        <v>-49068464.604340911</v>
      </c>
      <c r="Q2" s="15">
        <f t="shared" si="0"/>
        <v>-42507450.503442183</v>
      </c>
      <c r="R2" s="15">
        <f t="shared" si="0"/>
        <v>-35676974.440590858</v>
      </c>
      <c r="S2" s="15">
        <f t="shared" si="0"/>
        <v>-28568598.834692627</v>
      </c>
      <c r="T2" s="15">
        <f t="shared" si="0"/>
        <v>-21173648.273595005</v>
      </c>
      <c r="U2" s="15">
        <f t="shared" si="0"/>
        <v>-13483203.191400558</v>
      </c>
      <c r="V2" s="15">
        <f t="shared" si="0"/>
        <v>-5488093.3839590847</v>
      </c>
      <c r="W2" s="15">
        <f t="shared" si="0"/>
        <v>2821108.6414916217</v>
      </c>
      <c r="X2" s="15">
        <f t="shared" si="0"/>
        <v>11454094.486667156</v>
      </c>
      <c r="Y2" s="15">
        <f t="shared" si="0"/>
        <v>20420826.85679096</v>
      </c>
      <c r="Z2" s="15">
        <f t="shared" si="0"/>
        <v>29731546.733693659</v>
      </c>
      <c r="AA2" s="15">
        <f t="shared" si="0"/>
        <v>39396780.731898367</v>
      </c>
      <c r="AB2" s="15">
        <f t="shared" si="0"/>
        <v>49427348.642238677</v>
      </c>
      <c r="AC2" s="15">
        <f t="shared" si="0"/>
        <v>59834371.167668343</v>
      </c>
      <c r="AD2" s="15">
        <f t="shared" si="0"/>
        <v>70629277.856033385</v>
      </c>
      <c r="AE2" s="15">
        <f t="shared" si="0"/>
        <v>81823815.234694481</v>
      </c>
      <c r="AF2" s="15">
        <f t="shared" si="0"/>
        <v>93430055.152009547</v>
      </c>
      <c r="AG2" s="15">
        <f t="shared" si="0"/>
        <v>105460403.33079952</v>
      </c>
      <c r="AH2" s="15">
        <f t="shared" si="0"/>
        <v>117927608.13905597</v>
      </c>
      <c r="AI2" s="15">
        <f t="shared" si="0"/>
        <v>130844769.58326983</v>
      </c>
      <c r="AJ2" s="15">
        <f t="shared" si="0"/>
        <v>144225348.52989125</v>
      </c>
      <c r="AK2" s="15">
        <f t="shared" si="0"/>
        <v>158083176.16056955</v>
      </c>
      <c r="AL2" s="15">
        <f t="shared" si="0"/>
        <v>172432463.66695315</v>
      </c>
      <c r="AM2" s="15">
        <f t="shared" si="0"/>
        <v>187287812.19097543</v>
      </c>
      <c r="AN2" s="15">
        <f t="shared" si="0"/>
        <v>202664223.01668954</v>
      </c>
      <c r="AO2" s="15">
        <f t="shared" si="0"/>
        <v>218577108.01987135</v>
      </c>
      <c r="AP2" s="15">
        <f t="shared" si="0"/>
        <v>235042300.38175076</v>
      </c>
      <c r="AQ2" s="15">
        <f t="shared" si="0"/>
        <v>252076065.57339144</v>
      </c>
    </row>
    <row r="3" spans="1:43" s="16" customFormat="1" outlineLevel="1">
      <c r="A3" s="51"/>
      <c r="B3" s="51" t="s">
        <v>321</v>
      </c>
      <c r="C3" s="51"/>
      <c r="D3" s="51"/>
      <c r="E3" s="51"/>
      <c r="F3" s="51"/>
      <c r="G3" s="51"/>
      <c r="H3" s="51">
        <f t="shared" ref="H3:AQ3" si="1">(H4+H65)</f>
        <v>26728496.556102067</v>
      </c>
      <c r="I3" s="51">
        <f t="shared" si="1"/>
        <v>36784642.878752038</v>
      </c>
      <c r="J3" s="51">
        <f t="shared" si="1"/>
        <v>47272382.551650099</v>
      </c>
      <c r="K3" s="51">
        <f t="shared" si="1"/>
        <v>58205907.136929564</v>
      </c>
      <c r="L3" s="51">
        <f t="shared" si="1"/>
        <v>69599825.782395303</v>
      </c>
      <c r="M3" s="51">
        <f t="shared" si="1"/>
        <v>81469176.784067959</v>
      </c>
      <c r="N3" s="51">
        <f t="shared" si="1"/>
        <v>93829439.456921279</v>
      </c>
      <c r="O3" s="51">
        <f t="shared" si="1"/>
        <v>106696546.32181668</v>
      </c>
      <c r="P3" s="51">
        <f t="shared" si="1"/>
        <v>120086895.61684546</v>
      </c>
      <c r="Q3" s="51">
        <f t="shared" si="1"/>
        <v>134017364.14149575</v>
      </c>
      <c r="R3" s="51">
        <f t="shared" si="1"/>
        <v>148505320.44227821</v>
      </c>
      <c r="S3" s="51">
        <f t="shared" si="1"/>
        <v>163568638.34866226</v>
      </c>
      <c r="T3" s="51">
        <f t="shared" si="1"/>
        <v>179225710.86840156</v>
      </c>
      <c r="U3" s="51">
        <f t="shared" si="1"/>
        <v>195495464.45155823</v>
      </c>
      <c r="V3" s="51">
        <f t="shared" si="1"/>
        <v>212397373.63277164</v>
      </c>
      <c r="W3" s="51">
        <f t="shared" si="1"/>
        <v>229951476.06156021</v>
      </c>
      <c r="X3" s="51">
        <f t="shared" si="1"/>
        <v>248178387.93069515</v>
      </c>
      <c r="Y3" s="51">
        <f t="shared" si="1"/>
        <v>267099319.81293947</v>
      </c>
      <c r="Z3" s="51">
        <f t="shared" si="1"/>
        <v>286736092.91670489</v>
      </c>
      <c r="AA3" s="51">
        <f t="shared" si="1"/>
        <v>307111155.77145243</v>
      </c>
      <c r="AB3" s="51">
        <f t="shared" si="1"/>
        <v>328247601.35393131</v>
      </c>
      <c r="AC3" s="51">
        <f t="shared" si="1"/>
        <v>350169184.66663897</v>
      </c>
      <c r="AD3" s="51">
        <f t="shared" si="1"/>
        <v>372900340.78016722</v>
      </c>
      <c r="AE3" s="51">
        <f t="shared" si="1"/>
        <v>396466203.35140002</v>
      </c>
      <c r="AF3" s="51">
        <f t="shared" si="1"/>
        <v>420892623.62983394</v>
      </c>
      <c r="AG3" s="51">
        <f t="shared" si="1"/>
        <v>446206189.96459365</v>
      </c>
      <c r="AH3" s="51">
        <f t="shared" si="1"/>
        <v>472434247.82504594</v>
      </c>
      <c r="AI3" s="51">
        <f t="shared" si="1"/>
        <v>499604920.34823537</v>
      </c>
      <c r="AJ3" s="51">
        <f t="shared" si="1"/>
        <v>527747129.42669863</v>
      </c>
      <c r="AK3" s="51">
        <f t="shared" si="1"/>
        <v>556890617.35056531</v>
      </c>
      <c r="AL3" s="51">
        <f t="shared" si="1"/>
        <v>587065969.01819599</v>
      </c>
      <c r="AM3" s="51">
        <f t="shared" si="1"/>
        <v>618304634.72997785</v>
      </c>
      <c r="AN3" s="51">
        <f t="shared" si="1"/>
        <v>650638953.58025575</v>
      </c>
      <c r="AO3" s="51">
        <f t="shared" si="1"/>
        <v>684102177.4627775</v>
      </c>
      <c r="AP3" s="51">
        <f t="shared" si="1"/>
        <v>718728495.70538962</v>
      </c>
      <c r="AQ3" s="51">
        <f t="shared" si="1"/>
        <v>754553060.35015023</v>
      </c>
    </row>
    <row r="4" spans="1:43" s="16" customFormat="1" outlineLevel="2">
      <c r="A4" s="52"/>
      <c r="B4" s="52"/>
      <c r="C4" s="52" t="s">
        <v>322</v>
      </c>
      <c r="D4" s="52"/>
      <c r="E4" s="52"/>
      <c r="F4" s="52"/>
      <c r="G4" s="52"/>
      <c r="H4" s="52">
        <f t="shared" ref="H4:AQ4" si="2">(((H5+H20)+H35)+H50)</f>
        <v>18362492.977942601</v>
      </c>
      <c r="I4" s="52">
        <f t="shared" si="2"/>
        <v>24539384.73902037</v>
      </c>
      <c r="J4" s="52">
        <f t="shared" si="2"/>
        <v>30984973.301178288</v>
      </c>
      <c r="K4" s="52">
        <f t="shared" si="2"/>
        <v>37708235.129786201</v>
      </c>
      <c r="L4" s="52">
        <f t="shared" si="2"/>
        <v>44718415.137751624</v>
      </c>
      <c r="M4" s="52">
        <f t="shared" si="2"/>
        <v>52025034.239309587</v>
      </c>
      <c r="N4" s="52">
        <f t="shared" si="2"/>
        <v>59637897.108372971</v>
      </c>
      <c r="O4" s="52">
        <f t="shared" si="2"/>
        <v>67567100.146839321</v>
      </c>
      <c r="P4" s="52">
        <f t="shared" si="2"/>
        <v>75823039.668391109</v>
      </c>
      <c r="Q4" s="52">
        <f t="shared" si="2"/>
        <v>84416420.30346781</v>
      </c>
      <c r="R4" s="52">
        <f t="shared" si="2"/>
        <v>93358263.63123709</v>
      </c>
      <c r="S4" s="52">
        <f t="shared" si="2"/>
        <v>102659917.0445413</v>
      </c>
      <c r="T4" s="52">
        <f t="shared" si="2"/>
        <v>112333062.8539512</v>
      </c>
      <c r="U4" s="52">
        <f t="shared" si="2"/>
        <v>122389727.63721685</v>
      </c>
      <c r="V4" s="52">
        <f t="shared" si="2"/>
        <v>132842291.84056805</v>
      </c>
      <c r="W4" s="52">
        <f t="shared" si="2"/>
        <v>143703499.63848299</v>
      </c>
      <c r="X4" s="52">
        <f t="shared" si="2"/>
        <v>154986469.0587154</v>
      </c>
      <c r="Y4" s="52">
        <f t="shared" si="2"/>
        <v>166704702.37954628</v>
      </c>
      <c r="Z4" s="52">
        <f t="shared" si="2"/>
        <v>178872096.80640239</v>
      </c>
      <c r="AA4" s="52">
        <f t="shared" si="2"/>
        <v>191502955.43517393</v>
      </c>
      <c r="AB4" s="52">
        <f t="shared" si="2"/>
        <v>204611998.5097467</v>
      </c>
      <c r="AC4" s="52">
        <f t="shared" si="2"/>
        <v>218214374.98146272</v>
      </c>
      <c r="AD4" s="52">
        <f t="shared" si="2"/>
        <v>232325674.3784177</v>
      </c>
      <c r="AE4" s="52">
        <f t="shared" si="2"/>
        <v>246961938.99271077</v>
      </c>
      <c r="AF4" s="52">
        <f t="shared" si="2"/>
        <v>262139676.39397115</v>
      </c>
      <c r="AG4" s="52">
        <f t="shared" si="2"/>
        <v>277875872.27769488</v>
      </c>
      <c r="AH4" s="52">
        <f t="shared" si="2"/>
        <v>294188003.65715313</v>
      </c>
      <c r="AI4" s="52">
        <f t="shared" si="2"/>
        <v>311094052.40785211</v>
      </c>
      <c r="AJ4" s="52">
        <f t="shared" si="2"/>
        <v>328612519.17375791</v>
      </c>
      <c r="AK4" s="52">
        <f t="shared" si="2"/>
        <v>346762437.64473677</v>
      </c>
      <c r="AL4" s="52">
        <f t="shared" si="2"/>
        <v>365563389.21490401</v>
      </c>
      <c r="AM4" s="52">
        <f t="shared" si="2"/>
        <v>385035518.03182435</v>
      </c>
      <c r="AN4" s="52">
        <f t="shared" si="2"/>
        <v>405199546.44675583</v>
      </c>
      <c r="AO4" s="52">
        <f t="shared" si="2"/>
        <v>426076790.87640709</v>
      </c>
      <c r="AP4" s="52">
        <f t="shared" si="2"/>
        <v>447689178.08692211</v>
      </c>
      <c r="AQ4" s="52">
        <f t="shared" si="2"/>
        <v>470059261.91110712</v>
      </c>
    </row>
    <row r="5" spans="1:43" s="16" customFormat="1" outlineLevel="3">
      <c r="A5" s="53"/>
      <c r="B5" s="53"/>
      <c r="C5" s="53"/>
      <c r="D5" s="53" t="s">
        <v>323</v>
      </c>
      <c r="E5" s="53"/>
      <c r="F5" s="53"/>
      <c r="G5" s="53"/>
      <c r="H5" s="53">
        <f t="shared" ref="H5:AQ5" si="3">(H6*H19)</f>
        <v>9589290.8935824092</v>
      </c>
      <c r="I5" s="53">
        <f t="shared" si="3"/>
        <v>13562480.389403183</v>
      </c>
      <c r="J5" s="53">
        <f t="shared" si="3"/>
        <v>17709319.06066918</v>
      </c>
      <c r="K5" s="53">
        <f t="shared" si="3"/>
        <v>22035611.320471831</v>
      </c>
      <c r="L5" s="53">
        <f t="shared" si="3"/>
        <v>26547335.090700634</v>
      </c>
      <c r="M5" s="53">
        <f t="shared" si="3"/>
        <v>31250646.680553857</v>
      </c>
      <c r="N5" s="53">
        <f t="shared" si="3"/>
        <v>36151885.79704234</v>
      </c>
      <c r="O5" s="53">
        <f t="shared" si="3"/>
        <v>41257580.690964729</v>
      </c>
      <c r="P5" s="53">
        <f t="shared" si="3"/>
        <v>46574453.441923462</v>
      </c>
      <c r="Q5" s="53">
        <f t="shared" si="3"/>
        <v>52109425.386042088</v>
      </c>
      <c r="R5" s="53">
        <f t="shared" si="3"/>
        <v>57869622.690140009</v>
      </c>
      <c r="S5" s="53">
        <f t="shared" si="3"/>
        <v>63862382.076216713</v>
      </c>
      <c r="T5" s="53">
        <f t="shared" si="3"/>
        <v>70095256.700198442</v>
      </c>
      <c r="U5" s="53">
        <f t="shared" si="3"/>
        <v>76576022.189000905</v>
      </c>
      <c r="V5" s="53">
        <f t="shared" si="3"/>
        <v>83312682.840067372</v>
      </c>
      <c r="W5" s="53">
        <f t="shared" si="3"/>
        <v>90313477.987647817</v>
      </c>
      <c r="X5" s="53">
        <f t="shared" si="3"/>
        <v>97586888.540195599</v>
      </c>
      <c r="Y5" s="53">
        <f t="shared" si="3"/>
        <v>105141643.69337122</v>
      </c>
      <c r="Z5" s="53">
        <f t="shared" si="3"/>
        <v>112986727.82325642</v>
      </c>
      <c r="AA5" s="53">
        <f t="shared" si="3"/>
        <v>121131387.56450374</v>
      </c>
      <c r="AB5" s="53">
        <f t="shared" si="3"/>
        <v>129585139.07826531</v>
      </c>
      <c r="AC5" s="53">
        <f t="shared" si="3"/>
        <v>138357775.5148716</v>
      </c>
      <c r="AD5" s="53">
        <f t="shared" si="3"/>
        <v>147459374.67635658</v>
      </c>
      <c r="AE5" s="53">
        <f t="shared" si="3"/>
        <v>156900306.8840594</v>
      </c>
      <c r="AF5" s="53">
        <f t="shared" si="3"/>
        <v>166691243.05666623</v>
      </c>
      <c r="AG5" s="53">
        <f t="shared" si="3"/>
        <v>176843163.00419155</v>
      </c>
      <c r="AH5" s="53">
        <f t="shared" si="3"/>
        <v>187367363.94354367</v>
      </c>
      <c r="AI5" s="53">
        <f t="shared" si="3"/>
        <v>198275469.24146202</v>
      </c>
      <c r="AJ5" s="53">
        <f t="shared" si="3"/>
        <v>209579437.39076144</v>
      </c>
      <c r="AK5" s="53">
        <f t="shared" si="3"/>
        <v>221291571.22597301</v>
      </c>
      <c r="AL5" s="53">
        <f t="shared" si="3"/>
        <v>233424527.38462782</v>
      </c>
      <c r="AM5" s="53">
        <f t="shared" si="3"/>
        <v>245991326.02058783</v>
      </c>
      <c r="AN5" s="53">
        <f t="shared" si="3"/>
        <v>259005360.77599248</v>
      </c>
      <c r="AO5" s="53">
        <f t="shared" si="3"/>
        <v>272480409.01856458</v>
      </c>
      <c r="AP5" s="53">
        <f t="shared" si="3"/>
        <v>286430642.35117942</v>
      </c>
      <c r="AQ5" s="53">
        <f t="shared" si="3"/>
        <v>300870637.40079218</v>
      </c>
    </row>
    <row r="6" spans="1:43" s="16" customFormat="1" outlineLevel="4">
      <c r="A6" s="53"/>
      <c r="B6" s="53"/>
      <c r="C6" s="53"/>
      <c r="D6" s="53"/>
      <c r="E6" s="53" t="s">
        <v>324</v>
      </c>
      <c r="F6" s="53"/>
      <c r="G6" s="53"/>
      <c r="H6" s="53">
        <f t="shared" ref="H6:AQ6" si="4">(((((H7*H12)*H13)*H14)*H15)*H16)</f>
        <v>250.11191689051665</v>
      </c>
      <c r="I6" s="53">
        <f t="shared" si="4"/>
        <v>352.8720382012383</v>
      </c>
      <c r="J6" s="53">
        <f t="shared" si="4"/>
        <v>459.63195708956715</v>
      </c>
      <c r="K6" s="53">
        <f t="shared" si="4"/>
        <v>570.51056151812998</v>
      </c>
      <c r="L6" s="53">
        <f t="shared" si="4"/>
        <v>685.62989926971431</v>
      </c>
      <c r="M6" s="53">
        <f t="shared" si="4"/>
        <v>805.11525695386615</v>
      </c>
      <c r="N6" s="53">
        <f t="shared" si="4"/>
        <v>929.09524091491096</v>
      </c>
      <c r="O6" s="53">
        <f t="shared" si="4"/>
        <v>1057.7018600859767</v>
      </c>
      <c r="P6" s="53">
        <f t="shared" si="4"/>
        <v>1191.0706108346458</v>
      </c>
      <c r="Q6" s="53">
        <f t="shared" si="4"/>
        <v>1329.3405638468985</v>
      </c>
      <c r="R6" s="53">
        <f t="shared" si="4"/>
        <v>1472.6544530970873</v>
      </c>
      <c r="S6" s="53">
        <f t="shared" si="4"/>
        <v>1621.158766952778</v>
      </c>
      <c r="T6" s="53">
        <f t="shared" si="4"/>
        <v>1775.0038414644248</v>
      </c>
      <c r="U6" s="53">
        <f t="shared" si="4"/>
        <v>1934.3439558909834</v>
      </c>
      <c r="V6" s="53">
        <f t="shared" si="4"/>
        <v>2099.3374305137468</v>
      </c>
      <c r="W6" s="53">
        <f t="shared" si="4"/>
        <v>2270.1467267918879</v>
      </c>
      <c r="X6" s="53">
        <f t="shared" si="4"/>
        <v>2446.9385499144205</v>
      </c>
      <c r="Y6" s="53">
        <f t="shared" si="4"/>
        <v>2629.8839538045586</v>
      </c>
      <c r="Z6" s="53">
        <f t="shared" si="4"/>
        <v>2819.1584486337038</v>
      </c>
      <c r="AA6" s="53">
        <f t="shared" si="4"/>
        <v>3014.9421109036552</v>
      </c>
      <c r="AB6" s="53">
        <f t="shared" si="4"/>
        <v>3217.4196961569273</v>
      </c>
      <c r="AC6" s="53">
        <f t="shared" si="4"/>
        <v>3426.7807543764911</v>
      </c>
      <c r="AD6" s="53">
        <f t="shared" si="4"/>
        <v>3643.2197481375802</v>
      </c>
      <c r="AE6" s="53">
        <f t="shared" si="4"/>
        <v>3866.9361735757352</v>
      </c>
      <c r="AF6" s="53">
        <f t="shared" si="4"/>
        <v>4098.1346842366702</v>
      </c>
      <c r="AG6" s="53">
        <f t="shared" si="4"/>
        <v>4337.0252178750234</v>
      </c>
      <c r="AH6" s="53">
        <f t="shared" si="4"/>
        <v>4583.8231262706695</v>
      </c>
      <c r="AI6" s="53">
        <f t="shared" si="4"/>
        <v>4838.7493081327902</v>
      </c>
      <c r="AJ6" s="53">
        <f t="shared" si="4"/>
        <v>5102.0303451634863</v>
      </c>
      <c r="AK6" s="53">
        <f t="shared" si="4"/>
        <v>5373.8986413544153</v>
      </c>
      <c r="AL6" s="53">
        <f t="shared" si="4"/>
        <v>5654.5925655915862</v>
      </c>
      <c r="AM6" s="53">
        <f t="shared" si="4"/>
        <v>5944.3565976451646</v>
      </c>
      <c r="AN6" s="53">
        <f t="shared" si="4"/>
        <v>6243.4414776228405</v>
      </c>
      <c r="AO6" s="53">
        <f t="shared" si="4"/>
        <v>6552.1043589673127</v>
      </c>
      <c r="AP6" s="53">
        <f t="shared" si="4"/>
        <v>6870.6089650799277</v>
      </c>
      <c r="AQ6" s="53">
        <f t="shared" si="4"/>
        <v>7199.2257496547818</v>
      </c>
    </row>
    <row r="7" spans="1:43" s="16" customFormat="1" outlineLevel="5">
      <c r="A7" s="53"/>
      <c r="B7" s="53"/>
      <c r="C7" s="53"/>
      <c r="D7" s="53"/>
      <c r="E7" s="53"/>
      <c r="F7" s="53" t="s">
        <v>325</v>
      </c>
      <c r="G7" s="53"/>
      <c r="H7" s="53">
        <f t="shared" ref="H7:AQ7" si="5">(((H8*H9)*H10)*H11)</f>
        <v>18227.958336</v>
      </c>
      <c r="I7" s="53">
        <f t="shared" si="5"/>
        <v>18268.739575357173</v>
      </c>
      <c r="J7" s="53">
        <f t="shared" si="5"/>
        <v>18309.612054196732</v>
      </c>
      <c r="K7" s="53">
        <f t="shared" si="5"/>
        <v>18350.575976647902</v>
      </c>
      <c r="L7" s="53">
        <f t="shared" si="5"/>
        <v>18391.631547296634</v>
      </c>
      <c r="M7" s="53">
        <f t="shared" si="5"/>
        <v>18432.778971186552</v>
      </c>
      <c r="N7" s="53">
        <f t="shared" si="5"/>
        <v>18474.018453820059</v>
      </c>
      <c r="O7" s="53">
        <f t="shared" si="5"/>
        <v>18515.350201159312</v>
      </c>
      <c r="P7" s="53">
        <f t="shared" si="5"/>
        <v>18556.774419627276</v>
      </c>
      <c r="Q7" s="53">
        <f t="shared" si="5"/>
        <v>18598.291316108724</v>
      </c>
      <c r="R7" s="53">
        <f t="shared" si="5"/>
        <v>18639.901097951308</v>
      </c>
      <c r="S7" s="53">
        <f t="shared" si="5"/>
        <v>18681.603972966564</v>
      </c>
      <c r="T7" s="53">
        <f t="shared" si="5"/>
        <v>18723.400149430981</v>
      </c>
      <c r="U7" s="53">
        <f t="shared" si="5"/>
        <v>18765.289836086999</v>
      </c>
      <c r="V7" s="53">
        <f t="shared" si="5"/>
        <v>18807.2732421441</v>
      </c>
      <c r="W7" s="53">
        <f t="shared" si="5"/>
        <v>18849.350577279809</v>
      </c>
      <c r="X7" s="53">
        <f t="shared" si="5"/>
        <v>18891.522051640775</v>
      </c>
      <c r="Y7" s="53">
        <f t="shared" si="5"/>
        <v>18933.787875843787</v>
      </c>
      <c r="Z7" s="53">
        <f t="shared" si="5"/>
        <v>18976.148260976868</v>
      </c>
      <c r="AA7" s="53">
        <f t="shared" si="5"/>
        <v>19018.603418600294</v>
      </c>
      <c r="AB7" s="53">
        <f t="shared" si="5"/>
        <v>19061.153560747651</v>
      </c>
      <c r="AC7" s="53">
        <f t="shared" si="5"/>
        <v>19103.798899926944</v>
      </c>
      <c r="AD7" s="53">
        <f t="shared" si="5"/>
        <v>19146.53964912158</v>
      </c>
      <c r="AE7" s="53">
        <f t="shared" si="5"/>
        <v>19189.376021791479</v>
      </c>
      <c r="AF7" s="53">
        <f t="shared" si="5"/>
        <v>19232.308231874158</v>
      </c>
      <c r="AG7" s="53">
        <f t="shared" si="5"/>
        <v>19275.336493785751</v>
      </c>
      <c r="AH7" s="53">
        <f t="shared" si="5"/>
        <v>19318.4610224221</v>
      </c>
      <c r="AI7" s="53">
        <f t="shared" si="5"/>
        <v>19361.682033159857</v>
      </c>
      <c r="AJ7" s="53">
        <f t="shared" si="5"/>
        <v>19404.999741857515</v>
      </c>
      <c r="AK7" s="53">
        <f t="shared" si="5"/>
        <v>19448.414364856493</v>
      </c>
      <c r="AL7" s="53">
        <f t="shared" si="5"/>
        <v>19491.92611898225</v>
      </c>
      <c r="AM7" s="53">
        <f t="shared" si="5"/>
        <v>19535.535221545357</v>
      </c>
      <c r="AN7" s="53">
        <f t="shared" si="5"/>
        <v>19579.241890342528</v>
      </c>
      <c r="AO7" s="53">
        <f t="shared" si="5"/>
        <v>19623.046343657803</v>
      </c>
      <c r="AP7" s="53">
        <f t="shared" si="5"/>
        <v>19666.948800263548</v>
      </c>
      <c r="AQ7" s="53">
        <f t="shared" si="5"/>
        <v>19710.949479421604</v>
      </c>
    </row>
    <row r="8" spans="1:43" s="16" customFormat="1" outlineLevel="6">
      <c r="A8" s="53"/>
      <c r="B8" s="53"/>
      <c r="C8" s="53"/>
      <c r="D8" s="53"/>
      <c r="E8" s="53"/>
      <c r="F8" s="53"/>
      <c r="G8" s="53" t="s">
        <v>71</v>
      </c>
      <c r="H8" s="53">
        <f t="shared" ref="H8:AQ8" si="6">national_live_births_per_month_positive*(1+national_live_births_per_month_positive_growth)^((COLUMN()-8)/12)</f>
        <v>145833</v>
      </c>
      <c r="I8" s="53">
        <f t="shared" si="6"/>
        <v>146049.96530187438</v>
      </c>
      <c r="J8" s="53">
        <f t="shared" si="6"/>
        <v>146267.2533972332</v>
      </c>
      <c r="K8" s="53">
        <f t="shared" si="6"/>
        <v>146484.86476631745</v>
      </c>
      <c r="L8" s="53">
        <f t="shared" si="6"/>
        <v>146702.79989008268</v>
      </c>
      <c r="M8" s="53">
        <f t="shared" si="6"/>
        <v>146921.05925019985</v>
      </c>
      <c r="N8" s="53">
        <f t="shared" si="6"/>
        <v>147139.64332905665</v>
      </c>
      <c r="O8" s="53">
        <f t="shared" si="6"/>
        <v>147358.55260975836</v>
      </c>
      <c r="P8" s="53">
        <f t="shared" si="6"/>
        <v>147577.78757612914</v>
      </c>
      <c r="Q8" s="53">
        <f t="shared" si="6"/>
        <v>147797.34871271279</v>
      </c>
      <c r="R8" s="53">
        <f t="shared" si="6"/>
        <v>148017.23650477419</v>
      </c>
      <c r="S8" s="53">
        <f t="shared" si="6"/>
        <v>148237.45143829999</v>
      </c>
      <c r="T8" s="53">
        <f t="shared" si="6"/>
        <v>148457.99400000001</v>
      </c>
      <c r="U8" s="53">
        <f t="shared" si="6"/>
        <v>148678.8646773081</v>
      </c>
      <c r="V8" s="53">
        <f t="shared" si="6"/>
        <v>148900.0639583834</v>
      </c>
      <c r="W8" s="53">
        <f t="shared" si="6"/>
        <v>149121.59233211118</v>
      </c>
      <c r="X8" s="53">
        <f t="shared" si="6"/>
        <v>149343.45028810418</v>
      </c>
      <c r="Y8" s="53">
        <f t="shared" si="6"/>
        <v>149565.63831670344</v>
      </c>
      <c r="Z8" s="53">
        <f t="shared" si="6"/>
        <v>149788.15690897967</v>
      </c>
      <c r="AA8" s="53">
        <f t="shared" si="6"/>
        <v>150011.00655673404</v>
      </c>
      <c r="AB8" s="53">
        <f t="shared" si="6"/>
        <v>150234.18775249945</v>
      </c>
      <c r="AC8" s="53">
        <f t="shared" si="6"/>
        <v>150457.70098954163</v>
      </c>
      <c r="AD8" s="53">
        <f t="shared" si="6"/>
        <v>150681.54676186011</v>
      </c>
      <c r="AE8" s="53">
        <f t="shared" si="6"/>
        <v>150905.72556418937</v>
      </c>
      <c r="AF8" s="53">
        <f t="shared" si="6"/>
        <v>151130.237892</v>
      </c>
      <c r="AG8" s="53">
        <f t="shared" si="6"/>
        <v>151355.08424149966</v>
      </c>
      <c r="AH8" s="53">
        <f t="shared" si="6"/>
        <v>151580.26510963429</v>
      </c>
      <c r="AI8" s="53">
        <f t="shared" si="6"/>
        <v>151805.78099408917</v>
      </c>
      <c r="AJ8" s="53">
        <f t="shared" si="6"/>
        <v>152031.63239329006</v>
      </c>
      <c r="AK8" s="53">
        <f t="shared" si="6"/>
        <v>152257.81980640409</v>
      </c>
      <c r="AL8" s="53">
        <f t="shared" si="6"/>
        <v>152484.34373334129</v>
      </c>
      <c r="AM8" s="53">
        <f t="shared" si="6"/>
        <v>152711.20467475525</v>
      </c>
      <c r="AN8" s="53">
        <f t="shared" si="6"/>
        <v>152938.40313204445</v>
      </c>
      <c r="AO8" s="53">
        <f t="shared" si="6"/>
        <v>153165.93960735339</v>
      </c>
      <c r="AP8" s="53">
        <f t="shared" si="6"/>
        <v>153393.81460357361</v>
      </c>
      <c r="AQ8" s="53">
        <f t="shared" si="6"/>
        <v>153622.02862434482</v>
      </c>
    </row>
    <row r="9" spans="1:43" s="16" customFormat="1" outlineLevel="6">
      <c r="A9" s="53"/>
      <c r="B9" s="53"/>
      <c r="C9" s="53"/>
      <c r="D9" s="53"/>
      <c r="E9" s="53"/>
      <c r="F9" s="53"/>
      <c r="G9" s="53" t="s">
        <v>326</v>
      </c>
      <c r="H9" s="53">
        <f t="shared" ref="H9:AQ9" si="7">central_regional_opportunity_weight_positive*(1+central_regional_opportunity_weight_positive_growth)^((COLUMN()-8)/12)</f>
        <v>0.28000000000000003</v>
      </c>
      <c r="I9" s="53">
        <f t="shared" si="7"/>
        <v>0.28000000000000003</v>
      </c>
      <c r="J9" s="53">
        <f t="shared" si="7"/>
        <v>0.28000000000000003</v>
      </c>
      <c r="K9" s="53">
        <f t="shared" si="7"/>
        <v>0.28000000000000003</v>
      </c>
      <c r="L9" s="53">
        <f t="shared" si="7"/>
        <v>0.28000000000000003</v>
      </c>
      <c r="M9" s="53">
        <f t="shared" si="7"/>
        <v>0.28000000000000003</v>
      </c>
      <c r="N9" s="53">
        <f t="shared" si="7"/>
        <v>0.28000000000000003</v>
      </c>
      <c r="O9" s="53">
        <f t="shared" si="7"/>
        <v>0.28000000000000003</v>
      </c>
      <c r="P9" s="53">
        <f t="shared" si="7"/>
        <v>0.28000000000000003</v>
      </c>
      <c r="Q9" s="53">
        <f t="shared" si="7"/>
        <v>0.28000000000000003</v>
      </c>
      <c r="R9" s="53">
        <f t="shared" si="7"/>
        <v>0.28000000000000003</v>
      </c>
      <c r="S9" s="53">
        <f t="shared" si="7"/>
        <v>0.28000000000000003</v>
      </c>
      <c r="T9" s="53">
        <f t="shared" si="7"/>
        <v>0.28000000000000003</v>
      </c>
      <c r="U9" s="53">
        <f t="shared" si="7"/>
        <v>0.28000000000000003</v>
      </c>
      <c r="V9" s="53">
        <f t="shared" si="7"/>
        <v>0.28000000000000003</v>
      </c>
      <c r="W9" s="53">
        <f t="shared" si="7"/>
        <v>0.28000000000000003</v>
      </c>
      <c r="X9" s="53">
        <f t="shared" si="7"/>
        <v>0.28000000000000003</v>
      </c>
      <c r="Y9" s="53">
        <f t="shared" si="7"/>
        <v>0.28000000000000003</v>
      </c>
      <c r="Z9" s="53">
        <f t="shared" si="7"/>
        <v>0.28000000000000003</v>
      </c>
      <c r="AA9" s="53">
        <f t="shared" si="7"/>
        <v>0.28000000000000003</v>
      </c>
      <c r="AB9" s="53">
        <f t="shared" si="7"/>
        <v>0.28000000000000003</v>
      </c>
      <c r="AC9" s="53">
        <f t="shared" si="7"/>
        <v>0.28000000000000003</v>
      </c>
      <c r="AD9" s="53">
        <f t="shared" si="7"/>
        <v>0.28000000000000003</v>
      </c>
      <c r="AE9" s="53">
        <f t="shared" si="7"/>
        <v>0.28000000000000003</v>
      </c>
      <c r="AF9" s="53">
        <f t="shared" si="7"/>
        <v>0.28000000000000003</v>
      </c>
      <c r="AG9" s="53">
        <f t="shared" si="7"/>
        <v>0.28000000000000003</v>
      </c>
      <c r="AH9" s="53">
        <f t="shared" si="7"/>
        <v>0.28000000000000003</v>
      </c>
      <c r="AI9" s="53">
        <f t="shared" si="7"/>
        <v>0.28000000000000003</v>
      </c>
      <c r="AJ9" s="53">
        <f t="shared" si="7"/>
        <v>0.28000000000000003</v>
      </c>
      <c r="AK9" s="53">
        <f t="shared" si="7"/>
        <v>0.28000000000000003</v>
      </c>
      <c r="AL9" s="53">
        <f t="shared" si="7"/>
        <v>0.28000000000000003</v>
      </c>
      <c r="AM9" s="53">
        <f t="shared" si="7"/>
        <v>0.28000000000000003</v>
      </c>
      <c r="AN9" s="53">
        <f t="shared" si="7"/>
        <v>0.28000000000000003</v>
      </c>
      <c r="AO9" s="53">
        <f t="shared" si="7"/>
        <v>0.28000000000000003</v>
      </c>
      <c r="AP9" s="53">
        <f t="shared" si="7"/>
        <v>0.28000000000000003</v>
      </c>
      <c r="AQ9" s="53">
        <f t="shared" si="7"/>
        <v>0.28000000000000003</v>
      </c>
    </row>
    <row r="10" spans="1:43" s="16" customFormat="1" outlineLevel="6">
      <c r="A10" s="53"/>
      <c r="B10" s="53"/>
      <c r="C10" s="53"/>
      <c r="D10" s="53"/>
      <c r="E10" s="53"/>
      <c r="F10" s="53"/>
      <c r="G10" s="53" t="s">
        <v>327</v>
      </c>
      <c r="H10" s="53">
        <f t="shared" ref="H10:AQ10" si="8">central_anc_access_rate_positive*(1+central_anc_access_rate_positive_growth)^((COLUMN()-8)/12)</f>
        <v>0.72</v>
      </c>
      <c r="I10" s="53">
        <f t="shared" si="8"/>
        <v>0.72017975297333958</v>
      </c>
      <c r="J10" s="53">
        <f t="shared" si="8"/>
        <v>0.72035955082325087</v>
      </c>
      <c r="K10" s="53">
        <f t="shared" si="8"/>
        <v>0.72053939356093721</v>
      </c>
      <c r="L10" s="53">
        <f t="shared" si="8"/>
        <v>0.7207192811976052</v>
      </c>
      <c r="M10" s="53">
        <f t="shared" si="8"/>
        <v>0.7208992137444642</v>
      </c>
      <c r="N10" s="53">
        <f t="shared" si="8"/>
        <v>0.72107919121272657</v>
      </c>
      <c r="O10" s="53">
        <f t="shared" si="8"/>
        <v>0.7212592136136069</v>
      </c>
      <c r="P10" s="53">
        <f t="shared" si="8"/>
        <v>0.72143928095832321</v>
      </c>
      <c r="Q10" s="53">
        <f t="shared" si="8"/>
        <v>0.72161939325809599</v>
      </c>
      <c r="R10" s="53">
        <f t="shared" si="8"/>
        <v>0.72179955052414835</v>
      </c>
      <c r="S10" s="53">
        <f t="shared" si="8"/>
        <v>0.72197975276770676</v>
      </c>
      <c r="T10" s="53">
        <f t="shared" si="8"/>
        <v>0.72215999999999991</v>
      </c>
      <c r="U10" s="53">
        <f t="shared" si="8"/>
        <v>0.7223402922322596</v>
      </c>
      <c r="V10" s="53">
        <f t="shared" si="8"/>
        <v>0.72252062947572049</v>
      </c>
      <c r="W10" s="53">
        <f t="shared" si="8"/>
        <v>0.72270101174161983</v>
      </c>
      <c r="X10" s="53">
        <f t="shared" si="8"/>
        <v>0.72288143904119806</v>
      </c>
      <c r="Y10" s="53">
        <f t="shared" si="8"/>
        <v>0.72306191138569764</v>
      </c>
      <c r="Z10" s="53">
        <f t="shared" si="8"/>
        <v>0.7232424287863648</v>
      </c>
      <c r="AA10" s="53">
        <f t="shared" si="8"/>
        <v>0.72342299125444787</v>
      </c>
      <c r="AB10" s="53">
        <f t="shared" si="8"/>
        <v>0.72360359880119818</v>
      </c>
      <c r="AC10" s="53">
        <f t="shared" si="8"/>
        <v>0.72378425143787017</v>
      </c>
      <c r="AD10" s="53">
        <f t="shared" si="8"/>
        <v>0.72396494917572074</v>
      </c>
      <c r="AE10" s="53">
        <f t="shared" si="8"/>
        <v>0.72414569202600976</v>
      </c>
      <c r="AF10" s="53">
        <f t="shared" si="8"/>
        <v>0.72432647999999977</v>
      </c>
      <c r="AG10" s="53">
        <f t="shared" si="8"/>
        <v>0.72450731310895633</v>
      </c>
      <c r="AH10" s="53">
        <f t="shared" si="8"/>
        <v>0.72468819136414753</v>
      </c>
      <c r="AI10" s="53">
        <f t="shared" si="8"/>
        <v>0.72486911477684468</v>
      </c>
      <c r="AJ10" s="53">
        <f t="shared" si="8"/>
        <v>0.72505008335832144</v>
      </c>
      <c r="AK10" s="53">
        <f t="shared" si="8"/>
        <v>0.72523109711985467</v>
      </c>
      <c r="AL10" s="53">
        <f t="shared" si="8"/>
        <v>0.72541215607272369</v>
      </c>
      <c r="AM10" s="53">
        <f t="shared" si="8"/>
        <v>0.72559326022821102</v>
      </c>
      <c r="AN10" s="53">
        <f t="shared" si="8"/>
        <v>0.72577440959760164</v>
      </c>
      <c r="AO10" s="53">
        <f t="shared" si="8"/>
        <v>0.72595560419218375</v>
      </c>
      <c r="AP10" s="53">
        <f t="shared" si="8"/>
        <v>0.72613684402324785</v>
      </c>
      <c r="AQ10" s="53">
        <f t="shared" si="8"/>
        <v>0.72631812910208771</v>
      </c>
    </row>
    <row r="11" spans="1:43" s="16" customFormat="1" outlineLevel="6">
      <c r="A11" s="53"/>
      <c r="B11" s="53"/>
      <c r="C11" s="53"/>
      <c r="D11" s="53"/>
      <c r="E11" s="53"/>
      <c r="F11" s="53"/>
      <c r="G11" s="53" t="s">
        <v>328</v>
      </c>
      <c r="H11" s="53">
        <f t="shared" ref="H11:AQ11" si="9">central_third_trimester_window_rate_positive*(1+central_third_trimester_window_rate_positive_growth)^((COLUMN()-8)/12)</f>
        <v>0.62</v>
      </c>
      <c r="I11" s="53">
        <f t="shared" si="9"/>
        <v>0.62030915075368642</v>
      </c>
      <c r="J11" s="53">
        <f t="shared" si="9"/>
        <v>0.62061845565928975</v>
      </c>
      <c r="K11" s="53">
        <f t="shared" si="9"/>
        <v>0.62092791479367482</v>
      </c>
      <c r="L11" s="53">
        <f t="shared" si="9"/>
        <v>0.6212375282337449</v>
      </c>
      <c r="M11" s="53">
        <f t="shared" si="9"/>
        <v>0.62154729605644121</v>
      </c>
      <c r="N11" s="53">
        <f t="shared" si="9"/>
        <v>0.62185721833874374</v>
      </c>
      <c r="O11" s="53">
        <f t="shared" si="9"/>
        <v>0.62216729515767077</v>
      </c>
      <c r="P11" s="53">
        <f t="shared" si="9"/>
        <v>0.62247752659027888</v>
      </c>
      <c r="Q11" s="53">
        <f t="shared" si="9"/>
        <v>0.62278791271366318</v>
      </c>
      <c r="R11" s="53">
        <f t="shared" si="9"/>
        <v>0.62309845360495697</v>
      </c>
      <c r="S11" s="53">
        <f t="shared" si="9"/>
        <v>0.6234091493413324</v>
      </c>
      <c r="T11" s="53">
        <f t="shared" si="9"/>
        <v>0.62372000000000005</v>
      </c>
      <c r="U11" s="53">
        <f t="shared" si="9"/>
        <v>0.62403100565820846</v>
      </c>
      <c r="V11" s="53">
        <f t="shared" si="9"/>
        <v>0.62434216639324547</v>
      </c>
      <c r="W11" s="53">
        <f t="shared" si="9"/>
        <v>0.62465348228243689</v>
      </c>
      <c r="X11" s="53">
        <f t="shared" si="9"/>
        <v>0.62496495340314728</v>
      </c>
      <c r="Y11" s="53">
        <f t="shared" si="9"/>
        <v>0.62527657983277984</v>
      </c>
      <c r="Z11" s="53">
        <f t="shared" si="9"/>
        <v>0.62558836164877618</v>
      </c>
      <c r="AA11" s="53">
        <f t="shared" si="9"/>
        <v>0.62590029892861676</v>
      </c>
      <c r="AB11" s="53">
        <f t="shared" si="9"/>
        <v>0.62621239174982046</v>
      </c>
      <c r="AC11" s="53">
        <f t="shared" si="9"/>
        <v>0.62652464018994514</v>
      </c>
      <c r="AD11" s="53">
        <f t="shared" si="9"/>
        <v>0.62683704432658682</v>
      </c>
      <c r="AE11" s="53">
        <f t="shared" si="9"/>
        <v>0.62714960423738042</v>
      </c>
      <c r="AF11" s="53">
        <f t="shared" si="9"/>
        <v>0.62746231999999991</v>
      </c>
      <c r="AG11" s="53">
        <f t="shared" si="9"/>
        <v>0.62777519169215779</v>
      </c>
      <c r="AH11" s="53">
        <f t="shared" si="9"/>
        <v>0.62808821939160497</v>
      </c>
      <c r="AI11" s="53">
        <f t="shared" si="9"/>
        <v>0.62840140317613147</v>
      </c>
      <c r="AJ11" s="53">
        <f t="shared" si="9"/>
        <v>0.62871474312356623</v>
      </c>
      <c r="AK11" s="53">
        <f t="shared" si="9"/>
        <v>0.62902823931177654</v>
      </c>
      <c r="AL11" s="53">
        <f t="shared" si="9"/>
        <v>0.62934189181866884</v>
      </c>
      <c r="AM11" s="53">
        <f t="shared" si="9"/>
        <v>0.62965570072218857</v>
      </c>
      <c r="AN11" s="53">
        <f t="shared" si="9"/>
        <v>0.62996966610031946</v>
      </c>
      <c r="AO11" s="53">
        <f t="shared" si="9"/>
        <v>0.63028378803108476</v>
      </c>
      <c r="AP11" s="53">
        <f t="shared" si="9"/>
        <v>0.63059806659254625</v>
      </c>
      <c r="AQ11" s="53">
        <f t="shared" si="9"/>
        <v>0.63091250186280468</v>
      </c>
    </row>
    <row r="12" spans="1:43" s="16" customFormat="1" outlineLevel="5">
      <c r="A12" s="53"/>
      <c r="B12" s="53"/>
      <c r="C12" s="53"/>
      <c r="D12" s="53"/>
      <c r="E12" s="53"/>
      <c r="F12" s="53" t="s">
        <v>329</v>
      </c>
      <c r="G12" s="53"/>
      <c r="H12" s="53">
        <f t="shared" ref="H12:AQ12" si="10">central_public_eligibility_rate_positive*(1+central_public_eligibility_rate_positive_growth)^((COLUMN()-8)/12)</f>
        <v>0.35</v>
      </c>
      <c r="I12" s="53">
        <f t="shared" si="10"/>
        <v>0.35279094915011627</v>
      </c>
      <c r="J12" s="53">
        <f t="shared" si="10"/>
        <v>0.35560415372068555</v>
      </c>
      <c r="K12" s="53">
        <f t="shared" si="10"/>
        <v>0.35843979117955577</v>
      </c>
      <c r="L12" s="53">
        <f t="shared" si="10"/>
        <v>0.36129804040972852</v>
      </c>
      <c r="M12" s="53">
        <f t="shared" si="10"/>
        <v>0.36417908172064339</v>
      </c>
      <c r="N12" s="53">
        <f t="shared" si="10"/>
        <v>0.36708309685955304</v>
      </c>
      <c r="O12" s="53">
        <f t="shared" si="10"/>
        <v>0.370010269022988</v>
      </c>
      <c r="P12" s="53">
        <f t="shared" si="10"/>
        <v>0.37296078286831374</v>
      </c>
      <c r="Q12" s="53">
        <f t="shared" si="10"/>
        <v>0.37593482452537952</v>
      </c>
      <c r="R12" s="53">
        <f t="shared" si="10"/>
        <v>0.37893258160826021</v>
      </c>
      <c r="S12" s="53">
        <f t="shared" si="10"/>
        <v>0.38195424322709154</v>
      </c>
      <c r="T12" s="53">
        <f t="shared" si="10"/>
        <v>0.38500000000000001</v>
      </c>
      <c r="U12" s="53">
        <f t="shared" si="10"/>
        <v>0.38807004406512796</v>
      </c>
      <c r="V12" s="53">
        <f t="shared" si="10"/>
        <v>0.3911645690927541</v>
      </c>
      <c r="W12" s="53">
        <f t="shared" si="10"/>
        <v>0.39428377029751144</v>
      </c>
      <c r="X12" s="53">
        <f t="shared" si="10"/>
        <v>0.3974278444507014</v>
      </c>
      <c r="Y12" s="53">
        <f t="shared" si="10"/>
        <v>0.40059698989270776</v>
      </c>
      <c r="Z12" s="53">
        <f t="shared" si="10"/>
        <v>0.40379140654550838</v>
      </c>
      <c r="AA12" s="53">
        <f t="shared" si="10"/>
        <v>0.40701129592528684</v>
      </c>
      <c r="AB12" s="53">
        <f t="shared" si="10"/>
        <v>0.41025686115514515</v>
      </c>
      <c r="AC12" s="53">
        <f t="shared" si="10"/>
        <v>0.41352830697791754</v>
      </c>
      <c r="AD12" s="53">
        <f t="shared" si="10"/>
        <v>0.41682583976908627</v>
      </c>
      <c r="AE12" s="53">
        <f t="shared" si="10"/>
        <v>0.42014966754980065</v>
      </c>
      <c r="AF12" s="53">
        <f t="shared" si="10"/>
        <v>0.42350000000000004</v>
      </c>
      <c r="AG12" s="53">
        <f t="shared" si="10"/>
        <v>0.42687704847164076</v>
      </c>
      <c r="AH12" s="53">
        <f t="shared" si="10"/>
        <v>0.43028102600202961</v>
      </c>
      <c r="AI12" s="53">
        <f t="shared" si="10"/>
        <v>0.4337121473272626</v>
      </c>
      <c r="AJ12" s="53">
        <f t="shared" si="10"/>
        <v>0.43717062889577157</v>
      </c>
      <c r="AK12" s="53">
        <f t="shared" si="10"/>
        <v>0.44065668888197862</v>
      </c>
      <c r="AL12" s="53">
        <f t="shared" si="10"/>
        <v>0.44417054720005922</v>
      </c>
      <c r="AM12" s="53">
        <f t="shared" si="10"/>
        <v>0.44771242551781554</v>
      </c>
      <c r="AN12" s="53">
        <f t="shared" si="10"/>
        <v>0.4512825472706597</v>
      </c>
      <c r="AO12" s="53">
        <f t="shared" si="10"/>
        <v>0.45488113767570931</v>
      </c>
      <c r="AP12" s="53">
        <f t="shared" si="10"/>
        <v>0.45850842374599488</v>
      </c>
      <c r="AQ12" s="53">
        <f t="shared" si="10"/>
        <v>0.46216463430478077</v>
      </c>
    </row>
    <row r="13" spans="1:43" s="16" customFormat="1" outlineLevel="5">
      <c r="A13" s="53"/>
      <c r="B13" s="53"/>
      <c r="C13" s="53"/>
      <c r="D13" s="53"/>
      <c r="E13" s="53"/>
      <c r="F13" s="53" t="s">
        <v>330</v>
      </c>
      <c r="G13" s="53"/>
      <c r="H13" s="53">
        <f t="shared" ref="H13:AQ13" si="11">central_public_provider_recommendation_rate_positive*(1+central_public_provider_recommendation_rate_positive_growth)^((COLUMN()-8)/12)</f>
        <v>0.62720000000000009</v>
      </c>
      <c r="I13" s="53">
        <f t="shared" si="11"/>
        <v>0.62975529043710432</v>
      </c>
      <c r="J13" s="53">
        <f t="shared" si="11"/>
        <v>0.63232099144375242</v>
      </c>
      <c r="K13" s="53">
        <f t="shared" si="11"/>
        <v>0.63489714543389353</v>
      </c>
      <c r="L13" s="53">
        <f t="shared" si="11"/>
        <v>0.63748379499427621</v>
      </c>
      <c r="M13" s="53">
        <f t="shared" si="11"/>
        <v>0.64008098288515269</v>
      </c>
      <c r="N13" s="53">
        <f t="shared" si="11"/>
        <v>0.64268875204098619</v>
      </c>
      <c r="O13" s="53">
        <f t="shared" si="11"/>
        <v>0.64530714557115954</v>
      </c>
      <c r="P13" s="53">
        <f t="shared" si="11"/>
        <v>0.64793620676068919</v>
      </c>
      <c r="Q13" s="53">
        <f t="shared" si="11"/>
        <v>0.65057597907093978</v>
      </c>
      <c r="R13" s="53">
        <f t="shared" si="11"/>
        <v>0.65322650614034306</v>
      </c>
      <c r="S13" s="53">
        <f t="shared" si="11"/>
        <v>0.65588783178511889</v>
      </c>
      <c r="T13" s="53">
        <f t="shared" si="11"/>
        <v>0.65856000000000015</v>
      </c>
      <c r="U13" s="53">
        <f t="shared" si="11"/>
        <v>0.66124305495895963</v>
      </c>
      <c r="V13" s="53">
        <f t="shared" si="11"/>
        <v>0.66393704101594009</v>
      </c>
      <c r="W13" s="53">
        <f t="shared" si="11"/>
        <v>0.66664200270558827</v>
      </c>
      <c r="X13" s="53">
        <f t="shared" si="11"/>
        <v>0.66935798474399</v>
      </c>
      <c r="Y13" s="53">
        <f t="shared" si="11"/>
        <v>0.67208503202941039</v>
      </c>
      <c r="Z13" s="53">
        <f t="shared" si="11"/>
        <v>0.67482318964303545</v>
      </c>
      <c r="AA13" s="53">
        <f t="shared" si="11"/>
        <v>0.6775725028497176</v>
      </c>
      <c r="AB13" s="53">
        <f t="shared" si="11"/>
        <v>0.68033301709872374</v>
      </c>
      <c r="AC13" s="53">
        <f t="shared" si="11"/>
        <v>0.68310477802448677</v>
      </c>
      <c r="AD13" s="53">
        <f t="shared" si="11"/>
        <v>0.68588783144736021</v>
      </c>
      <c r="AE13" s="53">
        <f t="shared" si="11"/>
        <v>0.6886822233743749</v>
      </c>
      <c r="AF13" s="53">
        <f t="shared" si="11"/>
        <v>0.6914880000000001</v>
      </c>
      <c r="AG13" s="53">
        <f t="shared" si="11"/>
        <v>0.69430520770690762</v>
      </c>
      <c r="AH13" s="53">
        <f t="shared" si="11"/>
        <v>0.69713389306673723</v>
      </c>
      <c r="AI13" s="53">
        <f t="shared" si="11"/>
        <v>0.6999741028408677</v>
      </c>
      <c r="AJ13" s="53">
        <f t="shared" si="11"/>
        <v>0.70282588398118961</v>
      </c>
      <c r="AK13" s="53">
        <f t="shared" si="11"/>
        <v>0.70568928363088101</v>
      </c>
      <c r="AL13" s="53">
        <f t="shared" si="11"/>
        <v>0.70856434912518729</v>
      </c>
      <c r="AM13" s="53">
        <f t="shared" si="11"/>
        <v>0.71145112799220356</v>
      </c>
      <c r="AN13" s="53">
        <f t="shared" si="11"/>
        <v>0.71434966795365984</v>
      </c>
      <c r="AO13" s="53">
        <f t="shared" si="11"/>
        <v>0.71726001692571117</v>
      </c>
      <c r="AP13" s="53">
        <f t="shared" si="11"/>
        <v>0.72018222301972823</v>
      </c>
      <c r="AQ13" s="53">
        <f t="shared" si="11"/>
        <v>0.72311633454309354</v>
      </c>
    </row>
    <row r="14" spans="1:43" s="16" customFormat="1" outlineLevel="5">
      <c r="A14" s="53"/>
      <c r="B14" s="53"/>
      <c r="C14" s="53"/>
      <c r="D14" s="53"/>
      <c r="E14" s="53"/>
      <c r="F14" s="53" t="s">
        <v>331</v>
      </c>
      <c r="G14" s="53"/>
      <c r="H14" s="53">
        <f t="shared" ref="H14:AQ14" si="12">central_public_acceptance_rate_positive*(1+central_public_acceptance_rate_positive_growth)^((COLUMN()-8)/12)</f>
        <v>0.81900000000000006</v>
      </c>
      <c r="I14" s="53">
        <f t="shared" si="12"/>
        <v>0.82068700590500132</v>
      </c>
      <c r="J14" s="53">
        <f t="shared" si="12"/>
        <v>0.82237748676595324</v>
      </c>
      <c r="K14" s="53">
        <f t="shared" si="12"/>
        <v>0.82407144974069602</v>
      </c>
      <c r="L14" s="53">
        <f t="shared" si="12"/>
        <v>0.82576890200181374</v>
      </c>
      <c r="M14" s="53">
        <f t="shared" si="12"/>
        <v>0.82746985073666546</v>
      </c>
      <c r="N14" s="53">
        <f t="shared" si="12"/>
        <v>0.82917430314741414</v>
      </c>
      <c r="O14" s="53">
        <f t="shared" si="12"/>
        <v>0.830882266451059</v>
      </c>
      <c r="P14" s="53">
        <f t="shared" si="12"/>
        <v>0.83259374787946405</v>
      </c>
      <c r="Q14" s="53">
        <f t="shared" si="12"/>
        <v>0.83430875467939059</v>
      </c>
      <c r="R14" s="53">
        <f t="shared" si="12"/>
        <v>0.83602729411252663</v>
      </c>
      <c r="S14" s="53">
        <f t="shared" si="12"/>
        <v>0.83774937345551825</v>
      </c>
      <c r="T14" s="53">
        <f t="shared" si="12"/>
        <v>0.83947499999999997</v>
      </c>
      <c r="U14" s="53">
        <f t="shared" si="12"/>
        <v>0.84120418105262629</v>
      </c>
      <c r="V14" s="53">
        <f t="shared" si="12"/>
        <v>0.84293692393510189</v>
      </c>
      <c r="W14" s="53">
        <f t="shared" si="12"/>
        <v>0.84467323598421329</v>
      </c>
      <c r="X14" s="53">
        <f t="shared" si="12"/>
        <v>0.84641312455185902</v>
      </c>
      <c r="Y14" s="53">
        <f t="shared" si="12"/>
        <v>0.84815659700508206</v>
      </c>
      <c r="Z14" s="53">
        <f t="shared" si="12"/>
        <v>0.84990366072609946</v>
      </c>
      <c r="AA14" s="53">
        <f t="shared" si="12"/>
        <v>0.85165432311233535</v>
      </c>
      <c r="AB14" s="53">
        <f t="shared" si="12"/>
        <v>0.85340859157645066</v>
      </c>
      <c r="AC14" s="53">
        <f t="shared" si="12"/>
        <v>0.85516647354637532</v>
      </c>
      <c r="AD14" s="53">
        <f t="shared" si="12"/>
        <v>0.8569279764653398</v>
      </c>
      <c r="AE14" s="53">
        <f t="shared" si="12"/>
        <v>0.85869310779190611</v>
      </c>
      <c r="AF14" s="53">
        <f t="shared" si="12"/>
        <v>0.86046187500000004</v>
      </c>
      <c r="AG14" s="53">
        <f t="shared" si="12"/>
        <v>0.86223428557894188</v>
      </c>
      <c r="AH14" s="53">
        <f t="shared" si="12"/>
        <v>0.86401034703347934</v>
      </c>
      <c r="AI14" s="53">
        <f t="shared" si="12"/>
        <v>0.86579006688381854</v>
      </c>
      <c r="AJ14" s="53">
        <f t="shared" si="12"/>
        <v>0.86757345266565544</v>
      </c>
      <c r="AK14" s="53">
        <f t="shared" si="12"/>
        <v>0.86936051193020902</v>
      </c>
      <c r="AL14" s="53">
        <f t="shared" si="12"/>
        <v>0.87115125224425194</v>
      </c>
      <c r="AM14" s="53">
        <f t="shared" si="12"/>
        <v>0.87294568119014371</v>
      </c>
      <c r="AN14" s="53">
        <f t="shared" si="12"/>
        <v>0.8747438063658618</v>
      </c>
      <c r="AO14" s="53">
        <f t="shared" si="12"/>
        <v>0.8765456353850346</v>
      </c>
      <c r="AP14" s="53">
        <f t="shared" si="12"/>
        <v>0.8783511758769732</v>
      </c>
      <c r="AQ14" s="53">
        <f t="shared" si="12"/>
        <v>0.88016043548670364</v>
      </c>
    </row>
    <row r="15" spans="1:43" s="16" customFormat="1" outlineLevel="5">
      <c r="A15" s="53"/>
      <c r="B15" s="53"/>
      <c r="C15" s="53"/>
      <c r="D15" s="53"/>
      <c r="E15" s="53"/>
      <c r="F15" s="53" t="s">
        <v>332</v>
      </c>
      <c r="G15" s="53"/>
      <c r="H15" s="53">
        <f t="shared" ref="H15:AQ15" si="13">central_public_stock_availability_rate_positive*(1+central_public_stock_availability_rate_positive_growth)^((COLUMN()-8)/12)</f>
        <v>0.95400000000000007</v>
      </c>
      <c r="I15" s="53">
        <f t="shared" si="13"/>
        <v>0.95557560856203194</v>
      </c>
      <c r="J15" s="53">
        <f t="shared" si="13"/>
        <v>0.95715381936970401</v>
      </c>
      <c r="K15" s="53">
        <f t="shared" si="13"/>
        <v>0.95873463672083648</v>
      </c>
      <c r="L15" s="53">
        <f t="shared" si="13"/>
        <v>0.96031806492034788</v>
      </c>
      <c r="M15" s="53">
        <f t="shared" si="13"/>
        <v>0.9619041082802664</v>
      </c>
      <c r="N15" s="53">
        <f t="shared" si="13"/>
        <v>0.9634927711197423</v>
      </c>
      <c r="O15" s="53">
        <f t="shared" si="13"/>
        <v>0.96508405776505901</v>
      </c>
      <c r="P15" s="53">
        <f t="shared" si="13"/>
        <v>0.96667797254964505</v>
      </c>
      <c r="Q15" s="53">
        <f t="shared" si="13"/>
        <v>0.96827451981408608</v>
      </c>
      <c r="R15" s="53">
        <f t="shared" si="13"/>
        <v>0.9698737039061367</v>
      </c>
      <c r="S15" s="53">
        <f t="shared" si="13"/>
        <v>0.97147552918073221</v>
      </c>
      <c r="T15" s="53">
        <f t="shared" si="13"/>
        <v>0.97308000000000006</v>
      </c>
      <c r="U15" s="53">
        <f t="shared" si="13"/>
        <v>0.97468712073327257</v>
      </c>
      <c r="V15" s="53">
        <f t="shared" si="13"/>
        <v>0.97629689575709799</v>
      </c>
      <c r="W15" s="53">
        <f t="shared" si="13"/>
        <v>0.97790932945525333</v>
      </c>
      <c r="X15" s="53">
        <f t="shared" si="13"/>
        <v>0.9795244262187548</v>
      </c>
      <c r="Y15" s="53">
        <f t="shared" si="13"/>
        <v>0.98114219044587181</v>
      </c>
      <c r="Z15" s="53">
        <f t="shared" si="13"/>
        <v>0.9827626265421372</v>
      </c>
      <c r="AA15" s="53">
        <f t="shared" si="13"/>
        <v>0.98438573892036019</v>
      </c>
      <c r="AB15" s="53">
        <f t="shared" si="13"/>
        <v>0.98601153200063785</v>
      </c>
      <c r="AC15" s="53">
        <f t="shared" si="13"/>
        <v>0.98764001021036785</v>
      </c>
      <c r="AD15" s="53">
        <f t="shared" si="13"/>
        <v>0.98927117798425956</v>
      </c>
      <c r="AE15" s="53">
        <f t="shared" si="13"/>
        <v>0.99090503976434685</v>
      </c>
      <c r="AF15" s="53">
        <f t="shared" si="13"/>
        <v>0.99254160000000002</v>
      </c>
      <c r="AG15" s="53">
        <f t="shared" si="13"/>
        <v>0.99418086314793797</v>
      </c>
      <c r="AH15" s="53">
        <f t="shared" si="13"/>
        <v>0.99582283367224</v>
      </c>
      <c r="AI15" s="53">
        <f t="shared" si="13"/>
        <v>0.99746751604435824</v>
      </c>
      <c r="AJ15" s="53">
        <f t="shared" si="13"/>
        <v>0.99911491474312986</v>
      </c>
      <c r="AK15" s="53">
        <f t="shared" si="13"/>
        <v>1.0007650342547894</v>
      </c>
      <c r="AL15" s="53">
        <f t="shared" si="13"/>
        <v>1.0024178790729799</v>
      </c>
      <c r="AM15" s="53">
        <f t="shared" si="13"/>
        <v>1.0040734536987674</v>
      </c>
      <c r="AN15" s="53">
        <f t="shared" si="13"/>
        <v>1.0057317626406506</v>
      </c>
      <c r="AO15" s="53">
        <f t="shared" si="13"/>
        <v>1.0073928104145751</v>
      </c>
      <c r="AP15" s="53">
        <f t="shared" si="13"/>
        <v>1.0090566015439448</v>
      </c>
      <c r="AQ15" s="53">
        <f t="shared" si="13"/>
        <v>1.0107231405596337</v>
      </c>
    </row>
    <row r="16" spans="1:43" s="16" customFormat="1" outlineLevel="5">
      <c r="A16" s="53"/>
      <c r="B16" s="53"/>
      <c r="C16" s="53"/>
      <c r="D16" s="53"/>
      <c r="E16" s="53"/>
      <c r="F16" s="53" t="s">
        <v>333</v>
      </c>
      <c r="G16" s="53"/>
      <c r="H16" s="53">
        <f>0.08</f>
        <v>0.08</v>
      </c>
      <c r="I16" s="53">
        <f t="shared" ref="I16:AQ16" si="14">H16+I17-I18</f>
        <v>0.11086048871764922</v>
      </c>
      <c r="J16" s="53">
        <f t="shared" si="14"/>
        <v>0.1418318278642581</v>
      </c>
      <c r="K16" s="53">
        <f t="shared" si="14"/>
        <v>0.17291438033528581</v>
      </c>
      <c r="L16" s="53">
        <f t="shared" si="14"/>
        <v>0.20410851021421678</v>
      </c>
      <c r="M16" s="53">
        <f t="shared" si="14"/>
        <v>0.23541458277645008</v>
      </c>
      <c r="N16" s="53">
        <f t="shared" si="14"/>
        <v>0.26683296449320137</v>
      </c>
      <c r="O16" s="53">
        <f t="shared" si="14"/>
        <v>0.2983640230354177</v>
      </c>
      <c r="P16" s="53">
        <f t="shared" si="14"/>
        <v>0.33000812727770512</v>
      </c>
      <c r="Q16" s="53">
        <f t="shared" si="14"/>
        <v>0.36176564730226918</v>
      </c>
      <c r="R16" s="53">
        <f t="shared" si="14"/>
        <v>0.39363695440286822</v>
      </c>
      <c r="S16" s="53">
        <f t="shared" si="14"/>
        <v>0.42562242108877979</v>
      </c>
      <c r="T16" s="53">
        <f t="shared" si="14"/>
        <v>0.45772242108877981</v>
      </c>
      <c r="U16" s="53">
        <f t="shared" si="14"/>
        <v>0.48993732935513501</v>
      </c>
      <c r="V16" s="53">
        <f t="shared" si="14"/>
        <v>0.52226752206760829</v>
      </c>
      <c r="W16" s="53">
        <f t="shared" si="14"/>
        <v>0.55471337663747711</v>
      </c>
      <c r="X16" s="53">
        <f t="shared" si="14"/>
        <v>0.58727527171156535</v>
      </c>
      <c r="Y16" s="53">
        <f t="shared" si="14"/>
        <v>0.61995358717628801</v>
      </c>
      <c r="Z16" s="53">
        <f t="shared" si="14"/>
        <v>0.65274870416170938</v>
      </c>
      <c r="AA16" s="53">
        <f t="shared" si="14"/>
        <v>0.68566100504561434</v>
      </c>
      <c r="AB16" s="53">
        <f t="shared" si="14"/>
        <v>0.7186908734575933</v>
      </c>
      <c r="AC16" s="53">
        <f t="shared" si="14"/>
        <v>0.75183869428313987</v>
      </c>
      <c r="AD16" s="53">
        <f t="shared" si="14"/>
        <v>0.78510485366776284</v>
      </c>
      <c r="AE16" s="53">
        <f t="shared" si="14"/>
        <v>0.81848973902111088</v>
      </c>
      <c r="AF16" s="53">
        <f t="shared" si="14"/>
        <v>0.85199373902111086</v>
      </c>
      <c r="AG16" s="53">
        <f t="shared" si="14"/>
        <v>0.88561724361812022</v>
      </c>
      <c r="AH16" s="53">
        <f t="shared" si="14"/>
        <v>0.91936064403909235</v>
      </c>
      <c r="AI16" s="53">
        <f t="shared" si="14"/>
        <v>0.95322433279175589</v>
      </c>
      <c r="AJ16" s="53">
        <f t="shared" si="14"/>
        <v>0.98720870366880764</v>
      </c>
      <c r="AK16" s="53">
        <f t="shared" si="14"/>
        <v>1.0213141517521194</v>
      </c>
      <c r="AL16" s="53">
        <f t="shared" si="14"/>
        <v>1.0555410734169577</v>
      </c>
      <c r="AM16" s="53">
        <f t="shared" si="14"/>
        <v>1.0898898663362189</v>
      </c>
      <c r="AN16" s="53">
        <f t="shared" si="14"/>
        <v>1.124360929484677</v>
      </c>
      <c r="AO16" s="53">
        <f t="shared" si="14"/>
        <v>1.1589546631432457</v>
      </c>
      <c r="AP16" s="53">
        <f t="shared" si="14"/>
        <v>1.1936714689032537</v>
      </c>
      <c r="AQ16" s="53">
        <f t="shared" si="14"/>
        <v>1.2285117496707358</v>
      </c>
    </row>
    <row r="17" spans="1:43" s="16" customFormat="1" outlineLevel="6">
      <c r="A17" s="53"/>
      <c r="B17" s="53"/>
      <c r="C17" s="53"/>
      <c r="D17" s="53"/>
      <c r="E17" s="53"/>
      <c r="F17" s="53"/>
      <c r="G17" s="53" t="s">
        <v>93</v>
      </c>
      <c r="H17" s="53">
        <f t="shared" ref="H17:AQ17" si="15">central_public_coverage_additions_positive*(1+central_public_coverage_additions_positive_growth)^((COLUMN()-8)/12)</f>
        <v>3.3750000000000002E-2</v>
      </c>
      <c r="I17" s="53">
        <f t="shared" si="15"/>
        <v>3.3860488717649219E-2</v>
      </c>
      <c r="J17" s="53">
        <f t="shared" si="15"/>
        <v>3.3971339146608881E-2</v>
      </c>
      <c r="K17" s="53">
        <f t="shared" si="15"/>
        <v>3.4082552471027698E-2</v>
      </c>
      <c r="L17" s="53">
        <f t="shared" si="15"/>
        <v>3.419412987893098E-2</v>
      </c>
      <c r="M17" s="53">
        <f t="shared" si="15"/>
        <v>3.4306072562233315E-2</v>
      </c>
      <c r="N17" s="53">
        <f t="shared" si="15"/>
        <v>3.4418381716751302E-2</v>
      </c>
      <c r="O17" s="53">
        <f t="shared" si="15"/>
        <v>3.4531058542216331E-2</v>
      </c>
      <c r="P17" s="53">
        <f t="shared" si="15"/>
        <v>3.4644104242287421E-2</v>
      </c>
      <c r="Q17" s="53">
        <f t="shared" si="15"/>
        <v>3.4757520024564045E-2</v>
      </c>
      <c r="R17" s="53">
        <f t="shared" si="15"/>
        <v>3.487130710059904E-2</v>
      </c>
      <c r="S17" s="53">
        <f t="shared" si="15"/>
        <v>3.4985466685911543E-2</v>
      </c>
      <c r="T17" s="53">
        <f t="shared" si="15"/>
        <v>3.5100000000000006E-2</v>
      </c>
      <c r="U17" s="53">
        <f t="shared" si="15"/>
        <v>3.5214908266355184E-2</v>
      </c>
      <c r="V17" s="53">
        <f t="shared" si="15"/>
        <v>3.5330192712473237E-2</v>
      </c>
      <c r="W17" s="53">
        <f t="shared" si="15"/>
        <v>3.5445854569868811E-2</v>
      </c>
      <c r="X17" s="53">
        <f t="shared" si="15"/>
        <v>3.5561895074088225E-2</v>
      </c>
      <c r="Y17" s="53">
        <f t="shared" si="15"/>
        <v>3.5678315464722651E-2</v>
      </c>
      <c r="Z17" s="53">
        <f t="shared" si="15"/>
        <v>3.5795116985421357E-2</v>
      </c>
      <c r="AA17" s="53">
        <f t="shared" si="15"/>
        <v>3.5912300883904985E-2</v>
      </c>
      <c r="AB17" s="53">
        <f t="shared" si="15"/>
        <v>3.6029868411978923E-2</v>
      </c>
      <c r="AC17" s="53">
        <f t="shared" si="15"/>
        <v>3.6147820825546607E-2</v>
      </c>
      <c r="AD17" s="53">
        <f t="shared" si="15"/>
        <v>3.6266159384623006E-2</v>
      </c>
      <c r="AE17" s="53">
        <f t="shared" si="15"/>
        <v>3.6384885353348009E-2</v>
      </c>
      <c r="AF17" s="53">
        <f t="shared" si="15"/>
        <v>3.6504000000000009E-2</v>
      </c>
      <c r="AG17" s="53">
        <f t="shared" si="15"/>
        <v>3.6623504597009388E-2</v>
      </c>
      <c r="AH17" s="53">
        <f t="shared" si="15"/>
        <v>3.6743400420972162E-2</v>
      </c>
      <c r="AI17" s="53">
        <f t="shared" si="15"/>
        <v>3.6863688752663562E-2</v>
      </c>
      <c r="AJ17" s="53">
        <f t="shared" si="15"/>
        <v>3.6984370877051753E-2</v>
      </c>
      <c r="AK17" s="53">
        <f t="shared" si="15"/>
        <v>3.7105448083311558E-2</v>
      </c>
      <c r="AL17" s="53">
        <f t="shared" si="15"/>
        <v>3.7226921664838215E-2</v>
      </c>
      <c r="AM17" s="53">
        <f t="shared" si="15"/>
        <v>3.7348792919261187E-2</v>
      </c>
      <c r="AN17" s="53">
        <f t="shared" si="15"/>
        <v>3.7471063148458085E-2</v>
      </c>
      <c r="AO17" s="53">
        <f t="shared" si="15"/>
        <v>3.7593733658568475E-2</v>
      </c>
      <c r="AP17" s="53">
        <f t="shared" si="15"/>
        <v>3.7716805760007917E-2</v>
      </c>
      <c r="AQ17" s="53">
        <f t="shared" si="15"/>
        <v>3.7840280767481929E-2</v>
      </c>
    </row>
    <row r="18" spans="1:43" s="16" customFormat="1" outlineLevel="6">
      <c r="A18" s="53"/>
      <c r="B18" s="53"/>
      <c r="C18" s="53"/>
      <c r="D18" s="53"/>
      <c r="E18" s="53"/>
      <c r="F18" s="53"/>
      <c r="G18" s="53" t="s">
        <v>334</v>
      </c>
      <c r="H18" s="53">
        <f t="shared" ref="H18:AQ18" si="16">central_public_coverage_churn_positive*(1+central_public_coverage_churn_positive_growth)^((COLUMN()-8)/12)</f>
        <v>3.0000000000000001E-3</v>
      </c>
      <c r="I18" s="53">
        <f t="shared" si="16"/>
        <v>3.0000000000000001E-3</v>
      </c>
      <c r="J18" s="53">
        <f t="shared" si="16"/>
        <v>3.0000000000000001E-3</v>
      </c>
      <c r="K18" s="53">
        <f t="shared" si="16"/>
        <v>3.0000000000000001E-3</v>
      </c>
      <c r="L18" s="53">
        <f t="shared" si="16"/>
        <v>3.0000000000000001E-3</v>
      </c>
      <c r="M18" s="53">
        <f t="shared" si="16"/>
        <v>3.0000000000000001E-3</v>
      </c>
      <c r="N18" s="53">
        <f t="shared" si="16"/>
        <v>3.0000000000000001E-3</v>
      </c>
      <c r="O18" s="53">
        <f t="shared" si="16"/>
        <v>3.0000000000000001E-3</v>
      </c>
      <c r="P18" s="53">
        <f t="shared" si="16"/>
        <v>3.0000000000000001E-3</v>
      </c>
      <c r="Q18" s="53">
        <f t="shared" si="16"/>
        <v>3.0000000000000001E-3</v>
      </c>
      <c r="R18" s="53">
        <f t="shared" si="16"/>
        <v>3.0000000000000001E-3</v>
      </c>
      <c r="S18" s="53">
        <f t="shared" si="16"/>
        <v>3.0000000000000001E-3</v>
      </c>
      <c r="T18" s="53">
        <f t="shared" si="16"/>
        <v>3.0000000000000001E-3</v>
      </c>
      <c r="U18" s="53">
        <f t="shared" si="16"/>
        <v>3.0000000000000001E-3</v>
      </c>
      <c r="V18" s="53">
        <f t="shared" si="16"/>
        <v>3.0000000000000001E-3</v>
      </c>
      <c r="W18" s="53">
        <f t="shared" si="16"/>
        <v>3.0000000000000001E-3</v>
      </c>
      <c r="X18" s="53">
        <f t="shared" si="16"/>
        <v>3.0000000000000001E-3</v>
      </c>
      <c r="Y18" s="53">
        <f t="shared" si="16"/>
        <v>3.0000000000000001E-3</v>
      </c>
      <c r="Z18" s="53">
        <f t="shared" si="16"/>
        <v>3.0000000000000001E-3</v>
      </c>
      <c r="AA18" s="53">
        <f t="shared" si="16"/>
        <v>3.0000000000000001E-3</v>
      </c>
      <c r="AB18" s="53">
        <f t="shared" si="16"/>
        <v>3.0000000000000001E-3</v>
      </c>
      <c r="AC18" s="53">
        <f t="shared" si="16"/>
        <v>3.0000000000000001E-3</v>
      </c>
      <c r="AD18" s="53">
        <f t="shared" si="16"/>
        <v>3.0000000000000001E-3</v>
      </c>
      <c r="AE18" s="53">
        <f t="shared" si="16"/>
        <v>3.0000000000000001E-3</v>
      </c>
      <c r="AF18" s="53">
        <f t="shared" si="16"/>
        <v>3.0000000000000001E-3</v>
      </c>
      <c r="AG18" s="53">
        <f t="shared" si="16"/>
        <v>3.0000000000000001E-3</v>
      </c>
      <c r="AH18" s="53">
        <f t="shared" si="16"/>
        <v>3.0000000000000001E-3</v>
      </c>
      <c r="AI18" s="53">
        <f t="shared" si="16"/>
        <v>3.0000000000000001E-3</v>
      </c>
      <c r="AJ18" s="53">
        <f t="shared" si="16"/>
        <v>3.0000000000000001E-3</v>
      </c>
      <c r="AK18" s="53">
        <f t="shared" si="16"/>
        <v>3.0000000000000001E-3</v>
      </c>
      <c r="AL18" s="53">
        <f t="shared" si="16"/>
        <v>3.0000000000000001E-3</v>
      </c>
      <c r="AM18" s="53">
        <f t="shared" si="16"/>
        <v>3.0000000000000001E-3</v>
      </c>
      <c r="AN18" s="53">
        <f t="shared" si="16"/>
        <v>3.0000000000000001E-3</v>
      </c>
      <c r="AO18" s="53">
        <f t="shared" si="16"/>
        <v>3.0000000000000001E-3</v>
      </c>
      <c r="AP18" s="53">
        <f t="shared" si="16"/>
        <v>3.0000000000000001E-3</v>
      </c>
      <c r="AQ18" s="53">
        <f t="shared" si="16"/>
        <v>3.0000000000000001E-3</v>
      </c>
    </row>
    <row r="19" spans="1:43" s="16" customFormat="1" outlineLevel="4">
      <c r="A19" s="53"/>
      <c r="B19" s="53"/>
      <c r="C19" s="53"/>
      <c r="D19" s="53"/>
      <c r="E19" s="53" t="s">
        <v>335</v>
      </c>
      <c r="F19" s="53"/>
      <c r="G19" s="53"/>
      <c r="H19" s="53">
        <f t="shared" ref="H19:AQ19" si="17">central_public_net_price_per_dose_positive*(1+central_public_net_price_per_dose_positive_growth)^((COLUMN()-8)/12)</f>
        <v>38340</v>
      </c>
      <c r="I19" s="53">
        <f t="shared" si="17"/>
        <v>38434.556783070126</v>
      </c>
      <c r="J19" s="53">
        <f t="shared" si="17"/>
        <v>38529.346768676085</v>
      </c>
      <c r="K19" s="53">
        <f t="shared" si="17"/>
        <v>38624.37053195828</v>
      </c>
      <c r="L19" s="53">
        <f t="shared" si="17"/>
        <v>38719.628649475504</v>
      </c>
      <c r="M19" s="53">
        <f t="shared" si="17"/>
        <v>38815.121699208525</v>
      </c>
      <c r="N19" s="53">
        <f t="shared" si="17"/>
        <v>38910.850260563573</v>
      </c>
      <c r="O19" s="53">
        <f t="shared" si="17"/>
        <v>39006.814914375827</v>
      </c>
      <c r="P19" s="53">
        <f t="shared" si="17"/>
        <v>39103.016242913</v>
      </c>
      <c r="Q19" s="53">
        <f t="shared" si="17"/>
        <v>39199.454829878785</v>
      </c>
      <c r="R19" s="53">
        <f t="shared" si="17"/>
        <v>39296.131260416492</v>
      </c>
      <c r="S19" s="53">
        <f t="shared" si="17"/>
        <v>39393.046121112537</v>
      </c>
      <c r="T19" s="53">
        <f t="shared" si="17"/>
        <v>39490.200000000004</v>
      </c>
      <c r="U19" s="53">
        <f t="shared" si="17"/>
        <v>39587.593486562226</v>
      </c>
      <c r="V19" s="53">
        <f t="shared" si="17"/>
        <v>39685.227171736376</v>
      </c>
      <c r="W19" s="53">
        <f t="shared" si="17"/>
        <v>39783.101647917036</v>
      </c>
      <c r="X19" s="53">
        <f t="shared" si="17"/>
        <v>39881.217508959766</v>
      </c>
      <c r="Y19" s="53">
        <f t="shared" si="17"/>
        <v>39979.575350184779</v>
      </c>
      <c r="Z19" s="53">
        <f t="shared" si="17"/>
        <v>40078.175768380483</v>
      </c>
      <c r="AA19" s="53">
        <f t="shared" si="17"/>
        <v>40177.019361807106</v>
      </c>
      <c r="AB19" s="53">
        <f t="shared" si="17"/>
        <v>40276.106730200387</v>
      </c>
      <c r="AC19" s="53">
        <f t="shared" si="17"/>
        <v>40375.438474775154</v>
      </c>
      <c r="AD19" s="53">
        <f t="shared" si="17"/>
        <v>40475.015198228997</v>
      </c>
      <c r="AE19" s="53">
        <f t="shared" si="17"/>
        <v>40574.837504745912</v>
      </c>
      <c r="AF19" s="53">
        <f t="shared" si="17"/>
        <v>40674.905999999995</v>
      </c>
      <c r="AG19" s="53">
        <f t="shared" si="17"/>
        <v>40775.22129115909</v>
      </c>
      <c r="AH19" s="53">
        <f t="shared" si="17"/>
        <v>40875.783986888469</v>
      </c>
      <c r="AI19" s="53">
        <f t="shared" si="17"/>
        <v>40976.594697354536</v>
      </c>
      <c r="AJ19" s="53">
        <f t="shared" si="17"/>
        <v>41077.654034228566</v>
      </c>
      <c r="AK19" s="53">
        <f t="shared" si="17"/>
        <v>41178.962610690323</v>
      </c>
      <c r="AL19" s="53">
        <f t="shared" si="17"/>
        <v>41280.521041431894</v>
      </c>
      <c r="AM19" s="53">
        <f t="shared" si="17"/>
        <v>41382.329942661316</v>
      </c>
      <c r="AN19" s="53">
        <f t="shared" si="17"/>
        <v>41484.389932106402</v>
      </c>
      <c r="AO19" s="53">
        <f t="shared" si="17"/>
        <v>41586.701629018411</v>
      </c>
      <c r="AP19" s="53">
        <f t="shared" si="17"/>
        <v>41689.26565417587</v>
      </c>
      <c r="AQ19" s="53">
        <f t="shared" si="17"/>
        <v>41792.082629888297</v>
      </c>
    </row>
    <row r="20" spans="1:43" s="16" customFormat="1" outlineLevel="3" collapsed="1">
      <c r="A20" s="53"/>
      <c r="B20" s="53"/>
      <c r="C20" s="53"/>
      <c r="D20" s="53" t="s">
        <v>336</v>
      </c>
      <c r="E20" s="53"/>
      <c r="F20" s="53"/>
      <c r="G20" s="53"/>
      <c r="H20" s="53">
        <f t="shared" ref="H20:AQ20" si="18">(H21*H34)</f>
        <v>4525802.870318234</v>
      </c>
      <c r="I20" s="53">
        <f t="shared" si="18"/>
        <v>5853583.824169145</v>
      </c>
      <c r="J20" s="53">
        <f t="shared" si="18"/>
        <v>7238911.6873986926</v>
      </c>
      <c r="K20" s="53">
        <f t="shared" si="18"/>
        <v>8683708.1089727394</v>
      </c>
      <c r="L20" s="53">
        <f t="shared" si="18"/>
        <v>10189952.225988291</v>
      </c>
      <c r="M20" s="53">
        <f t="shared" si="18"/>
        <v>11759682.282314215</v>
      </c>
      <c r="N20" s="53">
        <f t="shared" si="18"/>
        <v>13394997.291096654</v>
      </c>
      <c r="O20" s="53">
        <f t="shared" si="18"/>
        <v>15098058.742287166</v>
      </c>
      <c r="P20" s="53">
        <f t="shared" si="18"/>
        <v>16871092.356381778</v>
      </c>
      <c r="Q20" s="53">
        <f t="shared" si="18"/>
        <v>18716389.885589469</v>
      </c>
      <c r="R20" s="53">
        <f t="shared" si="18"/>
        <v>20636310.963680655</v>
      </c>
      <c r="S20" s="53">
        <f t="shared" si="18"/>
        <v>22633285.005798336</v>
      </c>
      <c r="T20" s="53">
        <f t="shared" si="18"/>
        <v>24709813.159547623</v>
      </c>
      <c r="U20" s="53">
        <f t="shared" si="18"/>
        <v>26868470.308713887</v>
      </c>
      <c r="V20" s="53">
        <f t="shared" si="18"/>
        <v>29111907.130994026</v>
      </c>
      <c r="W20" s="53">
        <f t="shared" si="18"/>
        <v>31442852.21116155</v>
      </c>
      <c r="X20" s="53">
        <f t="shared" si="18"/>
        <v>33864114.211122833</v>
      </c>
      <c r="Y20" s="53">
        <f t="shared" si="18"/>
        <v>36378584.098359525</v>
      </c>
      <c r="Z20" s="53">
        <f t="shared" si="18"/>
        <v>38989237.434290439</v>
      </c>
      <c r="AA20" s="53">
        <f t="shared" si="18"/>
        <v>41699136.724126145</v>
      </c>
      <c r="AB20" s="53">
        <f t="shared" si="18"/>
        <v>44511433.829830036</v>
      </c>
      <c r="AC20" s="53">
        <f t="shared" si="18"/>
        <v>47429372.447841078</v>
      </c>
      <c r="AD20" s="53">
        <f t="shared" si="18"/>
        <v>50456290.653256126</v>
      </c>
      <c r="AE20" s="53">
        <f t="shared" si="18"/>
        <v>53595623.512213625</v>
      </c>
      <c r="AF20" s="53">
        <f t="shared" si="18"/>
        <v>56850905.764265798</v>
      </c>
      <c r="AG20" s="53">
        <f t="shared" si="18"/>
        <v>60225774.576570824</v>
      </c>
      <c r="AH20" s="53">
        <f t="shared" si="18"/>
        <v>63723972.371786155</v>
      </c>
      <c r="AI20" s="53">
        <f t="shared" si="18"/>
        <v>67349349.731590107</v>
      </c>
      <c r="AJ20" s="53">
        <f t="shared" si="18"/>
        <v>71105868.377810448</v>
      </c>
      <c r="AK20" s="53">
        <f t="shared" si="18"/>
        <v>74997604.233187735</v>
      </c>
      <c r="AL20" s="53">
        <f t="shared" si="18"/>
        <v>79028750.563855365</v>
      </c>
      <c r="AM20" s="53">
        <f t="shared" si="18"/>
        <v>83203621.205669925</v>
      </c>
      <c r="AN20" s="53">
        <f t="shared" si="18"/>
        <v>87526653.876581058</v>
      </c>
      <c r="AO20" s="53">
        <f t="shared" si="18"/>
        <v>92002413.577287167</v>
      </c>
      <c r="AP20" s="53">
        <f t="shared" si="18"/>
        <v>96635596.082479075</v>
      </c>
      <c r="AQ20" s="53">
        <f t="shared" si="18"/>
        <v>101431031.5250344</v>
      </c>
    </row>
    <row r="21" spans="1:43" s="16" customFormat="1" hidden="1" outlineLevel="4" collapsed="1">
      <c r="A21" s="53"/>
      <c r="B21" s="53"/>
      <c r="C21" s="53"/>
      <c r="D21" s="53"/>
      <c r="E21" s="53" t="s">
        <v>337</v>
      </c>
      <c r="F21" s="53"/>
      <c r="G21" s="53"/>
      <c r="H21" s="53">
        <f t="shared" ref="H21:AQ21" si="19">(((((H22*H27)*H28)*H29)*H30)*H31)</f>
        <v>121.46545545674272</v>
      </c>
      <c r="I21" s="53">
        <f t="shared" si="19"/>
        <v>156.71451487050922</v>
      </c>
      <c r="J21" s="53">
        <f t="shared" si="19"/>
        <v>193.326278259807</v>
      </c>
      <c r="K21" s="53">
        <f t="shared" si="19"/>
        <v>231.34124052319564</v>
      </c>
      <c r="L21" s="53">
        <f t="shared" si="19"/>
        <v>270.80097422930589</v>
      </c>
      <c r="M21" s="53">
        <f t="shared" si="19"/>
        <v>311.74815661005806</v>
      </c>
      <c r="N21" s="53">
        <f t="shared" si="19"/>
        <v>354.22659720474843</v>
      </c>
      <c r="O21" s="53">
        <f t="shared" si="19"/>
        <v>398.28126617029511</v>
      </c>
      <c r="P21" s="53">
        <f t="shared" si="19"/>
        <v>443.95832327329242</v>
      </c>
      <c r="Q21" s="53">
        <f t="shared" si="19"/>
        <v>491.30514757987481</v>
      </c>
      <c r="R21" s="53">
        <f t="shared" si="19"/>
        <v>540.37036785976591</v>
      </c>
      <c r="S21" s="53">
        <f t="shared" si="19"/>
        <v>591.20389372126772</v>
      </c>
      <c r="T21" s="53">
        <f t="shared" si="19"/>
        <v>643.85694749432275</v>
      </c>
      <c r="U21" s="53">
        <f t="shared" si="19"/>
        <v>698.38209687918709</v>
      </c>
      <c r="V21" s="53">
        <f t="shared" si="19"/>
        <v>754.83328837864451</v>
      </c>
      <c r="W21" s="53">
        <f t="shared" si="19"/>
        <v>813.26588153211367</v>
      </c>
      <c r="X21" s="53">
        <f t="shared" si="19"/>
        <v>873.73668397041752</v>
      </c>
      <c r="Y21" s="53">
        <f t="shared" si="19"/>
        <v>936.30398731042158</v>
      </c>
      <c r="Z21" s="53">
        <f t="shared" si="19"/>
        <v>1001.0276039091775</v>
      </c>
      <c r="AA21" s="53">
        <f t="shared" si="19"/>
        <v>1067.9689044976735</v>
      </c>
      <c r="AB21" s="53">
        <f t="shared" si="19"/>
        <v>1137.1908567147477</v>
      </c>
      <c r="AC21" s="53">
        <f t="shared" si="19"/>
        <v>1208.7580645621922</v>
      </c>
      <c r="AD21" s="53">
        <f t="shared" si="19"/>
        <v>1282.7368088025598</v>
      </c>
      <c r="AE21" s="53">
        <f t="shared" si="19"/>
        <v>1359.1950883216809</v>
      </c>
      <c r="AF21" s="53">
        <f t="shared" si="19"/>
        <v>1438.2026624784089</v>
      </c>
      <c r="AG21" s="53">
        <f t="shared" si="19"/>
        <v>1519.8310944646023</v>
      </c>
      <c r="AH21" s="53">
        <f t="shared" si="19"/>
        <v>1604.153795698925</v>
      </c>
      <c r="AI21" s="53">
        <f t="shared" si="19"/>
        <v>1691.2460712785389</v>
      </c>
      <c r="AJ21" s="53">
        <f t="shared" si="19"/>
        <v>1781.1851665133545</v>
      </c>
      <c r="AK21" s="53">
        <f t="shared" si="19"/>
        <v>1874.0503145680382</v>
      </c>
      <c r="AL21" s="53">
        <f t="shared" si="19"/>
        <v>1969.9227852375814</v>
      </c>
      <c r="AM21" s="53">
        <f t="shared" si="19"/>
        <v>2068.8859348828078</v>
      </c>
      <c r="AN21" s="53">
        <f t="shared" si="19"/>
        <v>2171.0252575527934</v>
      </c>
      <c r="AO21" s="53">
        <f t="shared" si="19"/>
        <v>2276.4284373218352</v>
      </c>
      <c r="AP21" s="53">
        <f t="shared" si="19"/>
        <v>2385.185401869162</v>
      </c>
      <c r="AQ21" s="53">
        <f t="shared" si="19"/>
        <v>2497.388377330305</v>
      </c>
    </row>
    <row r="22" spans="1:43" s="16" customFormat="1" hidden="1" outlineLevel="5" collapsed="1">
      <c r="A22" s="53"/>
      <c r="B22" s="53"/>
      <c r="C22" s="53"/>
      <c r="D22" s="53"/>
      <c r="E22" s="53"/>
      <c r="F22" s="53" t="s">
        <v>338</v>
      </c>
      <c r="G22" s="53"/>
      <c r="H22" s="53">
        <f t="shared" ref="H22:AQ22" si="20">(((H23*H24)*H25)*H26)</f>
        <v>13474.969200000001</v>
      </c>
      <c r="I22" s="53">
        <f t="shared" si="20"/>
        <v>13505.1166215678</v>
      </c>
      <c r="J22" s="53">
        <f t="shared" si="20"/>
        <v>13535.331491677693</v>
      </c>
      <c r="K22" s="53">
        <f t="shared" si="20"/>
        <v>13565.613961231651</v>
      </c>
      <c r="L22" s="53">
        <f t="shared" si="20"/>
        <v>13595.964181469282</v>
      </c>
      <c r="M22" s="53">
        <f t="shared" si="20"/>
        <v>13626.38230396855</v>
      </c>
      <c r="N22" s="53">
        <f t="shared" si="20"/>
        <v>13656.868480646552</v>
      </c>
      <c r="O22" s="53">
        <f t="shared" si="20"/>
        <v>13687.422863760248</v>
      </c>
      <c r="P22" s="53">
        <f t="shared" si="20"/>
        <v>13718.04560590726</v>
      </c>
      <c r="Q22" s="53">
        <f t="shared" si="20"/>
        <v>13748.736860026611</v>
      </c>
      <c r="R22" s="53">
        <f t="shared" si="20"/>
        <v>13779.496779399487</v>
      </c>
      <c r="S22" s="53">
        <f t="shared" si="20"/>
        <v>13810.325517650019</v>
      </c>
      <c r="T22" s="53">
        <f t="shared" si="20"/>
        <v>13841.223228746025</v>
      </c>
      <c r="U22" s="53">
        <f t="shared" si="20"/>
        <v>13872.190066999799</v>
      </c>
      <c r="V22" s="53">
        <f t="shared" si="20"/>
        <v>13903.226187068893</v>
      </c>
      <c r="W22" s="53">
        <f t="shared" si="20"/>
        <v>13934.331743956849</v>
      </c>
      <c r="X22" s="53">
        <f t="shared" si="20"/>
        <v>13965.506893014017</v>
      </c>
      <c r="Y22" s="53">
        <f t="shared" si="20"/>
        <v>13996.751789938286</v>
      </c>
      <c r="Z22" s="53">
        <f t="shared" si="20"/>
        <v>14028.066590775916</v>
      </c>
      <c r="AA22" s="53">
        <f t="shared" si="20"/>
        <v>14059.451451922261</v>
      </c>
      <c r="AB22" s="53">
        <f t="shared" si="20"/>
        <v>14090.906530122595</v>
      </c>
      <c r="AC22" s="53">
        <f t="shared" si="20"/>
        <v>14122.431982472877</v>
      </c>
      <c r="AD22" s="53">
        <f t="shared" si="20"/>
        <v>14154.027966420523</v>
      </c>
      <c r="AE22" s="53">
        <f t="shared" si="20"/>
        <v>14185.69463976521</v>
      </c>
      <c r="AF22" s="53">
        <f t="shared" si="20"/>
        <v>14217.432160659662</v>
      </c>
      <c r="AG22" s="53">
        <f t="shared" si="20"/>
        <v>14249.240687610436</v>
      </c>
      <c r="AH22" s="53">
        <f t="shared" si="20"/>
        <v>14281.120379478709</v>
      </c>
      <c r="AI22" s="53">
        <f t="shared" si="20"/>
        <v>14313.071395481078</v>
      </c>
      <c r="AJ22" s="53">
        <f t="shared" si="20"/>
        <v>14345.093895190366</v>
      </c>
      <c r="AK22" s="53">
        <f t="shared" si="20"/>
        <v>14377.188038536387</v>
      </c>
      <c r="AL22" s="53">
        <f t="shared" si="20"/>
        <v>14409.353985806771</v>
      </c>
      <c r="AM22" s="53">
        <f t="shared" si="20"/>
        <v>14441.591897647777</v>
      </c>
      <c r="AN22" s="53">
        <f t="shared" si="20"/>
        <v>14473.901935065041</v>
      </c>
      <c r="AO22" s="53">
        <f t="shared" si="20"/>
        <v>14506.284259424448</v>
      </c>
      <c r="AP22" s="53">
        <f t="shared" si="20"/>
        <v>14538.739032452891</v>
      </c>
      <c r="AQ22" s="53">
        <f t="shared" si="20"/>
        <v>14571.266416239092</v>
      </c>
    </row>
    <row r="23" spans="1:43" s="16" customFormat="1" hidden="1" outlineLevel="6">
      <c r="A23" s="53"/>
      <c r="B23" s="53"/>
      <c r="C23" s="53"/>
      <c r="D23" s="53"/>
      <c r="E23" s="53"/>
      <c r="F23" s="53"/>
      <c r="G23" s="53" t="s">
        <v>71</v>
      </c>
      <c r="H23" s="53">
        <f t="shared" ref="H23:AQ23" si="21">H8</f>
        <v>145833</v>
      </c>
      <c r="I23" s="53">
        <f t="shared" si="21"/>
        <v>146049.96530187438</v>
      </c>
      <c r="J23" s="53">
        <f t="shared" si="21"/>
        <v>146267.2533972332</v>
      </c>
      <c r="K23" s="53">
        <f t="shared" si="21"/>
        <v>146484.86476631745</v>
      </c>
      <c r="L23" s="53">
        <f t="shared" si="21"/>
        <v>146702.79989008268</v>
      </c>
      <c r="M23" s="53">
        <f t="shared" si="21"/>
        <v>146921.05925019985</v>
      </c>
      <c r="N23" s="53">
        <f t="shared" si="21"/>
        <v>147139.64332905665</v>
      </c>
      <c r="O23" s="53">
        <f t="shared" si="21"/>
        <v>147358.55260975836</v>
      </c>
      <c r="P23" s="53">
        <f t="shared" si="21"/>
        <v>147577.78757612914</v>
      </c>
      <c r="Q23" s="53">
        <f t="shared" si="21"/>
        <v>147797.34871271279</v>
      </c>
      <c r="R23" s="53">
        <f t="shared" si="21"/>
        <v>148017.23650477419</v>
      </c>
      <c r="S23" s="53">
        <f t="shared" si="21"/>
        <v>148237.45143829999</v>
      </c>
      <c r="T23" s="53">
        <f t="shared" si="21"/>
        <v>148457.99400000001</v>
      </c>
      <c r="U23" s="53">
        <f t="shared" si="21"/>
        <v>148678.8646773081</v>
      </c>
      <c r="V23" s="53">
        <f t="shared" si="21"/>
        <v>148900.0639583834</v>
      </c>
      <c r="W23" s="53">
        <f t="shared" si="21"/>
        <v>149121.59233211118</v>
      </c>
      <c r="X23" s="53">
        <f t="shared" si="21"/>
        <v>149343.45028810418</v>
      </c>
      <c r="Y23" s="53">
        <f t="shared" si="21"/>
        <v>149565.63831670344</v>
      </c>
      <c r="Z23" s="53">
        <f t="shared" si="21"/>
        <v>149788.15690897967</v>
      </c>
      <c r="AA23" s="53">
        <f t="shared" si="21"/>
        <v>150011.00655673404</v>
      </c>
      <c r="AB23" s="53">
        <f t="shared" si="21"/>
        <v>150234.18775249945</v>
      </c>
      <c r="AC23" s="53">
        <f t="shared" si="21"/>
        <v>150457.70098954163</v>
      </c>
      <c r="AD23" s="53">
        <f t="shared" si="21"/>
        <v>150681.54676186011</v>
      </c>
      <c r="AE23" s="53">
        <f t="shared" si="21"/>
        <v>150905.72556418937</v>
      </c>
      <c r="AF23" s="53">
        <f t="shared" si="21"/>
        <v>151130.237892</v>
      </c>
      <c r="AG23" s="53">
        <f t="shared" si="21"/>
        <v>151355.08424149966</v>
      </c>
      <c r="AH23" s="53">
        <f t="shared" si="21"/>
        <v>151580.26510963429</v>
      </c>
      <c r="AI23" s="53">
        <f t="shared" si="21"/>
        <v>151805.78099408917</v>
      </c>
      <c r="AJ23" s="53">
        <f t="shared" si="21"/>
        <v>152031.63239329006</v>
      </c>
      <c r="AK23" s="53">
        <f t="shared" si="21"/>
        <v>152257.81980640409</v>
      </c>
      <c r="AL23" s="53">
        <f t="shared" si="21"/>
        <v>152484.34373334129</v>
      </c>
      <c r="AM23" s="53">
        <f t="shared" si="21"/>
        <v>152711.20467475525</v>
      </c>
      <c r="AN23" s="53">
        <f t="shared" si="21"/>
        <v>152938.40313204445</v>
      </c>
      <c r="AO23" s="53">
        <f t="shared" si="21"/>
        <v>153165.93960735339</v>
      </c>
      <c r="AP23" s="53">
        <f t="shared" si="21"/>
        <v>153393.81460357361</v>
      </c>
      <c r="AQ23" s="53">
        <f t="shared" si="21"/>
        <v>153622.02862434482</v>
      </c>
    </row>
    <row r="24" spans="1:43" s="16" customFormat="1" hidden="1" outlineLevel="6">
      <c r="A24" s="53"/>
      <c r="B24" s="53"/>
      <c r="C24" s="53"/>
      <c r="D24" s="53"/>
      <c r="E24" s="53"/>
      <c r="F24" s="53"/>
      <c r="G24" s="53" t="s">
        <v>339</v>
      </c>
      <c r="H24" s="53">
        <f t="shared" ref="H24:AQ24" si="22">western_regional_opportunity_weight_positive*(1+western_regional_opportunity_weight_positive_growth)^((COLUMN()-8)/12)</f>
        <v>0.25</v>
      </c>
      <c r="I24" s="53">
        <f t="shared" si="22"/>
        <v>0.25</v>
      </c>
      <c r="J24" s="53">
        <f t="shared" si="22"/>
        <v>0.25</v>
      </c>
      <c r="K24" s="53">
        <f t="shared" si="22"/>
        <v>0.25</v>
      </c>
      <c r="L24" s="53">
        <f t="shared" si="22"/>
        <v>0.25</v>
      </c>
      <c r="M24" s="53">
        <f t="shared" si="22"/>
        <v>0.25</v>
      </c>
      <c r="N24" s="53">
        <f t="shared" si="22"/>
        <v>0.25</v>
      </c>
      <c r="O24" s="53">
        <f t="shared" si="22"/>
        <v>0.25</v>
      </c>
      <c r="P24" s="53">
        <f t="shared" si="22"/>
        <v>0.25</v>
      </c>
      <c r="Q24" s="53">
        <f t="shared" si="22"/>
        <v>0.25</v>
      </c>
      <c r="R24" s="53">
        <f t="shared" si="22"/>
        <v>0.25</v>
      </c>
      <c r="S24" s="53">
        <f t="shared" si="22"/>
        <v>0.25</v>
      </c>
      <c r="T24" s="53">
        <f t="shared" si="22"/>
        <v>0.25</v>
      </c>
      <c r="U24" s="53">
        <f t="shared" si="22"/>
        <v>0.25</v>
      </c>
      <c r="V24" s="53">
        <f t="shared" si="22"/>
        <v>0.25</v>
      </c>
      <c r="W24" s="53">
        <f t="shared" si="22"/>
        <v>0.25</v>
      </c>
      <c r="X24" s="53">
        <f t="shared" si="22"/>
        <v>0.25</v>
      </c>
      <c r="Y24" s="53">
        <f t="shared" si="22"/>
        <v>0.25</v>
      </c>
      <c r="Z24" s="53">
        <f t="shared" si="22"/>
        <v>0.25</v>
      </c>
      <c r="AA24" s="53">
        <f t="shared" si="22"/>
        <v>0.25</v>
      </c>
      <c r="AB24" s="53">
        <f t="shared" si="22"/>
        <v>0.25</v>
      </c>
      <c r="AC24" s="53">
        <f t="shared" si="22"/>
        <v>0.25</v>
      </c>
      <c r="AD24" s="53">
        <f t="shared" si="22"/>
        <v>0.25</v>
      </c>
      <c r="AE24" s="53">
        <f t="shared" si="22"/>
        <v>0.25</v>
      </c>
      <c r="AF24" s="53">
        <f t="shared" si="22"/>
        <v>0.25</v>
      </c>
      <c r="AG24" s="53">
        <f t="shared" si="22"/>
        <v>0.25</v>
      </c>
      <c r="AH24" s="53">
        <f t="shared" si="22"/>
        <v>0.25</v>
      </c>
      <c r="AI24" s="53">
        <f t="shared" si="22"/>
        <v>0.25</v>
      </c>
      <c r="AJ24" s="53">
        <f t="shared" si="22"/>
        <v>0.25</v>
      </c>
      <c r="AK24" s="53">
        <f t="shared" si="22"/>
        <v>0.25</v>
      </c>
      <c r="AL24" s="53">
        <f t="shared" si="22"/>
        <v>0.25</v>
      </c>
      <c r="AM24" s="53">
        <f t="shared" si="22"/>
        <v>0.25</v>
      </c>
      <c r="AN24" s="53">
        <f t="shared" si="22"/>
        <v>0.25</v>
      </c>
      <c r="AO24" s="53">
        <f t="shared" si="22"/>
        <v>0.25</v>
      </c>
      <c r="AP24" s="53">
        <f t="shared" si="22"/>
        <v>0.25</v>
      </c>
      <c r="AQ24" s="53">
        <f t="shared" si="22"/>
        <v>0.25</v>
      </c>
    </row>
    <row r="25" spans="1:43" s="16" customFormat="1" hidden="1" outlineLevel="6">
      <c r="A25" s="53"/>
      <c r="B25" s="53"/>
      <c r="C25" s="53"/>
      <c r="D25" s="53"/>
      <c r="E25" s="53"/>
      <c r="F25" s="53"/>
      <c r="G25" s="53" t="s">
        <v>340</v>
      </c>
      <c r="H25" s="53">
        <f t="shared" ref="H25:AQ25" si="23">western_anc_access_rate_positive*(1+western_anc_access_rate_positive_growth)^((COLUMN()-8)/12)</f>
        <v>0.66</v>
      </c>
      <c r="I25" s="53">
        <f t="shared" si="23"/>
        <v>0.66016477355889469</v>
      </c>
      <c r="J25" s="53">
        <f t="shared" si="23"/>
        <v>0.66032958825464672</v>
      </c>
      <c r="K25" s="53">
        <f t="shared" si="23"/>
        <v>0.66049444409752578</v>
      </c>
      <c r="L25" s="53">
        <f t="shared" si="23"/>
        <v>0.66065934109780478</v>
      </c>
      <c r="M25" s="53">
        <f t="shared" si="23"/>
        <v>0.66082427926575893</v>
      </c>
      <c r="N25" s="53">
        <f t="shared" si="23"/>
        <v>0.66098925861166602</v>
      </c>
      <c r="O25" s="53">
        <f t="shared" si="23"/>
        <v>0.66115427914580638</v>
      </c>
      <c r="P25" s="53">
        <f t="shared" si="23"/>
        <v>0.661319340878463</v>
      </c>
      <c r="Q25" s="53">
        <f t="shared" si="23"/>
        <v>0.66148444381992133</v>
      </c>
      <c r="R25" s="53">
        <f t="shared" si="23"/>
        <v>0.66164958798046936</v>
      </c>
      <c r="S25" s="53">
        <f t="shared" si="23"/>
        <v>0.66181477337039796</v>
      </c>
      <c r="T25" s="53">
        <f t="shared" si="23"/>
        <v>0.66198000000000001</v>
      </c>
      <c r="U25" s="53">
        <f t="shared" si="23"/>
        <v>0.6621452678795714</v>
      </c>
      <c r="V25" s="53">
        <f t="shared" si="23"/>
        <v>0.66231057701941054</v>
      </c>
      <c r="W25" s="53">
        <f t="shared" si="23"/>
        <v>0.6624759274298182</v>
      </c>
      <c r="X25" s="53">
        <f t="shared" si="23"/>
        <v>0.66264131912109825</v>
      </c>
      <c r="Y25" s="53">
        <f t="shared" si="23"/>
        <v>0.66280675210355622</v>
      </c>
      <c r="Z25" s="53">
        <f t="shared" si="23"/>
        <v>0.66297222638750108</v>
      </c>
      <c r="AA25" s="53">
        <f t="shared" si="23"/>
        <v>0.66313774198324393</v>
      </c>
      <c r="AB25" s="53">
        <f t="shared" si="23"/>
        <v>0.6633032989010984</v>
      </c>
      <c r="AC25" s="53">
        <f t="shared" si="23"/>
        <v>0.66346889715138102</v>
      </c>
      <c r="AD25" s="53">
        <f t="shared" si="23"/>
        <v>0.66363453674441075</v>
      </c>
      <c r="AE25" s="53">
        <f t="shared" si="23"/>
        <v>0.66380021769050901</v>
      </c>
      <c r="AF25" s="53">
        <f t="shared" si="23"/>
        <v>0.66396593999999987</v>
      </c>
      <c r="AG25" s="53">
        <f t="shared" si="23"/>
        <v>0.66413170368321006</v>
      </c>
      <c r="AH25" s="53">
        <f t="shared" si="23"/>
        <v>0.66429750875046867</v>
      </c>
      <c r="AI25" s="53">
        <f t="shared" si="23"/>
        <v>0.66446335521210764</v>
      </c>
      <c r="AJ25" s="53">
        <f t="shared" si="23"/>
        <v>0.66462924307846138</v>
      </c>
      <c r="AK25" s="53">
        <f t="shared" si="23"/>
        <v>0.66479517235986685</v>
      </c>
      <c r="AL25" s="53">
        <f t="shared" si="23"/>
        <v>0.66496114306666343</v>
      </c>
      <c r="AM25" s="53">
        <f t="shared" si="23"/>
        <v>0.66512715520919352</v>
      </c>
      <c r="AN25" s="53">
        <f t="shared" si="23"/>
        <v>0.66529320879780163</v>
      </c>
      <c r="AO25" s="53">
        <f t="shared" si="23"/>
        <v>0.66545930384283514</v>
      </c>
      <c r="AP25" s="53">
        <f t="shared" si="23"/>
        <v>0.66562544035464388</v>
      </c>
      <c r="AQ25" s="53">
        <f t="shared" si="23"/>
        <v>0.66579161834358047</v>
      </c>
    </row>
    <row r="26" spans="1:43" s="16" customFormat="1" hidden="1" outlineLevel="6">
      <c r="A26" s="53"/>
      <c r="B26" s="53"/>
      <c r="C26" s="53"/>
      <c r="D26" s="53"/>
      <c r="E26" s="53"/>
      <c r="F26" s="53"/>
      <c r="G26" s="53" t="s">
        <v>341</v>
      </c>
      <c r="H26" s="53">
        <f t="shared" ref="H26:AQ26" si="24">western_third_trimester_window_rate_positive*(1+western_third_trimester_window_rate_positive_growth)^((COLUMN()-8)/12)</f>
        <v>0.56000000000000005</v>
      </c>
      <c r="I26" s="53">
        <f t="shared" si="24"/>
        <v>0.56027923293881354</v>
      </c>
      <c r="J26" s="53">
        <f t="shared" si="24"/>
        <v>0.56055860511161659</v>
      </c>
      <c r="K26" s="53">
        <f t="shared" si="24"/>
        <v>0.56083811658783544</v>
      </c>
      <c r="L26" s="53">
        <f t="shared" si="24"/>
        <v>0.56111776743693087</v>
      </c>
      <c r="M26" s="53">
        <f t="shared" si="24"/>
        <v>0.5613975577283985</v>
      </c>
      <c r="N26" s="53">
        <f t="shared" si="24"/>
        <v>0.5616774875317686</v>
      </c>
      <c r="O26" s="53">
        <f t="shared" si="24"/>
        <v>0.56195755691660598</v>
      </c>
      <c r="P26" s="53">
        <f t="shared" si="24"/>
        <v>0.56223776595250996</v>
      </c>
      <c r="Q26" s="53">
        <f t="shared" si="24"/>
        <v>0.56251811470911517</v>
      </c>
      <c r="R26" s="53">
        <f t="shared" si="24"/>
        <v>0.56279860325609021</v>
      </c>
      <c r="S26" s="53">
        <f t="shared" si="24"/>
        <v>0.563079231663139</v>
      </c>
      <c r="T26" s="53">
        <f t="shared" si="24"/>
        <v>0.56336000000000008</v>
      </c>
      <c r="U26" s="53">
        <f t="shared" si="24"/>
        <v>0.56364090833644642</v>
      </c>
      <c r="V26" s="53">
        <f t="shared" si="24"/>
        <v>0.56392195674228629</v>
      </c>
      <c r="W26" s="53">
        <f t="shared" si="24"/>
        <v>0.56420314528736248</v>
      </c>
      <c r="X26" s="53">
        <f t="shared" si="24"/>
        <v>0.56448447404155244</v>
      </c>
      <c r="Y26" s="53">
        <f t="shared" si="24"/>
        <v>0.56476594307476902</v>
      </c>
      <c r="Z26" s="53">
        <f t="shared" si="24"/>
        <v>0.56504755245695926</v>
      </c>
      <c r="AA26" s="53">
        <f t="shared" si="24"/>
        <v>0.56532930225810551</v>
      </c>
      <c r="AB26" s="53">
        <f t="shared" si="24"/>
        <v>0.56561119254822501</v>
      </c>
      <c r="AC26" s="53">
        <f t="shared" si="24"/>
        <v>0.56589322339736992</v>
      </c>
      <c r="AD26" s="53">
        <f t="shared" si="24"/>
        <v>0.56617539487562685</v>
      </c>
      <c r="AE26" s="53">
        <f t="shared" si="24"/>
        <v>0.56645770705311793</v>
      </c>
      <c r="AF26" s="53">
        <f t="shared" si="24"/>
        <v>0.56674016000000005</v>
      </c>
      <c r="AG26" s="53">
        <f t="shared" si="24"/>
        <v>0.56702275378646516</v>
      </c>
      <c r="AH26" s="53">
        <f t="shared" si="24"/>
        <v>0.56730548848274009</v>
      </c>
      <c r="AI26" s="53">
        <f t="shared" si="24"/>
        <v>0.56758836415908653</v>
      </c>
      <c r="AJ26" s="53">
        <f t="shared" si="24"/>
        <v>0.5678713808858018</v>
      </c>
      <c r="AK26" s="53">
        <f t="shared" si="24"/>
        <v>0.56815453873321764</v>
      </c>
      <c r="AL26" s="53">
        <f t="shared" si="24"/>
        <v>0.56843783777170087</v>
      </c>
      <c r="AM26" s="53">
        <f t="shared" si="24"/>
        <v>0.56872127807165418</v>
      </c>
      <c r="AN26" s="53">
        <f t="shared" si="24"/>
        <v>0.56900485970351433</v>
      </c>
      <c r="AO26" s="53">
        <f t="shared" si="24"/>
        <v>0.56928858273775396</v>
      </c>
      <c r="AP26" s="53">
        <f t="shared" si="24"/>
        <v>0.56957244724488054</v>
      </c>
      <c r="AQ26" s="53">
        <f t="shared" si="24"/>
        <v>0.56985645329543655</v>
      </c>
    </row>
    <row r="27" spans="1:43" s="16" customFormat="1" hidden="1" outlineLevel="5">
      <c r="A27" s="53"/>
      <c r="B27" s="53"/>
      <c r="C27" s="53"/>
      <c r="D27" s="53"/>
      <c r="E27" s="53"/>
      <c r="F27" s="53" t="s">
        <v>342</v>
      </c>
      <c r="G27" s="53"/>
      <c r="H27" s="53">
        <f t="shared" ref="H27:AQ27" si="25">western_public_eligibility_rate_positive*(1+western_public_eligibility_rate_positive_growth)^((COLUMN()-8)/12)</f>
        <v>0.27500000000000002</v>
      </c>
      <c r="I27" s="53">
        <f t="shared" si="25"/>
        <v>0.27719288861794855</v>
      </c>
      <c r="J27" s="53">
        <f t="shared" si="25"/>
        <v>0.27940326363768153</v>
      </c>
      <c r="K27" s="53">
        <f t="shared" si="25"/>
        <v>0.28163126449822246</v>
      </c>
      <c r="L27" s="53">
        <f t="shared" si="25"/>
        <v>0.283877031750501</v>
      </c>
      <c r="M27" s="53">
        <f t="shared" si="25"/>
        <v>0.28614070706621986</v>
      </c>
      <c r="N27" s="53">
        <f t="shared" si="25"/>
        <v>0.28842243324679173</v>
      </c>
      <c r="O27" s="53">
        <f t="shared" si="25"/>
        <v>0.29072235423234777</v>
      </c>
      <c r="P27" s="53">
        <f t="shared" si="25"/>
        <v>0.29304061511081797</v>
      </c>
      <c r="Q27" s="53">
        <f t="shared" si="25"/>
        <v>0.29537736212708399</v>
      </c>
      <c r="R27" s="53">
        <f t="shared" si="25"/>
        <v>0.29773274269220451</v>
      </c>
      <c r="S27" s="53">
        <f t="shared" si="25"/>
        <v>0.30010690539271484</v>
      </c>
      <c r="T27" s="53">
        <f t="shared" si="25"/>
        <v>0.30250000000000005</v>
      </c>
      <c r="U27" s="53">
        <f t="shared" si="25"/>
        <v>0.30491217747974342</v>
      </c>
      <c r="V27" s="53">
        <f t="shared" si="25"/>
        <v>0.30734359000144973</v>
      </c>
      <c r="W27" s="53">
        <f t="shared" si="25"/>
        <v>0.30979439094804473</v>
      </c>
      <c r="X27" s="53">
        <f t="shared" si="25"/>
        <v>0.31226473492555112</v>
      </c>
      <c r="Y27" s="53">
        <f t="shared" si="25"/>
        <v>0.31475477777284189</v>
      </c>
      <c r="Z27" s="53">
        <f t="shared" si="25"/>
        <v>0.31726467657147095</v>
      </c>
      <c r="AA27" s="53">
        <f t="shared" si="25"/>
        <v>0.31979458965558255</v>
      </c>
      <c r="AB27" s="53">
        <f t="shared" si="25"/>
        <v>0.32234467662189981</v>
      </c>
      <c r="AC27" s="53">
        <f t="shared" si="25"/>
        <v>0.32491509833979243</v>
      </c>
      <c r="AD27" s="53">
        <f t="shared" si="25"/>
        <v>0.32750601696142501</v>
      </c>
      <c r="AE27" s="53">
        <f t="shared" si="25"/>
        <v>0.33011759593198631</v>
      </c>
      <c r="AF27" s="53">
        <f t="shared" si="25"/>
        <v>0.3327500000000001</v>
      </c>
      <c r="AG27" s="53">
        <f t="shared" si="25"/>
        <v>0.33540339522771778</v>
      </c>
      <c r="AH27" s="53">
        <f t="shared" si="25"/>
        <v>0.33807794900159471</v>
      </c>
      <c r="AI27" s="53">
        <f t="shared" si="25"/>
        <v>0.34077383004284922</v>
      </c>
      <c r="AJ27" s="53">
        <f t="shared" si="25"/>
        <v>0.34349120841810626</v>
      </c>
      <c r="AK27" s="53">
        <f t="shared" si="25"/>
        <v>0.3462302555501261</v>
      </c>
      <c r="AL27" s="53">
        <f t="shared" si="25"/>
        <v>0.34899114422861799</v>
      </c>
      <c r="AM27" s="53">
        <f t="shared" si="25"/>
        <v>0.35177404862114081</v>
      </c>
      <c r="AN27" s="53">
        <f t="shared" si="25"/>
        <v>0.35457914428408982</v>
      </c>
      <c r="AO27" s="53">
        <f t="shared" si="25"/>
        <v>0.35740660817377162</v>
      </c>
      <c r="AP27" s="53">
        <f t="shared" si="25"/>
        <v>0.36025661865756747</v>
      </c>
      <c r="AQ27" s="53">
        <f t="shared" si="25"/>
        <v>0.36312935552518499</v>
      </c>
    </row>
    <row r="28" spans="1:43" s="16" customFormat="1" hidden="1" outlineLevel="5">
      <c r="A28" s="53"/>
      <c r="B28" s="53"/>
      <c r="C28" s="53"/>
      <c r="D28" s="53"/>
      <c r="E28" s="53"/>
      <c r="F28" s="53" t="s">
        <v>343</v>
      </c>
      <c r="G28" s="53"/>
      <c r="H28" s="53">
        <f t="shared" ref="H28:AQ28" si="26">western_public_provider_recommendation_rate_positive*(1+western_public_provider_recommendation_rate_positive_growth)^((COLUMN()-8)/12)</f>
        <v>0.54880000000000007</v>
      </c>
      <c r="I28" s="53">
        <f t="shared" si="26"/>
        <v>0.55103587913246632</v>
      </c>
      <c r="J28" s="53">
        <f t="shared" si="26"/>
        <v>0.55328086751328331</v>
      </c>
      <c r="K28" s="53">
        <f t="shared" si="26"/>
        <v>0.55553500225465691</v>
      </c>
      <c r="L28" s="53">
        <f t="shared" si="26"/>
        <v>0.55779832061999168</v>
      </c>
      <c r="M28" s="53">
        <f t="shared" si="26"/>
        <v>0.56007086002450857</v>
      </c>
      <c r="N28" s="53">
        <f t="shared" si="26"/>
        <v>0.56235265803586287</v>
      </c>
      <c r="O28" s="53">
        <f t="shared" si="26"/>
        <v>0.56464375237476461</v>
      </c>
      <c r="P28" s="53">
        <f t="shared" si="26"/>
        <v>0.56694418091560306</v>
      </c>
      <c r="Q28" s="53">
        <f t="shared" si="26"/>
        <v>0.56925398168707231</v>
      </c>
      <c r="R28" s="53">
        <f t="shared" si="26"/>
        <v>0.57157319287280017</v>
      </c>
      <c r="S28" s="53">
        <f t="shared" si="26"/>
        <v>0.57390185281197903</v>
      </c>
      <c r="T28" s="53">
        <f t="shared" si="26"/>
        <v>0.57624000000000009</v>
      </c>
      <c r="U28" s="53">
        <f t="shared" si="26"/>
        <v>0.57858767308908965</v>
      </c>
      <c r="V28" s="53">
        <f t="shared" si="26"/>
        <v>0.58094491088894751</v>
      </c>
      <c r="W28" s="53">
        <f t="shared" si="26"/>
        <v>0.58331175236738975</v>
      </c>
      <c r="X28" s="53">
        <f t="shared" si="26"/>
        <v>0.58568823665099123</v>
      </c>
      <c r="Y28" s="53">
        <f t="shared" si="26"/>
        <v>0.5880744030257341</v>
      </c>
      <c r="Z28" s="53">
        <f t="shared" si="26"/>
        <v>0.59047029093765602</v>
      </c>
      <c r="AA28" s="53">
        <f t="shared" si="26"/>
        <v>0.59287593999350285</v>
      </c>
      <c r="AB28" s="53">
        <f t="shared" si="26"/>
        <v>0.5952913899613832</v>
      </c>
      <c r="AC28" s="53">
        <f t="shared" si="26"/>
        <v>0.59771668077142592</v>
      </c>
      <c r="AD28" s="53">
        <f t="shared" si="26"/>
        <v>0.60015185251644021</v>
      </c>
      <c r="AE28" s="53">
        <f t="shared" si="26"/>
        <v>0.60259694545257803</v>
      </c>
      <c r="AF28" s="53">
        <f t="shared" si="26"/>
        <v>0.60505200000000015</v>
      </c>
      <c r="AG28" s="53">
        <f t="shared" si="26"/>
        <v>0.60751705674354417</v>
      </c>
      <c r="AH28" s="53">
        <f t="shared" si="26"/>
        <v>0.60999215643339499</v>
      </c>
      <c r="AI28" s="53">
        <f t="shared" si="26"/>
        <v>0.61247733998575926</v>
      </c>
      <c r="AJ28" s="53">
        <f t="shared" si="26"/>
        <v>0.61497264848354083</v>
      </c>
      <c r="AK28" s="53">
        <f t="shared" si="26"/>
        <v>0.61747812317702078</v>
      </c>
      <c r="AL28" s="53">
        <f t="shared" si="26"/>
        <v>0.61999380548453886</v>
      </c>
      <c r="AM28" s="53">
        <f t="shared" si="26"/>
        <v>0.62251973699317809</v>
      </c>
      <c r="AN28" s="53">
        <f t="shared" si="26"/>
        <v>0.62505595945945236</v>
      </c>
      <c r="AO28" s="53">
        <f t="shared" si="26"/>
        <v>0.62760251480999729</v>
      </c>
      <c r="AP28" s="53">
        <f t="shared" si="26"/>
        <v>0.63015944514226219</v>
      </c>
      <c r="AQ28" s="53">
        <f t="shared" si="26"/>
        <v>0.63272679272520682</v>
      </c>
    </row>
    <row r="29" spans="1:43" s="16" customFormat="1" hidden="1" outlineLevel="5">
      <c r="A29" s="53"/>
      <c r="B29" s="53"/>
      <c r="C29" s="53"/>
      <c r="D29" s="53"/>
      <c r="E29" s="53"/>
      <c r="F29" s="53" t="s">
        <v>344</v>
      </c>
      <c r="G29" s="53"/>
      <c r="H29" s="53">
        <f t="shared" ref="H29:AQ29" si="27">western_public_acceptance_rate_positive*(1+western_public_acceptance_rate_positive_growth)^((COLUMN()-8)/12)</f>
        <v>0.81900000000000006</v>
      </c>
      <c r="I29" s="53">
        <f t="shared" si="27"/>
        <v>0.82068700590500132</v>
      </c>
      <c r="J29" s="53">
        <f t="shared" si="27"/>
        <v>0.82237748676595324</v>
      </c>
      <c r="K29" s="53">
        <f t="shared" si="27"/>
        <v>0.82407144974069602</v>
      </c>
      <c r="L29" s="53">
        <f t="shared" si="27"/>
        <v>0.82576890200181374</v>
      </c>
      <c r="M29" s="53">
        <f t="shared" si="27"/>
        <v>0.82746985073666546</v>
      </c>
      <c r="N29" s="53">
        <f t="shared" si="27"/>
        <v>0.82917430314741414</v>
      </c>
      <c r="O29" s="53">
        <f t="shared" si="27"/>
        <v>0.830882266451059</v>
      </c>
      <c r="P29" s="53">
        <f t="shared" si="27"/>
        <v>0.83259374787946405</v>
      </c>
      <c r="Q29" s="53">
        <f t="shared" si="27"/>
        <v>0.83430875467939059</v>
      </c>
      <c r="R29" s="53">
        <f t="shared" si="27"/>
        <v>0.83602729411252663</v>
      </c>
      <c r="S29" s="53">
        <f t="shared" si="27"/>
        <v>0.83774937345551825</v>
      </c>
      <c r="T29" s="53">
        <f t="shared" si="27"/>
        <v>0.83947499999999997</v>
      </c>
      <c r="U29" s="53">
        <f t="shared" si="27"/>
        <v>0.84120418105262629</v>
      </c>
      <c r="V29" s="53">
        <f t="shared" si="27"/>
        <v>0.84293692393510189</v>
      </c>
      <c r="W29" s="53">
        <f t="shared" si="27"/>
        <v>0.84467323598421329</v>
      </c>
      <c r="X29" s="53">
        <f t="shared" si="27"/>
        <v>0.84641312455185902</v>
      </c>
      <c r="Y29" s="53">
        <f t="shared" si="27"/>
        <v>0.84815659700508206</v>
      </c>
      <c r="Z29" s="53">
        <f t="shared" si="27"/>
        <v>0.84990366072609946</v>
      </c>
      <c r="AA29" s="53">
        <f t="shared" si="27"/>
        <v>0.85165432311233535</v>
      </c>
      <c r="AB29" s="53">
        <f t="shared" si="27"/>
        <v>0.85340859157645066</v>
      </c>
      <c r="AC29" s="53">
        <f t="shared" si="27"/>
        <v>0.85516647354637532</v>
      </c>
      <c r="AD29" s="53">
        <f t="shared" si="27"/>
        <v>0.8569279764653398</v>
      </c>
      <c r="AE29" s="53">
        <f t="shared" si="27"/>
        <v>0.85869310779190611</v>
      </c>
      <c r="AF29" s="53">
        <f t="shared" si="27"/>
        <v>0.86046187500000004</v>
      </c>
      <c r="AG29" s="53">
        <f t="shared" si="27"/>
        <v>0.86223428557894188</v>
      </c>
      <c r="AH29" s="53">
        <f t="shared" si="27"/>
        <v>0.86401034703347934</v>
      </c>
      <c r="AI29" s="53">
        <f t="shared" si="27"/>
        <v>0.86579006688381854</v>
      </c>
      <c r="AJ29" s="53">
        <f t="shared" si="27"/>
        <v>0.86757345266565544</v>
      </c>
      <c r="AK29" s="53">
        <f t="shared" si="27"/>
        <v>0.86936051193020902</v>
      </c>
      <c r="AL29" s="53">
        <f t="shared" si="27"/>
        <v>0.87115125224425194</v>
      </c>
      <c r="AM29" s="53">
        <f t="shared" si="27"/>
        <v>0.87294568119014371</v>
      </c>
      <c r="AN29" s="53">
        <f t="shared" si="27"/>
        <v>0.8747438063658618</v>
      </c>
      <c r="AO29" s="53">
        <f t="shared" si="27"/>
        <v>0.8765456353850346</v>
      </c>
      <c r="AP29" s="53">
        <f t="shared" si="27"/>
        <v>0.8783511758769732</v>
      </c>
      <c r="AQ29" s="53">
        <f t="shared" si="27"/>
        <v>0.88016043548670364</v>
      </c>
    </row>
    <row r="30" spans="1:43" s="16" customFormat="1" hidden="1" outlineLevel="5">
      <c r="A30" s="53"/>
      <c r="B30" s="53"/>
      <c r="C30" s="53"/>
      <c r="D30" s="53"/>
      <c r="E30" s="53"/>
      <c r="F30" s="53" t="s">
        <v>345</v>
      </c>
      <c r="G30" s="53"/>
      <c r="H30" s="53">
        <f t="shared" ref="H30:AQ30" si="28">western_public_stock_availability_rate_positive*(1+western_public_stock_availability_rate_positive_growth)^((COLUMN()-8)/12)</f>
        <v>0.91160000000000008</v>
      </c>
      <c r="I30" s="53">
        <f t="shared" si="28"/>
        <v>0.91310558151483057</v>
      </c>
      <c r="J30" s="53">
        <f t="shared" si="28"/>
        <v>0.91461364961993941</v>
      </c>
      <c r="K30" s="53">
        <f t="shared" si="28"/>
        <v>0.91612420842213271</v>
      </c>
      <c r="L30" s="53">
        <f t="shared" si="28"/>
        <v>0.91763726203499907</v>
      </c>
      <c r="M30" s="53">
        <f t="shared" si="28"/>
        <v>0.91915281457892117</v>
      </c>
      <c r="N30" s="53">
        <f t="shared" si="28"/>
        <v>0.92067087018108718</v>
      </c>
      <c r="O30" s="53">
        <f t="shared" si="28"/>
        <v>0.92219143297550088</v>
      </c>
      <c r="P30" s="53">
        <f t="shared" si="28"/>
        <v>0.92371450710299408</v>
      </c>
      <c r="Q30" s="53">
        <f t="shared" si="28"/>
        <v>0.92524009671123786</v>
      </c>
      <c r="R30" s="53">
        <f t="shared" si="28"/>
        <v>0.92676820595475295</v>
      </c>
      <c r="S30" s="53">
        <f t="shared" si="28"/>
        <v>0.92829883899492194</v>
      </c>
      <c r="T30" s="53">
        <f t="shared" si="28"/>
        <v>0.9298320000000001</v>
      </c>
      <c r="U30" s="53">
        <f t="shared" si="28"/>
        <v>0.93136769314512713</v>
      </c>
      <c r="V30" s="53">
        <f t="shared" si="28"/>
        <v>0.93290592261233818</v>
      </c>
      <c r="W30" s="53">
        <f t="shared" si="28"/>
        <v>0.93444669259057533</v>
      </c>
      <c r="X30" s="53">
        <f t="shared" si="28"/>
        <v>0.93599000727569903</v>
      </c>
      <c r="Y30" s="53">
        <f t="shared" si="28"/>
        <v>0.93753587087049972</v>
      </c>
      <c r="Z30" s="53">
        <f t="shared" si="28"/>
        <v>0.93908428758470885</v>
      </c>
      <c r="AA30" s="53">
        <f t="shared" si="28"/>
        <v>0.94063526163501088</v>
      </c>
      <c r="AB30" s="53">
        <f t="shared" si="28"/>
        <v>0.942188797245054</v>
      </c>
      <c r="AC30" s="53">
        <f t="shared" si="28"/>
        <v>0.94374489864546252</v>
      </c>
      <c r="AD30" s="53">
        <f t="shared" si="28"/>
        <v>0.94530357007384802</v>
      </c>
      <c r="AE30" s="53">
        <f t="shared" si="28"/>
        <v>0.9468648157748204</v>
      </c>
      <c r="AF30" s="53">
        <f t="shared" si="28"/>
        <v>0.94842864000000004</v>
      </c>
      <c r="AG30" s="53">
        <f t="shared" si="28"/>
        <v>0.94999504700802961</v>
      </c>
      <c r="AH30" s="53">
        <f t="shared" si="28"/>
        <v>0.95156404106458492</v>
      </c>
      <c r="AI30" s="53">
        <f t="shared" si="28"/>
        <v>0.95313562644238681</v>
      </c>
      <c r="AJ30" s="53">
        <f t="shared" si="28"/>
        <v>0.95470980742121303</v>
      </c>
      <c r="AK30" s="53">
        <f t="shared" si="28"/>
        <v>0.9562865882879098</v>
      </c>
      <c r="AL30" s="53">
        <f t="shared" si="28"/>
        <v>0.957865973336403</v>
      </c>
      <c r="AM30" s="53">
        <f t="shared" si="28"/>
        <v>0.95944796686771106</v>
      </c>
      <c r="AN30" s="53">
        <f t="shared" si="28"/>
        <v>0.96103257318995505</v>
      </c>
      <c r="AO30" s="53">
        <f t="shared" si="28"/>
        <v>0.96261979661837183</v>
      </c>
      <c r="AP30" s="53">
        <f t="shared" si="28"/>
        <v>0.96420964147532495</v>
      </c>
      <c r="AQ30" s="53">
        <f t="shared" si="28"/>
        <v>0.96580211209031674</v>
      </c>
    </row>
    <row r="31" spans="1:43" s="16" customFormat="1" hidden="1" outlineLevel="5" collapsed="1">
      <c r="A31" s="53"/>
      <c r="B31" s="53"/>
      <c r="C31" s="53"/>
      <c r="D31" s="53"/>
      <c r="E31" s="53"/>
      <c r="F31" s="53" t="s">
        <v>346</v>
      </c>
      <c r="G31" s="53"/>
      <c r="H31" s="53">
        <f>0.08</f>
        <v>0.08</v>
      </c>
      <c r="I31" s="53">
        <f t="shared" ref="I31:AQ31" si="29">H31+I32-I33</f>
        <v>0.10137955187670743</v>
      </c>
      <c r="J31" s="53">
        <f t="shared" si="29"/>
        <v>0.12283891606226582</v>
      </c>
      <c r="K31" s="53">
        <f t="shared" si="29"/>
        <v>0.14437835384140577</v>
      </c>
      <c r="L31" s="53">
        <f t="shared" si="29"/>
        <v>0.16599812735423608</v>
      </c>
      <c r="M31" s="53">
        <f t="shared" si="29"/>
        <v>0.18769849959904406</v>
      </c>
      <c r="N31" s="53">
        <f t="shared" si="29"/>
        <v>0.20947973443510498</v>
      </c>
      <c r="O31" s="53">
        <f t="shared" si="29"/>
        <v>0.23134209658550073</v>
      </c>
      <c r="P31" s="53">
        <f t="shared" si="29"/>
        <v>0.25328585163994766</v>
      </c>
      <c r="Q31" s="53">
        <f t="shared" si="29"/>
        <v>0.27531126605763379</v>
      </c>
      <c r="R31" s="53">
        <f t="shared" si="29"/>
        <v>0.29741860717006507</v>
      </c>
      <c r="S31" s="53">
        <f t="shared" si="29"/>
        <v>0.31960814318392139</v>
      </c>
      <c r="T31" s="53">
        <f t="shared" si="29"/>
        <v>0.3418801431839214</v>
      </c>
      <c r="U31" s="53">
        <f t="shared" si="29"/>
        <v>0.36423487713569713</v>
      </c>
      <c r="V31" s="53">
        <f t="shared" si="29"/>
        <v>0.38667261588867785</v>
      </c>
      <c r="W31" s="53">
        <f t="shared" si="29"/>
        <v>0.40919363117898339</v>
      </c>
      <c r="X31" s="53">
        <f t="shared" si="29"/>
        <v>0.43179819563232691</v>
      </c>
      <c r="Y31" s="53">
        <f t="shared" si="29"/>
        <v>0.45448658276692722</v>
      </c>
      <c r="Z31" s="53">
        <f t="shared" si="29"/>
        <v>0.47725906699643061</v>
      </c>
      <c r="AA31" s="53">
        <f t="shared" si="29"/>
        <v>0.50011592363284219</v>
      </c>
      <c r="AB31" s="53">
        <f t="shared" si="29"/>
        <v>0.52305742888946705</v>
      </c>
      <c r="AC31" s="53">
        <f t="shared" si="29"/>
        <v>0.54608385988386055</v>
      </c>
      <c r="AD31" s="53">
        <f t="shared" si="29"/>
        <v>0.56919549464078911</v>
      </c>
      <c r="AE31" s="53">
        <f t="shared" si="29"/>
        <v>0.59239261209519967</v>
      </c>
      <c r="AF31" s="53">
        <f t="shared" si="29"/>
        <v>0.61567549209519967</v>
      </c>
      <c r="AG31" s="53">
        <f t="shared" si="29"/>
        <v>0.63904441540504642</v>
      </c>
      <c r="AH31" s="53">
        <f t="shared" si="29"/>
        <v>0.66249966370814639</v>
      </c>
      <c r="AI31" s="53">
        <f t="shared" si="29"/>
        <v>0.6860415196100641</v>
      </c>
      <c r="AJ31" s="53">
        <f t="shared" si="29"/>
        <v>0.70967026664154131</v>
      </c>
      <c r="AK31" s="53">
        <f t="shared" si="29"/>
        <v>0.73338618926152566</v>
      </c>
      <c r="AL31" s="53">
        <f t="shared" si="29"/>
        <v>0.75718957286020916</v>
      </c>
      <c r="AM31" s="53">
        <f t="shared" si="29"/>
        <v>0.78108070376207717</v>
      </c>
      <c r="AN31" s="53">
        <f t="shared" si="29"/>
        <v>0.805059869228967</v>
      </c>
      <c r="AO31" s="53">
        <f t="shared" si="29"/>
        <v>0.82912735746313626</v>
      </c>
      <c r="AP31" s="53">
        <f t="shared" si="29"/>
        <v>0.85328345761034197</v>
      </c>
      <c r="AQ31" s="53">
        <f t="shared" si="29"/>
        <v>0.87752845976292893</v>
      </c>
    </row>
    <row r="32" spans="1:43" s="16" customFormat="1" hidden="1" outlineLevel="6">
      <c r="A32" s="53"/>
      <c r="B32" s="53"/>
      <c r="C32" s="53"/>
      <c r="D32" s="53"/>
      <c r="E32" s="53"/>
      <c r="F32" s="53"/>
      <c r="G32" s="53" t="s">
        <v>116</v>
      </c>
      <c r="H32" s="53">
        <f t="shared" ref="H32:AQ32" si="30">western_public_coverage_additions_positive*(1+western_public_coverage_additions_positive_growth)^((COLUMN()-8)/12)</f>
        <v>2.4299999999999999E-2</v>
      </c>
      <c r="I32" s="53">
        <f t="shared" si="30"/>
        <v>2.4379551876707432E-2</v>
      </c>
      <c r="J32" s="53">
        <f t="shared" si="30"/>
        <v>2.4459364185558392E-2</v>
      </c>
      <c r="K32" s="53">
        <f t="shared" si="30"/>
        <v>2.4539437779139941E-2</v>
      </c>
      <c r="L32" s="53">
        <f t="shared" si="30"/>
        <v>2.4619773512830304E-2</v>
      </c>
      <c r="M32" s="53">
        <f t="shared" si="30"/>
        <v>2.4700372244807985E-2</v>
      </c>
      <c r="N32" s="53">
        <f t="shared" si="30"/>
        <v>2.4781234836060935E-2</v>
      </c>
      <c r="O32" s="53">
        <f t="shared" si="30"/>
        <v>2.4862362150395757E-2</v>
      </c>
      <c r="P32" s="53">
        <f t="shared" si="30"/>
        <v>2.4943755054446941E-2</v>
      </c>
      <c r="Q32" s="53">
        <f t="shared" si="30"/>
        <v>2.5025414417686111E-2</v>
      </c>
      <c r="R32" s="53">
        <f t="shared" si="30"/>
        <v>2.5107341112431306E-2</v>
      </c>
      <c r="S32" s="53">
        <f t="shared" si="30"/>
        <v>2.518953601385631E-2</v>
      </c>
      <c r="T32" s="53">
        <f t="shared" si="30"/>
        <v>2.5271999999999999E-2</v>
      </c>
      <c r="U32" s="53">
        <f t="shared" si="30"/>
        <v>2.5354733951775732E-2</v>
      </c>
      <c r="V32" s="53">
        <f t="shared" si="30"/>
        <v>2.5437738752980724E-2</v>
      </c>
      <c r="W32" s="53">
        <f t="shared" si="30"/>
        <v>2.5521015290305541E-2</v>
      </c>
      <c r="X32" s="53">
        <f t="shared" si="30"/>
        <v>2.5604564453343519E-2</v>
      </c>
      <c r="Y32" s="53">
        <f t="shared" si="30"/>
        <v>2.5688387134600307E-2</v>
      </c>
      <c r="Z32" s="53">
        <f t="shared" si="30"/>
        <v>2.5772484229503373E-2</v>
      </c>
      <c r="AA32" s="53">
        <f t="shared" si="30"/>
        <v>2.5856856636411588E-2</v>
      </c>
      <c r="AB32" s="53">
        <f t="shared" si="30"/>
        <v>2.5941505256624822E-2</v>
      </c>
      <c r="AC32" s="53">
        <f t="shared" si="30"/>
        <v>2.6026430994393553E-2</v>
      </c>
      <c r="AD32" s="53">
        <f t="shared" si="30"/>
        <v>2.611163475692856E-2</v>
      </c>
      <c r="AE32" s="53">
        <f t="shared" si="30"/>
        <v>2.619711745441056E-2</v>
      </c>
      <c r="AF32" s="53">
        <f t="shared" si="30"/>
        <v>2.6282880000000002E-2</v>
      </c>
      <c r="AG32" s="53">
        <f t="shared" si="30"/>
        <v>2.6368923309846758E-2</v>
      </c>
      <c r="AH32" s="53">
        <f t="shared" si="30"/>
        <v>2.6455248303099956E-2</v>
      </c>
      <c r="AI32" s="53">
        <f t="shared" si="30"/>
        <v>2.6541855901917762E-2</v>
      </c>
      <c r="AJ32" s="53">
        <f t="shared" si="30"/>
        <v>2.662874703147726E-2</v>
      </c>
      <c r="AK32" s="53">
        <f t="shared" si="30"/>
        <v>2.671592261998432E-2</v>
      </c>
      <c r="AL32" s="53">
        <f t="shared" si="30"/>
        <v>2.6803383598683509E-2</v>
      </c>
      <c r="AM32" s="53">
        <f t="shared" si="30"/>
        <v>2.6891130901868055E-2</v>
      </c>
      <c r="AN32" s="53">
        <f t="shared" si="30"/>
        <v>2.6979165466889814E-2</v>
      </c>
      <c r="AO32" s="53">
        <f t="shared" si="30"/>
        <v>2.7067488234169299E-2</v>
      </c>
      <c r="AP32" s="53">
        <f t="shared" si="30"/>
        <v>2.7156100147205698E-2</v>
      </c>
      <c r="AQ32" s="53">
        <f t="shared" si="30"/>
        <v>2.7245002152586986E-2</v>
      </c>
    </row>
    <row r="33" spans="1:43" s="16" customFormat="1" hidden="1" outlineLevel="6">
      <c r="A33" s="53"/>
      <c r="B33" s="53"/>
      <c r="C33" s="53"/>
      <c r="D33" s="53"/>
      <c r="E33" s="53"/>
      <c r="F33" s="53"/>
      <c r="G33" s="53" t="s">
        <v>347</v>
      </c>
      <c r="H33" s="53">
        <f t="shared" ref="H33:AQ33" si="31">western_public_coverage_churn_positive*(1+western_public_coverage_churn_positive_growth)^((COLUMN()-8)/12)</f>
        <v>3.0000000000000001E-3</v>
      </c>
      <c r="I33" s="53">
        <f t="shared" si="31"/>
        <v>3.0000000000000001E-3</v>
      </c>
      <c r="J33" s="53">
        <f t="shared" si="31"/>
        <v>3.0000000000000001E-3</v>
      </c>
      <c r="K33" s="53">
        <f t="shared" si="31"/>
        <v>3.0000000000000001E-3</v>
      </c>
      <c r="L33" s="53">
        <f t="shared" si="31"/>
        <v>3.0000000000000001E-3</v>
      </c>
      <c r="M33" s="53">
        <f t="shared" si="31"/>
        <v>3.0000000000000001E-3</v>
      </c>
      <c r="N33" s="53">
        <f t="shared" si="31"/>
        <v>3.0000000000000001E-3</v>
      </c>
      <c r="O33" s="53">
        <f t="shared" si="31"/>
        <v>3.0000000000000001E-3</v>
      </c>
      <c r="P33" s="53">
        <f t="shared" si="31"/>
        <v>3.0000000000000001E-3</v>
      </c>
      <c r="Q33" s="53">
        <f t="shared" si="31"/>
        <v>3.0000000000000001E-3</v>
      </c>
      <c r="R33" s="53">
        <f t="shared" si="31"/>
        <v>3.0000000000000001E-3</v>
      </c>
      <c r="S33" s="53">
        <f t="shared" si="31"/>
        <v>3.0000000000000001E-3</v>
      </c>
      <c r="T33" s="53">
        <f t="shared" si="31"/>
        <v>3.0000000000000001E-3</v>
      </c>
      <c r="U33" s="53">
        <f t="shared" si="31"/>
        <v>3.0000000000000001E-3</v>
      </c>
      <c r="V33" s="53">
        <f t="shared" si="31"/>
        <v>3.0000000000000001E-3</v>
      </c>
      <c r="W33" s="53">
        <f t="shared" si="31"/>
        <v>3.0000000000000001E-3</v>
      </c>
      <c r="X33" s="53">
        <f t="shared" si="31"/>
        <v>3.0000000000000001E-3</v>
      </c>
      <c r="Y33" s="53">
        <f t="shared" si="31"/>
        <v>3.0000000000000001E-3</v>
      </c>
      <c r="Z33" s="53">
        <f t="shared" si="31"/>
        <v>3.0000000000000001E-3</v>
      </c>
      <c r="AA33" s="53">
        <f t="shared" si="31"/>
        <v>3.0000000000000001E-3</v>
      </c>
      <c r="AB33" s="53">
        <f t="shared" si="31"/>
        <v>3.0000000000000001E-3</v>
      </c>
      <c r="AC33" s="53">
        <f t="shared" si="31"/>
        <v>3.0000000000000001E-3</v>
      </c>
      <c r="AD33" s="53">
        <f t="shared" si="31"/>
        <v>3.0000000000000001E-3</v>
      </c>
      <c r="AE33" s="53">
        <f t="shared" si="31"/>
        <v>3.0000000000000001E-3</v>
      </c>
      <c r="AF33" s="53">
        <f t="shared" si="31"/>
        <v>3.0000000000000001E-3</v>
      </c>
      <c r="AG33" s="53">
        <f t="shared" si="31"/>
        <v>3.0000000000000001E-3</v>
      </c>
      <c r="AH33" s="53">
        <f t="shared" si="31"/>
        <v>3.0000000000000001E-3</v>
      </c>
      <c r="AI33" s="53">
        <f t="shared" si="31"/>
        <v>3.0000000000000001E-3</v>
      </c>
      <c r="AJ33" s="53">
        <f t="shared" si="31"/>
        <v>3.0000000000000001E-3</v>
      </c>
      <c r="AK33" s="53">
        <f t="shared" si="31"/>
        <v>3.0000000000000001E-3</v>
      </c>
      <c r="AL33" s="53">
        <f t="shared" si="31"/>
        <v>3.0000000000000001E-3</v>
      </c>
      <c r="AM33" s="53">
        <f t="shared" si="31"/>
        <v>3.0000000000000001E-3</v>
      </c>
      <c r="AN33" s="53">
        <f t="shared" si="31"/>
        <v>3.0000000000000001E-3</v>
      </c>
      <c r="AO33" s="53">
        <f t="shared" si="31"/>
        <v>3.0000000000000001E-3</v>
      </c>
      <c r="AP33" s="53">
        <f t="shared" si="31"/>
        <v>3.0000000000000001E-3</v>
      </c>
      <c r="AQ33" s="53">
        <f t="shared" si="31"/>
        <v>3.0000000000000001E-3</v>
      </c>
    </row>
    <row r="34" spans="1:43" s="16" customFormat="1" hidden="1" outlineLevel="4">
      <c r="A34" s="53"/>
      <c r="B34" s="53"/>
      <c r="C34" s="53"/>
      <c r="D34" s="53"/>
      <c r="E34" s="53" t="s">
        <v>348</v>
      </c>
      <c r="F34" s="53"/>
      <c r="G34" s="53"/>
      <c r="H34" s="53">
        <f t="shared" ref="H34:AQ34" si="32">western_public_net_price_per_dose_positive*(1+western_public_net_price_per_dose_positive_growth)^((COLUMN()-8)/12)</f>
        <v>37260</v>
      </c>
      <c r="I34" s="53">
        <f t="shared" si="32"/>
        <v>37351.893211716037</v>
      </c>
      <c r="J34" s="53">
        <f t="shared" si="32"/>
        <v>37444.013056882395</v>
      </c>
      <c r="K34" s="53">
        <f t="shared" si="32"/>
        <v>37536.360094438329</v>
      </c>
      <c r="L34" s="53">
        <f t="shared" si="32"/>
        <v>37628.934884701543</v>
      </c>
      <c r="M34" s="53">
        <f t="shared" si="32"/>
        <v>37721.737989371664</v>
      </c>
      <c r="N34" s="53">
        <f t="shared" si="32"/>
        <v>37814.769971533613</v>
      </c>
      <c r="O34" s="53">
        <f t="shared" si="32"/>
        <v>37908.031395661012</v>
      </c>
      <c r="P34" s="53">
        <f t="shared" si="32"/>
        <v>38001.522827619672</v>
      </c>
      <c r="Q34" s="53">
        <f t="shared" si="32"/>
        <v>38095.244834670935</v>
      </c>
      <c r="R34" s="53">
        <f t="shared" si="32"/>
        <v>38189.197985475184</v>
      </c>
      <c r="S34" s="53">
        <f t="shared" si="32"/>
        <v>38283.382850095288</v>
      </c>
      <c r="T34" s="53">
        <f t="shared" si="32"/>
        <v>38377.800000000003</v>
      </c>
      <c r="U34" s="53">
        <f t="shared" si="32"/>
        <v>38472.450008067513</v>
      </c>
      <c r="V34" s="53">
        <f t="shared" si="32"/>
        <v>38567.33344858887</v>
      </c>
      <c r="W34" s="53">
        <f t="shared" si="32"/>
        <v>38662.450897271483</v>
      </c>
      <c r="X34" s="53">
        <f t="shared" si="32"/>
        <v>38757.802931242593</v>
      </c>
      <c r="Y34" s="53">
        <f t="shared" si="32"/>
        <v>38853.390129052816</v>
      </c>
      <c r="Z34" s="53">
        <f t="shared" si="32"/>
        <v>38949.213070679623</v>
      </c>
      <c r="AA34" s="53">
        <f t="shared" si="32"/>
        <v>39045.272337530856</v>
      </c>
      <c r="AB34" s="53">
        <f t="shared" si="32"/>
        <v>39141.568512448262</v>
      </c>
      <c r="AC34" s="53">
        <f t="shared" si="32"/>
        <v>39238.102179711059</v>
      </c>
      <c r="AD34" s="53">
        <f t="shared" si="32"/>
        <v>39334.87392503945</v>
      </c>
      <c r="AE34" s="53">
        <f t="shared" si="32"/>
        <v>39431.884335598144</v>
      </c>
      <c r="AF34" s="53">
        <f t="shared" si="32"/>
        <v>39529.133999999998</v>
      </c>
      <c r="AG34" s="53">
        <f t="shared" si="32"/>
        <v>39626.623508309538</v>
      </c>
      <c r="AH34" s="53">
        <f t="shared" si="32"/>
        <v>39724.35345204654</v>
      </c>
      <c r="AI34" s="53">
        <f t="shared" si="32"/>
        <v>39822.324424189625</v>
      </c>
      <c r="AJ34" s="53">
        <f t="shared" si="32"/>
        <v>39920.537019179879</v>
      </c>
      <c r="AK34" s="53">
        <f t="shared" si="32"/>
        <v>40018.991832924403</v>
      </c>
      <c r="AL34" s="53">
        <f t="shared" si="32"/>
        <v>40117.689462800008</v>
      </c>
      <c r="AM34" s="53">
        <f t="shared" si="32"/>
        <v>40216.630507656773</v>
      </c>
      <c r="AN34" s="53">
        <f t="shared" si="32"/>
        <v>40315.815567821715</v>
      </c>
      <c r="AO34" s="53">
        <f t="shared" si="32"/>
        <v>40415.245245102393</v>
      </c>
      <c r="AP34" s="53">
        <f t="shared" si="32"/>
        <v>40514.92014279063</v>
      </c>
      <c r="AQ34" s="53">
        <f t="shared" si="32"/>
        <v>40614.84086566609</v>
      </c>
    </row>
    <row r="35" spans="1:43" s="16" customFormat="1" outlineLevel="3" collapsed="1">
      <c r="A35" s="53"/>
      <c r="B35" s="53"/>
      <c r="C35" s="53"/>
      <c r="D35" s="53" t="s">
        <v>349</v>
      </c>
      <c r="E35" s="53"/>
      <c r="F35" s="53"/>
      <c r="G35" s="53"/>
      <c r="H35" s="53">
        <f t="shared" ref="H35:AQ35" si="33">(H36*H49)</f>
        <v>2769509.4697812237</v>
      </c>
      <c r="I35" s="53">
        <f t="shared" si="33"/>
        <v>3390606.6910748715</v>
      </c>
      <c r="J35" s="53">
        <f t="shared" si="33"/>
        <v>4038383.6243131943</v>
      </c>
      <c r="K35" s="53">
        <f t="shared" si="33"/>
        <v>4713730.2223880496</v>
      </c>
      <c r="L35" s="53">
        <f t="shared" si="33"/>
        <v>5417563.0845484314</v>
      </c>
      <c r="M35" s="53">
        <f t="shared" si="33"/>
        <v>6150826.2077827137</v>
      </c>
      <c r="N35" s="53">
        <f t="shared" si="33"/>
        <v>6914491.758598417</v>
      </c>
      <c r="O35" s="53">
        <f t="shared" si="33"/>
        <v>7709560.8657388166</v>
      </c>
      <c r="P35" s="53">
        <f t="shared" si="33"/>
        <v>8537064.4343900457</v>
      </c>
      <c r="Q35" s="53">
        <f t="shared" si="33"/>
        <v>9398063.9824462906</v>
      </c>
      <c r="R35" s="53">
        <f t="shared" si="33"/>
        <v>10293652.499415804</v>
      </c>
      <c r="S35" s="53">
        <f t="shared" si="33"/>
        <v>11224955.328565203</v>
      </c>
      <c r="T35" s="53">
        <f t="shared" si="33"/>
        <v>12193131.072915306</v>
      </c>
      <c r="U35" s="53">
        <f t="shared" si="33"/>
        <v>13199372.525717504</v>
      </c>
      <c r="V35" s="53">
        <f t="shared" si="33"/>
        <v>14244907.626055799</v>
      </c>
      <c r="W35" s="53">
        <f t="shared" si="33"/>
        <v>15331000.440236777</v>
      </c>
      <c r="X35" s="53">
        <f t="shared" si="33"/>
        <v>16458952.169646388</v>
      </c>
      <c r="Y35" s="53">
        <f t="shared" si="33"/>
        <v>17630102.185770452</v>
      </c>
      <c r="Z35" s="53">
        <f t="shared" si="33"/>
        <v>18845829.093093451</v>
      </c>
      <c r="AA35" s="53">
        <f t="shared" si="33"/>
        <v>20107551.820608862</v>
      </c>
      <c r="AB35" s="53">
        <f t="shared" si="33"/>
        <v>21416730.742693175</v>
      </c>
      <c r="AC35" s="53">
        <f t="shared" si="33"/>
        <v>22774868.830115244</v>
      </c>
      <c r="AD35" s="53">
        <f t="shared" si="33"/>
        <v>24183512.831972301</v>
      </c>
      <c r="AE35" s="53">
        <f t="shared" si="33"/>
        <v>25644254.489364665</v>
      </c>
      <c r="AF35" s="53">
        <f t="shared" si="33"/>
        <v>27158731.78164218</v>
      </c>
      <c r="AG35" s="53">
        <f t="shared" si="33"/>
        <v>28728630.206076473</v>
      </c>
      <c r="AH35" s="53">
        <f t="shared" si="33"/>
        <v>30355684.091835696</v>
      </c>
      <c r="AI35" s="53">
        <f t="shared" si="33"/>
        <v>32041677.949160676</v>
      </c>
      <c r="AJ35" s="53">
        <f t="shared" si="33"/>
        <v>33788447.854664631</v>
      </c>
      <c r="AK35" s="53">
        <f t="shared" si="33"/>
        <v>35597882.873702399</v>
      </c>
      <c r="AL35" s="53">
        <f t="shared" si="33"/>
        <v>37471926.520779736</v>
      </c>
      <c r="AM35" s="53">
        <f t="shared" si="33"/>
        <v>39412578.258997716</v>
      </c>
      <c r="AN35" s="53">
        <f t="shared" si="33"/>
        <v>41421895.039552882</v>
      </c>
      <c r="AO35" s="53">
        <f t="shared" si="33"/>
        <v>43501992.882341489</v>
      </c>
      <c r="AP35" s="53">
        <f t="shared" si="33"/>
        <v>45655048.498740569</v>
      </c>
      <c r="AQ35" s="53">
        <f t="shared" si="33"/>
        <v>47883300.957668394</v>
      </c>
    </row>
    <row r="36" spans="1:43" s="16" customFormat="1" hidden="1" outlineLevel="4" collapsed="1">
      <c r="A36" s="53"/>
      <c r="B36" s="53"/>
      <c r="C36" s="53"/>
      <c r="D36" s="53"/>
      <c r="E36" s="53" t="s">
        <v>350</v>
      </c>
      <c r="F36" s="53"/>
      <c r="G36" s="53"/>
      <c r="H36" s="53">
        <f t="shared" ref="H36:AQ36" si="34">(((((H37*H42)*H43)*H44)*H45)*H46)</f>
        <v>76.548078213964175</v>
      </c>
      <c r="I36" s="53">
        <f t="shared" si="34"/>
        <v>93.484386756912514</v>
      </c>
      <c r="J36" s="53">
        <f t="shared" si="34"/>
        <v>111.07069060413205</v>
      </c>
      <c r="K36" s="53">
        <f t="shared" si="34"/>
        <v>129.32630055290642</v>
      </c>
      <c r="L36" s="53">
        <f t="shared" si="34"/>
        <v>148.27104202325017</v>
      </c>
      <c r="M36" s="53">
        <f t="shared" si="34"/>
        <v>167.92526797250449</v>
      </c>
      <c r="N36" s="53">
        <f t="shared" si="34"/>
        <v>188.30987212196604</v>
      </c>
      <c r="O36" s="53">
        <f t="shared" si="34"/>
        <v>209.44630250289219</v>
      </c>
      <c r="P36" s="53">
        <f t="shared" si="34"/>
        <v>231.35657532940238</v>
      </c>
      <c r="Q36" s="53">
        <f t="shared" si="34"/>
        <v>254.0632892059611</v>
      </c>
      <c r="R36" s="53">
        <f t="shared" si="34"/>
        <v>277.58963967731205</v>
      </c>
      <c r="S36" s="53">
        <f t="shared" si="34"/>
        <v>301.95943412891046</v>
      </c>
      <c r="T36" s="53">
        <f t="shared" si="34"/>
        <v>327.19710704608849</v>
      </c>
      <c r="U36" s="53">
        <f t="shared" si="34"/>
        <v>353.32773564037905</v>
      </c>
      <c r="V36" s="53">
        <f t="shared" si="34"/>
        <v>380.37705585161228</v>
      </c>
      <c r="W36" s="53">
        <f t="shared" si="34"/>
        <v>408.37147873460862</v>
      </c>
      <c r="X36" s="53">
        <f t="shared" si="34"/>
        <v>437.33810723948142</v>
      </c>
      <c r="Y36" s="53">
        <f t="shared" si="34"/>
        <v>467.30475339478437</v>
      </c>
      <c r="Z36" s="53">
        <f t="shared" si="34"/>
        <v>498.29995590293959</v>
      </c>
      <c r="AA36" s="53">
        <f t="shared" si="34"/>
        <v>530.35299815760595</v>
      </c>
      <c r="AB36" s="53">
        <f t="shared" si="34"/>
        <v>563.49392669286942</v>
      </c>
      <c r="AC36" s="53">
        <f t="shared" si="34"/>
        <v>597.75357007436355</v>
      </c>
      <c r="AD36" s="53">
        <f t="shared" si="34"/>
        <v>633.1635582426577</v>
      </c>
      <c r="AE36" s="53">
        <f t="shared" si="34"/>
        <v>669.75634231949368</v>
      </c>
      <c r="AF36" s="53">
        <f t="shared" si="34"/>
        <v>707.56521488769476</v>
      </c>
      <c r="AG36" s="53">
        <f t="shared" si="34"/>
        <v>746.6243307558118</v>
      </c>
      <c r="AH36" s="53">
        <f t="shared" si="34"/>
        <v>786.96872821883574</v>
      </c>
      <c r="AI36" s="53">
        <f t="shared" si="34"/>
        <v>828.63435082656133</v>
      </c>
      <c r="AJ36" s="53">
        <f t="shared" si="34"/>
        <v>871.6580696714492</v>
      </c>
      <c r="AK36" s="53">
        <f t="shared" si="34"/>
        <v>916.07770620811436</v>
      </c>
      <c r="AL36" s="53">
        <f t="shared" si="34"/>
        <v>961.93205561684078</v>
      </c>
      <c r="AM36" s="53">
        <f t="shared" si="34"/>
        <v>1009.2609107238098</v>
      </c>
      <c r="AN36" s="53">
        <f t="shared" si="34"/>
        <v>1058.1050864910076</v>
      </c>
      <c r="AO36" s="53">
        <f t="shared" si="34"/>
        <v>1108.5064450891141</v>
      </c>
      <c r="AP36" s="53">
        <f t="shared" si="34"/>
        <v>1160.5079215669198</v>
      </c>
      <c r="AQ36" s="53">
        <f t="shared" si="34"/>
        <v>1214.1535501311816</v>
      </c>
    </row>
    <row r="37" spans="1:43" s="16" customFormat="1" hidden="1" outlineLevel="5" collapsed="1">
      <c r="A37" s="53"/>
      <c r="B37" s="53"/>
      <c r="C37" s="53"/>
      <c r="D37" s="53"/>
      <c r="E37" s="53"/>
      <c r="F37" s="53" t="s">
        <v>351</v>
      </c>
      <c r="G37" s="53"/>
      <c r="H37" s="53">
        <f t="shared" ref="H37:AQ37" si="35">(((H38*H39)*H40)*H41)</f>
        <v>11484.348749999999</v>
      </c>
      <c r="I37" s="53">
        <f t="shared" si="35"/>
        <v>11510.042575199832</v>
      </c>
      <c r="J37" s="53">
        <f t="shared" si="35"/>
        <v>11535.793884952576</v>
      </c>
      <c r="K37" s="53">
        <f t="shared" si="35"/>
        <v>11561.602807867881</v>
      </c>
      <c r="L37" s="53">
        <f t="shared" si="35"/>
        <v>11587.469472843139</v>
      </c>
      <c r="M37" s="53">
        <f t="shared" si="35"/>
        <v>11613.394009064104</v>
      </c>
      <c r="N37" s="53">
        <f t="shared" si="35"/>
        <v>11639.376546005584</v>
      </c>
      <c r="O37" s="53">
        <f t="shared" si="35"/>
        <v>11665.417213432027</v>
      </c>
      <c r="P37" s="53">
        <f t="shared" si="35"/>
        <v>11691.516141398233</v>
      </c>
      <c r="Q37" s="53">
        <f t="shared" si="35"/>
        <v>11717.673460249951</v>
      </c>
      <c r="R37" s="53">
        <f t="shared" si="35"/>
        <v>11743.889300624562</v>
      </c>
      <c r="S37" s="53">
        <f t="shared" si="35"/>
        <v>11770.163793451717</v>
      </c>
      <c r="T37" s="53">
        <f t="shared" si="35"/>
        <v>11796.497069953994</v>
      </c>
      <c r="U37" s="53">
        <f t="shared" si="35"/>
        <v>11822.889261647555</v>
      </c>
      <c r="V37" s="53">
        <f t="shared" si="35"/>
        <v>11849.340500342805</v>
      </c>
      <c r="W37" s="53">
        <f t="shared" si="35"/>
        <v>11875.850918145039</v>
      </c>
      <c r="X37" s="53">
        <f t="shared" si="35"/>
        <v>11902.420647455127</v>
      </c>
      <c r="Y37" s="53">
        <f t="shared" si="35"/>
        <v>11929.049820970127</v>
      </c>
      <c r="Z37" s="53">
        <f t="shared" si="35"/>
        <v>11955.738571684016</v>
      </c>
      <c r="AA37" s="53">
        <f t="shared" si="35"/>
        <v>11982.48703288829</v>
      </c>
      <c r="AB37" s="53">
        <f t="shared" si="35"/>
        <v>12009.295338172666</v>
      </c>
      <c r="AC37" s="53">
        <f t="shared" si="35"/>
        <v>12036.163621425747</v>
      </c>
      <c r="AD37" s="53">
        <f t="shared" si="35"/>
        <v>12063.092016835672</v>
      </c>
      <c r="AE37" s="53">
        <f t="shared" si="35"/>
        <v>12090.080658890804</v>
      </c>
      <c r="AF37" s="53">
        <f t="shared" si="35"/>
        <v>12117.129682380391</v>
      </c>
      <c r="AG37" s="53">
        <f t="shared" si="35"/>
        <v>12144.239222395257</v>
      </c>
      <c r="AH37" s="53">
        <f t="shared" si="35"/>
        <v>12171.409414328442</v>
      </c>
      <c r="AI37" s="53">
        <f t="shared" si="35"/>
        <v>12198.640393875916</v>
      </c>
      <c r="AJ37" s="53">
        <f t="shared" si="35"/>
        <v>12225.932297037245</v>
      </c>
      <c r="AK37" s="53">
        <f t="shared" si="35"/>
        <v>12253.285260116236</v>
      </c>
      <c r="AL37" s="53">
        <f t="shared" si="35"/>
        <v>12280.699419721677</v>
      </c>
      <c r="AM37" s="53">
        <f t="shared" si="35"/>
        <v>12308.174912767992</v>
      </c>
      <c r="AN37" s="53">
        <f t="shared" si="35"/>
        <v>12335.711876475885</v>
      </c>
      <c r="AO37" s="53">
        <f t="shared" si="35"/>
        <v>12363.310448373108</v>
      </c>
      <c r="AP37" s="53">
        <f t="shared" si="35"/>
        <v>12390.970766295077</v>
      </c>
      <c r="AQ37" s="53">
        <f t="shared" si="35"/>
        <v>12418.692968385587</v>
      </c>
    </row>
    <row r="38" spans="1:43" s="16" customFormat="1" hidden="1" outlineLevel="6">
      <c r="A38" s="53"/>
      <c r="B38" s="53"/>
      <c r="C38" s="53"/>
      <c r="D38" s="53"/>
      <c r="E38" s="53"/>
      <c r="F38" s="53"/>
      <c r="G38" s="53" t="s">
        <v>71</v>
      </c>
      <c r="H38" s="53">
        <f t="shared" ref="H38:AQ38" si="36">H8</f>
        <v>145833</v>
      </c>
      <c r="I38" s="53">
        <f t="shared" si="36"/>
        <v>146049.96530187438</v>
      </c>
      <c r="J38" s="53">
        <f t="shared" si="36"/>
        <v>146267.2533972332</v>
      </c>
      <c r="K38" s="53">
        <f t="shared" si="36"/>
        <v>146484.86476631745</v>
      </c>
      <c r="L38" s="53">
        <f t="shared" si="36"/>
        <v>146702.79989008268</v>
      </c>
      <c r="M38" s="53">
        <f t="shared" si="36"/>
        <v>146921.05925019985</v>
      </c>
      <c r="N38" s="53">
        <f t="shared" si="36"/>
        <v>147139.64332905665</v>
      </c>
      <c r="O38" s="53">
        <f t="shared" si="36"/>
        <v>147358.55260975836</v>
      </c>
      <c r="P38" s="53">
        <f t="shared" si="36"/>
        <v>147577.78757612914</v>
      </c>
      <c r="Q38" s="53">
        <f t="shared" si="36"/>
        <v>147797.34871271279</v>
      </c>
      <c r="R38" s="53">
        <f t="shared" si="36"/>
        <v>148017.23650477419</v>
      </c>
      <c r="S38" s="53">
        <f t="shared" si="36"/>
        <v>148237.45143829999</v>
      </c>
      <c r="T38" s="53">
        <f t="shared" si="36"/>
        <v>148457.99400000001</v>
      </c>
      <c r="U38" s="53">
        <f t="shared" si="36"/>
        <v>148678.8646773081</v>
      </c>
      <c r="V38" s="53">
        <f t="shared" si="36"/>
        <v>148900.0639583834</v>
      </c>
      <c r="W38" s="53">
        <f t="shared" si="36"/>
        <v>149121.59233211118</v>
      </c>
      <c r="X38" s="53">
        <f t="shared" si="36"/>
        <v>149343.45028810418</v>
      </c>
      <c r="Y38" s="53">
        <f t="shared" si="36"/>
        <v>149565.63831670344</v>
      </c>
      <c r="Z38" s="53">
        <f t="shared" si="36"/>
        <v>149788.15690897967</v>
      </c>
      <c r="AA38" s="53">
        <f t="shared" si="36"/>
        <v>150011.00655673404</v>
      </c>
      <c r="AB38" s="53">
        <f t="shared" si="36"/>
        <v>150234.18775249945</v>
      </c>
      <c r="AC38" s="53">
        <f t="shared" si="36"/>
        <v>150457.70098954163</v>
      </c>
      <c r="AD38" s="53">
        <f t="shared" si="36"/>
        <v>150681.54676186011</v>
      </c>
      <c r="AE38" s="53">
        <f t="shared" si="36"/>
        <v>150905.72556418937</v>
      </c>
      <c r="AF38" s="53">
        <f t="shared" si="36"/>
        <v>151130.237892</v>
      </c>
      <c r="AG38" s="53">
        <f t="shared" si="36"/>
        <v>151355.08424149966</v>
      </c>
      <c r="AH38" s="53">
        <f t="shared" si="36"/>
        <v>151580.26510963429</v>
      </c>
      <c r="AI38" s="53">
        <f t="shared" si="36"/>
        <v>151805.78099408917</v>
      </c>
      <c r="AJ38" s="53">
        <f t="shared" si="36"/>
        <v>152031.63239329006</v>
      </c>
      <c r="AK38" s="53">
        <f t="shared" si="36"/>
        <v>152257.81980640409</v>
      </c>
      <c r="AL38" s="53">
        <f t="shared" si="36"/>
        <v>152484.34373334129</v>
      </c>
      <c r="AM38" s="53">
        <f t="shared" si="36"/>
        <v>152711.20467475525</v>
      </c>
      <c r="AN38" s="53">
        <f t="shared" si="36"/>
        <v>152938.40313204445</v>
      </c>
      <c r="AO38" s="53">
        <f t="shared" si="36"/>
        <v>153165.93960735339</v>
      </c>
      <c r="AP38" s="53">
        <f t="shared" si="36"/>
        <v>153393.81460357361</v>
      </c>
      <c r="AQ38" s="53">
        <f t="shared" si="36"/>
        <v>153622.02862434482</v>
      </c>
    </row>
    <row r="39" spans="1:43" s="16" customFormat="1" hidden="1" outlineLevel="6">
      <c r="A39" s="53"/>
      <c r="B39" s="53"/>
      <c r="C39" s="53"/>
      <c r="D39" s="53"/>
      <c r="E39" s="53"/>
      <c r="F39" s="53"/>
      <c r="G39" s="53" t="s">
        <v>352</v>
      </c>
      <c r="H39" s="53">
        <f t="shared" ref="H39:AQ39" si="37">eastern_regional_opportunity_weight_positive*(1+eastern_regional_opportunity_weight_positive_growth)^((COLUMN()-8)/12)</f>
        <v>0.25</v>
      </c>
      <c r="I39" s="53">
        <f t="shared" si="37"/>
        <v>0.25</v>
      </c>
      <c r="J39" s="53">
        <f t="shared" si="37"/>
        <v>0.25</v>
      </c>
      <c r="K39" s="53">
        <f t="shared" si="37"/>
        <v>0.25</v>
      </c>
      <c r="L39" s="53">
        <f t="shared" si="37"/>
        <v>0.25</v>
      </c>
      <c r="M39" s="53">
        <f t="shared" si="37"/>
        <v>0.25</v>
      </c>
      <c r="N39" s="53">
        <f t="shared" si="37"/>
        <v>0.25</v>
      </c>
      <c r="O39" s="53">
        <f t="shared" si="37"/>
        <v>0.25</v>
      </c>
      <c r="P39" s="53">
        <f t="shared" si="37"/>
        <v>0.25</v>
      </c>
      <c r="Q39" s="53">
        <f t="shared" si="37"/>
        <v>0.25</v>
      </c>
      <c r="R39" s="53">
        <f t="shared" si="37"/>
        <v>0.25</v>
      </c>
      <c r="S39" s="53">
        <f t="shared" si="37"/>
        <v>0.25</v>
      </c>
      <c r="T39" s="53">
        <f t="shared" si="37"/>
        <v>0.25</v>
      </c>
      <c r="U39" s="53">
        <f t="shared" si="37"/>
        <v>0.25</v>
      </c>
      <c r="V39" s="53">
        <f t="shared" si="37"/>
        <v>0.25</v>
      </c>
      <c r="W39" s="53">
        <f t="shared" si="37"/>
        <v>0.25</v>
      </c>
      <c r="X39" s="53">
        <f t="shared" si="37"/>
        <v>0.25</v>
      </c>
      <c r="Y39" s="53">
        <f t="shared" si="37"/>
        <v>0.25</v>
      </c>
      <c r="Z39" s="53">
        <f t="shared" si="37"/>
        <v>0.25</v>
      </c>
      <c r="AA39" s="53">
        <f t="shared" si="37"/>
        <v>0.25</v>
      </c>
      <c r="AB39" s="53">
        <f t="shared" si="37"/>
        <v>0.25</v>
      </c>
      <c r="AC39" s="53">
        <f t="shared" si="37"/>
        <v>0.25</v>
      </c>
      <c r="AD39" s="53">
        <f t="shared" si="37"/>
        <v>0.25</v>
      </c>
      <c r="AE39" s="53">
        <f t="shared" si="37"/>
        <v>0.25</v>
      </c>
      <c r="AF39" s="53">
        <f t="shared" si="37"/>
        <v>0.25</v>
      </c>
      <c r="AG39" s="53">
        <f t="shared" si="37"/>
        <v>0.25</v>
      </c>
      <c r="AH39" s="53">
        <f t="shared" si="37"/>
        <v>0.25</v>
      </c>
      <c r="AI39" s="53">
        <f t="shared" si="37"/>
        <v>0.25</v>
      </c>
      <c r="AJ39" s="53">
        <f t="shared" si="37"/>
        <v>0.25</v>
      </c>
      <c r="AK39" s="53">
        <f t="shared" si="37"/>
        <v>0.25</v>
      </c>
      <c r="AL39" s="53">
        <f t="shared" si="37"/>
        <v>0.25</v>
      </c>
      <c r="AM39" s="53">
        <f t="shared" si="37"/>
        <v>0.25</v>
      </c>
      <c r="AN39" s="53">
        <f t="shared" si="37"/>
        <v>0.25</v>
      </c>
      <c r="AO39" s="53">
        <f t="shared" si="37"/>
        <v>0.25</v>
      </c>
      <c r="AP39" s="53">
        <f t="shared" si="37"/>
        <v>0.25</v>
      </c>
      <c r="AQ39" s="53">
        <f t="shared" si="37"/>
        <v>0.25</v>
      </c>
    </row>
    <row r="40" spans="1:43" s="16" customFormat="1" hidden="1" outlineLevel="6">
      <c r="A40" s="53"/>
      <c r="B40" s="53"/>
      <c r="C40" s="53"/>
      <c r="D40" s="53"/>
      <c r="E40" s="53"/>
      <c r="F40" s="53"/>
      <c r="G40" s="53" t="s">
        <v>353</v>
      </c>
      <c r="H40" s="53">
        <f t="shared" ref="H40:AQ40" si="38">eastern_anc_access_rate_positive*(1+eastern_anc_access_rate_positive_growth)^((COLUMN()-8)/12)</f>
        <v>0.63</v>
      </c>
      <c r="I40" s="53">
        <f t="shared" si="38"/>
        <v>0.63015728385167225</v>
      </c>
      <c r="J40" s="53">
        <f t="shared" si="38"/>
        <v>0.63031460697034458</v>
      </c>
      <c r="K40" s="53">
        <f t="shared" si="38"/>
        <v>0.63047196936582006</v>
      </c>
      <c r="L40" s="53">
        <f t="shared" si="38"/>
        <v>0.63062937104790451</v>
      </c>
      <c r="M40" s="53">
        <f t="shared" si="38"/>
        <v>0.63078681202640619</v>
      </c>
      <c r="N40" s="53">
        <f t="shared" si="38"/>
        <v>0.6309442923111358</v>
      </c>
      <c r="O40" s="53">
        <f t="shared" si="38"/>
        <v>0.63110181191190606</v>
      </c>
      <c r="P40" s="53">
        <f t="shared" si="38"/>
        <v>0.6312593708385329</v>
      </c>
      <c r="Q40" s="53">
        <f t="shared" si="38"/>
        <v>0.631416969100834</v>
      </c>
      <c r="R40" s="53">
        <f t="shared" si="38"/>
        <v>0.63157460670862986</v>
      </c>
      <c r="S40" s="53">
        <f t="shared" si="38"/>
        <v>0.6317322836717435</v>
      </c>
      <c r="T40" s="53">
        <f t="shared" si="38"/>
        <v>0.63188999999999995</v>
      </c>
      <c r="U40" s="53">
        <f t="shared" si="38"/>
        <v>0.63204775570322724</v>
      </c>
      <c r="V40" s="53">
        <f t="shared" si="38"/>
        <v>0.63220555079125551</v>
      </c>
      <c r="W40" s="53">
        <f t="shared" si="38"/>
        <v>0.63236338527391733</v>
      </c>
      <c r="X40" s="53">
        <f t="shared" si="38"/>
        <v>0.63252125916104829</v>
      </c>
      <c r="Y40" s="53">
        <f t="shared" si="38"/>
        <v>0.6326791724624854</v>
      </c>
      <c r="Z40" s="53">
        <f t="shared" si="38"/>
        <v>0.63283712518806923</v>
      </c>
      <c r="AA40" s="53">
        <f t="shared" si="38"/>
        <v>0.63299511734764191</v>
      </c>
      <c r="AB40" s="53">
        <f t="shared" si="38"/>
        <v>0.63315314895104846</v>
      </c>
      <c r="AC40" s="53">
        <f t="shared" si="38"/>
        <v>0.63331122000813644</v>
      </c>
      <c r="AD40" s="53">
        <f t="shared" si="38"/>
        <v>0.63346933052875576</v>
      </c>
      <c r="AE40" s="53">
        <f t="shared" si="38"/>
        <v>0.63362748052275863</v>
      </c>
      <c r="AF40" s="53">
        <f t="shared" si="38"/>
        <v>0.63378566999999986</v>
      </c>
      <c r="AG40" s="53">
        <f t="shared" si="38"/>
        <v>0.63394389897033687</v>
      </c>
      <c r="AH40" s="53">
        <f t="shared" si="38"/>
        <v>0.63410216744362913</v>
      </c>
      <c r="AI40" s="53">
        <f t="shared" si="38"/>
        <v>0.63426047542973907</v>
      </c>
      <c r="AJ40" s="53">
        <f t="shared" si="38"/>
        <v>0.63441882293853136</v>
      </c>
      <c r="AK40" s="53">
        <f t="shared" si="38"/>
        <v>0.63457720997987288</v>
      </c>
      <c r="AL40" s="53">
        <f t="shared" si="38"/>
        <v>0.63473563656363319</v>
      </c>
      <c r="AM40" s="53">
        <f t="shared" si="38"/>
        <v>0.63489410269968471</v>
      </c>
      <c r="AN40" s="53">
        <f t="shared" si="38"/>
        <v>0.63505260839790145</v>
      </c>
      <c r="AO40" s="53">
        <f t="shared" si="38"/>
        <v>0.63521115366816072</v>
      </c>
      <c r="AP40" s="53">
        <f t="shared" si="38"/>
        <v>0.63536973852034184</v>
      </c>
      <c r="AQ40" s="53">
        <f t="shared" si="38"/>
        <v>0.6355283629643268</v>
      </c>
    </row>
    <row r="41" spans="1:43" s="16" customFormat="1" hidden="1" outlineLevel="6">
      <c r="A41" s="53"/>
      <c r="B41" s="53"/>
      <c r="C41" s="53"/>
      <c r="D41" s="53"/>
      <c r="E41" s="53"/>
      <c r="F41" s="53"/>
      <c r="G41" s="53" t="s">
        <v>354</v>
      </c>
      <c r="H41" s="53">
        <f t="shared" ref="H41:AQ41" si="39">eastern_third_trimester_window_rate_positive*(1+eastern_third_trimester_window_rate_positive_growth)^((COLUMN()-8)/12)</f>
        <v>0.5</v>
      </c>
      <c r="I41" s="53">
        <f t="shared" si="39"/>
        <v>0.50024931512394066</v>
      </c>
      <c r="J41" s="53">
        <f t="shared" si="39"/>
        <v>0.50049875456394333</v>
      </c>
      <c r="K41" s="53">
        <f t="shared" si="39"/>
        <v>0.50074831838199585</v>
      </c>
      <c r="L41" s="53">
        <f t="shared" si="39"/>
        <v>0.50099800664011684</v>
      </c>
      <c r="M41" s="53">
        <f t="shared" si="39"/>
        <v>0.50124781940035579</v>
      </c>
      <c r="N41" s="53">
        <f t="shared" si="39"/>
        <v>0.50149775672479335</v>
      </c>
      <c r="O41" s="53">
        <f t="shared" si="39"/>
        <v>0.50174781867554097</v>
      </c>
      <c r="P41" s="53">
        <f t="shared" si="39"/>
        <v>0.50199800531474104</v>
      </c>
      <c r="Q41" s="53">
        <f t="shared" si="39"/>
        <v>0.50224831670456704</v>
      </c>
      <c r="R41" s="53">
        <f t="shared" si="39"/>
        <v>0.50249875290722334</v>
      </c>
      <c r="S41" s="53">
        <f t="shared" si="39"/>
        <v>0.50274931398494549</v>
      </c>
      <c r="T41" s="53">
        <f t="shared" si="39"/>
        <v>0.503</v>
      </c>
      <c r="U41" s="53">
        <f t="shared" si="39"/>
        <v>0.50325081101468427</v>
      </c>
      <c r="V41" s="53">
        <f t="shared" si="39"/>
        <v>0.503501747091327</v>
      </c>
      <c r="W41" s="53">
        <f t="shared" si="39"/>
        <v>0.50375280829228786</v>
      </c>
      <c r="X41" s="53">
        <f t="shared" si="39"/>
        <v>0.50400399467995749</v>
      </c>
      <c r="Y41" s="53">
        <f t="shared" si="39"/>
        <v>0.50425530631675797</v>
      </c>
      <c r="Z41" s="53">
        <f t="shared" si="39"/>
        <v>0.50450674326514211</v>
      </c>
      <c r="AA41" s="53">
        <f t="shared" si="39"/>
        <v>0.50475830558759416</v>
      </c>
      <c r="AB41" s="53">
        <f t="shared" si="39"/>
        <v>0.50500999334662944</v>
      </c>
      <c r="AC41" s="53">
        <f t="shared" si="39"/>
        <v>0.50526180660479447</v>
      </c>
      <c r="AD41" s="53">
        <f t="shared" si="39"/>
        <v>0.50551374542466676</v>
      </c>
      <c r="AE41" s="53">
        <f t="shared" si="39"/>
        <v>0.50576580986885522</v>
      </c>
      <c r="AF41" s="53">
        <f t="shared" si="39"/>
        <v>0.50601799999999997</v>
      </c>
      <c r="AG41" s="53">
        <f t="shared" si="39"/>
        <v>0.50627031588077243</v>
      </c>
      <c r="AH41" s="53">
        <f t="shared" si="39"/>
        <v>0.50652275757387499</v>
      </c>
      <c r="AI41" s="53">
        <f t="shared" si="39"/>
        <v>0.50677532514204149</v>
      </c>
      <c r="AJ41" s="53">
        <f t="shared" si="39"/>
        <v>0.50702801864803726</v>
      </c>
      <c r="AK41" s="53">
        <f t="shared" si="39"/>
        <v>0.50728083815465852</v>
      </c>
      <c r="AL41" s="53">
        <f t="shared" si="39"/>
        <v>0.5075337837247329</v>
      </c>
      <c r="AM41" s="53">
        <f t="shared" si="39"/>
        <v>0.50778685542111979</v>
      </c>
      <c r="AN41" s="53">
        <f t="shared" si="39"/>
        <v>0.50804005330670921</v>
      </c>
      <c r="AO41" s="53">
        <f t="shared" si="39"/>
        <v>0.50829337744442316</v>
      </c>
      <c r="AP41" s="53">
        <f t="shared" si="39"/>
        <v>0.50854682789721473</v>
      </c>
      <c r="AQ41" s="53">
        <f t="shared" si="39"/>
        <v>0.50880040472806831</v>
      </c>
    </row>
    <row r="42" spans="1:43" s="16" customFormat="1" hidden="1" outlineLevel="5">
      <c r="A42" s="53"/>
      <c r="B42" s="53"/>
      <c r="C42" s="53"/>
      <c r="D42" s="53"/>
      <c r="E42" s="53"/>
      <c r="F42" s="53" t="s">
        <v>355</v>
      </c>
      <c r="G42" s="53"/>
      <c r="H42" s="53">
        <f t="shared" ref="H42:AQ42" si="40">eastern_public_eligibility_rate_positive*(1+eastern_public_eligibility_rate_positive_growth)^((COLUMN()-8)/12)</f>
        <v>0.23749999999999999</v>
      </c>
      <c r="I42" s="53">
        <f t="shared" si="40"/>
        <v>0.23939385835186464</v>
      </c>
      <c r="J42" s="53">
        <f t="shared" si="40"/>
        <v>0.2413028185961795</v>
      </c>
      <c r="K42" s="53">
        <f t="shared" si="40"/>
        <v>0.24322700115755569</v>
      </c>
      <c r="L42" s="53">
        <f t="shared" si="40"/>
        <v>0.24516652742088721</v>
      </c>
      <c r="M42" s="53">
        <f t="shared" si="40"/>
        <v>0.24712151973900801</v>
      </c>
      <c r="N42" s="53">
        <f t="shared" si="40"/>
        <v>0.249092101440411</v>
      </c>
      <c r="O42" s="53">
        <f t="shared" si="40"/>
        <v>0.2510783968370276</v>
      </c>
      <c r="P42" s="53">
        <f t="shared" si="40"/>
        <v>0.25308053123207003</v>
      </c>
      <c r="Q42" s="53">
        <f t="shared" si="40"/>
        <v>0.25509863092793611</v>
      </c>
      <c r="R42" s="53">
        <f t="shared" si="40"/>
        <v>0.25713282323417658</v>
      </c>
      <c r="S42" s="53">
        <f t="shared" si="40"/>
        <v>0.25918323647552644</v>
      </c>
      <c r="T42" s="53">
        <f t="shared" si="40"/>
        <v>0.26124999999999998</v>
      </c>
      <c r="U42" s="53">
        <f t="shared" si="40"/>
        <v>0.26333324418705112</v>
      </c>
      <c r="V42" s="53">
        <f t="shared" si="40"/>
        <v>0.26543310045579743</v>
      </c>
      <c r="W42" s="53">
        <f t="shared" si="40"/>
        <v>0.26754970127331135</v>
      </c>
      <c r="X42" s="53">
        <f t="shared" si="40"/>
        <v>0.26968318016297593</v>
      </c>
      <c r="Y42" s="53">
        <f t="shared" si="40"/>
        <v>0.27183367171290884</v>
      </c>
      <c r="Z42" s="53">
        <f t="shared" si="40"/>
        <v>0.27400131158445212</v>
      </c>
      <c r="AA42" s="53">
        <f t="shared" si="40"/>
        <v>0.27618623652073038</v>
      </c>
      <c r="AB42" s="53">
        <f t="shared" si="40"/>
        <v>0.27838858435527708</v>
      </c>
      <c r="AC42" s="53">
        <f t="shared" si="40"/>
        <v>0.28060849402072979</v>
      </c>
      <c r="AD42" s="53">
        <f t="shared" si="40"/>
        <v>0.28284610555759426</v>
      </c>
      <c r="AE42" s="53">
        <f t="shared" si="40"/>
        <v>0.28510156012307902</v>
      </c>
      <c r="AF42" s="53">
        <f t="shared" si="40"/>
        <v>0.28737500000000005</v>
      </c>
      <c r="AG42" s="53">
        <f t="shared" si="40"/>
        <v>0.28966656860575624</v>
      </c>
      <c r="AH42" s="53">
        <f t="shared" si="40"/>
        <v>0.29197641050137724</v>
      </c>
      <c r="AI42" s="53">
        <f t="shared" si="40"/>
        <v>0.29430467140064248</v>
      </c>
      <c r="AJ42" s="53">
        <f t="shared" si="40"/>
        <v>0.29665149817927355</v>
      </c>
      <c r="AK42" s="53">
        <f t="shared" si="40"/>
        <v>0.29901703888419978</v>
      </c>
      <c r="AL42" s="53">
        <f t="shared" si="40"/>
        <v>0.30140144274289732</v>
      </c>
      <c r="AM42" s="53">
        <f t="shared" si="40"/>
        <v>0.30380486017280339</v>
      </c>
      <c r="AN42" s="53">
        <f t="shared" si="40"/>
        <v>0.30622744279080483</v>
      </c>
      <c r="AO42" s="53">
        <f t="shared" si="40"/>
        <v>0.30866934342280272</v>
      </c>
      <c r="AP42" s="53">
        <f t="shared" si="40"/>
        <v>0.31113071611335369</v>
      </c>
      <c r="AQ42" s="53">
        <f t="shared" si="40"/>
        <v>0.31361171613538696</v>
      </c>
    </row>
    <row r="43" spans="1:43" s="16" customFormat="1" hidden="1" outlineLevel="5">
      <c r="A43" s="53"/>
      <c r="B43" s="53"/>
      <c r="C43" s="53"/>
      <c r="D43" s="53"/>
      <c r="E43" s="53"/>
      <c r="F43" s="53" t="s">
        <v>356</v>
      </c>
      <c r="G43" s="53"/>
      <c r="H43" s="53">
        <f t="shared" ref="H43:AQ43" si="41">eastern_public_provider_recommendation_rate_positive*(1+eastern_public_provider_recommendation_rate_positive_growth)^((COLUMN()-8)/12)</f>
        <v>0.49280000000000013</v>
      </c>
      <c r="I43" s="53">
        <f t="shared" si="41"/>
        <v>0.49480772820058205</v>
      </c>
      <c r="J43" s="53">
        <f t="shared" si="41"/>
        <v>0.49682363613437697</v>
      </c>
      <c r="K43" s="53">
        <f t="shared" si="41"/>
        <v>0.49884775712663071</v>
      </c>
      <c r="L43" s="53">
        <f t="shared" si="41"/>
        <v>0.50088012463835996</v>
      </c>
      <c r="M43" s="53">
        <f t="shared" si="41"/>
        <v>0.50292077226690579</v>
      </c>
      <c r="N43" s="53">
        <f t="shared" si="41"/>
        <v>0.50496973374648924</v>
      </c>
      <c r="O43" s="53">
        <f t="shared" si="41"/>
        <v>0.50702704294876833</v>
      </c>
      <c r="P43" s="53">
        <f t="shared" si="41"/>
        <v>0.50909273388339871</v>
      </c>
      <c r="Q43" s="53">
        <f t="shared" si="41"/>
        <v>0.51116684069859564</v>
      </c>
      <c r="R43" s="53">
        <f t="shared" si="41"/>
        <v>0.51324939768169819</v>
      </c>
      <c r="S43" s="53">
        <f t="shared" si="41"/>
        <v>0.51534043925973638</v>
      </c>
      <c r="T43" s="53">
        <f t="shared" si="41"/>
        <v>0.51744000000000012</v>
      </c>
      <c r="U43" s="53">
        <f t="shared" si="41"/>
        <v>0.51954811461061112</v>
      </c>
      <c r="V43" s="53">
        <f t="shared" si="41"/>
        <v>0.52166481794109587</v>
      </c>
      <c r="W43" s="53">
        <f t="shared" si="41"/>
        <v>0.52379014498296228</v>
      </c>
      <c r="X43" s="53">
        <f t="shared" si="41"/>
        <v>0.52592413087027789</v>
      </c>
      <c r="Y43" s="53">
        <f t="shared" si="41"/>
        <v>0.52806681088025109</v>
      </c>
      <c r="Z43" s="53">
        <f t="shared" si="41"/>
        <v>0.53021822043381361</v>
      </c>
      <c r="AA43" s="53">
        <f t="shared" si="41"/>
        <v>0.53237839509620677</v>
      </c>
      <c r="AB43" s="53">
        <f t="shared" si="41"/>
        <v>0.53454737057756874</v>
      </c>
      <c r="AC43" s="53">
        <f t="shared" si="41"/>
        <v>0.53672518273352532</v>
      </c>
      <c r="AD43" s="53">
        <f t="shared" si="41"/>
        <v>0.53891186756578313</v>
      </c>
      <c r="AE43" s="53">
        <f t="shared" si="41"/>
        <v>0.54110746122272313</v>
      </c>
      <c r="AF43" s="53">
        <f t="shared" si="41"/>
        <v>0.54331200000000013</v>
      </c>
      <c r="AG43" s="53">
        <f t="shared" si="41"/>
        <v>0.54552552034114177</v>
      </c>
      <c r="AH43" s="53">
        <f t="shared" si="41"/>
        <v>0.5477480588381507</v>
      </c>
      <c r="AI43" s="53">
        <f t="shared" si="41"/>
        <v>0.54997965223211043</v>
      </c>
      <c r="AJ43" s="53">
        <f t="shared" si="41"/>
        <v>0.55222033741379184</v>
      </c>
      <c r="AK43" s="53">
        <f t="shared" si="41"/>
        <v>0.5544701514242637</v>
      </c>
      <c r="AL43" s="53">
        <f t="shared" si="41"/>
        <v>0.5567291314555044</v>
      </c>
      <c r="AM43" s="53">
        <f t="shared" si="41"/>
        <v>0.55899731485101711</v>
      </c>
      <c r="AN43" s="53">
        <f t="shared" si="41"/>
        <v>0.5612747391064471</v>
      </c>
      <c r="AO43" s="53">
        <f t="shared" si="41"/>
        <v>0.56356144187020174</v>
      </c>
      <c r="AP43" s="53">
        <f t="shared" si="41"/>
        <v>0.5658574609440723</v>
      </c>
      <c r="AQ43" s="53">
        <f t="shared" si="41"/>
        <v>0.56816283428385927</v>
      </c>
    </row>
    <row r="44" spans="1:43" s="16" customFormat="1" hidden="1" outlineLevel="5">
      <c r="A44" s="53"/>
      <c r="B44" s="53"/>
      <c r="C44" s="53"/>
      <c r="D44" s="53"/>
      <c r="E44" s="53"/>
      <c r="F44" s="53" t="s">
        <v>357</v>
      </c>
      <c r="G44" s="53"/>
      <c r="H44" s="53">
        <f t="shared" ref="H44:AQ44" si="42">eastern_public_acceptance_rate_positive*(1+eastern_public_acceptance_rate_positive_growth)^((COLUMN()-8)/12)</f>
        <v>0.81900000000000006</v>
      </c>
      <c r="I44" s="53">
        <f t="shared" si="42"/>
        <v>0.82068700590500132</v>
      </c>
      <c r="J44" s="53">
        <f t="shared" si="42"/>
        <v>0.82237748676595324</v>
      </c>
      <c r="K44" s="53">
        <f t="shared" si="42"/>
        <v>0.82407144974069602</v>
      </c>
      <c r="L44" s="53">
        <f t="shared" si="42"/>
        <v>0.82576890200181374</v>
      </c>
      <c r="M44" s="53">
        <f t="shared" si="42"/>
        <v>0.82746985073666546</v>
      </c>
      <c r="N44" s="53">
        <f t="shared" si="42"/>
        <v>0.82917430314741414</v>
      </c>
      <c r="O44" s="53">
        <f t="shared" si="42"/>
        <v>0.830882266451059</v>
      </c>
      <c r="P44" s="53">
        <f t="shared" si="42"/>
        <v>0.83259374787946405</v>
      </c>
      <c r="Q44" s="53">
        <f t="shared" si="42"/>
        <v>0.83430875467939059</v>
      </c>
      <c r="R44" s="53">
        <f t="shared" si="42"/>
        <v>0.83602729411252663</v>
      </c>
      <c r="S44" s="53">
        <f t="shared" si="42"/>
        <v>0.83774937345551825</v>
      </c>
      <c r="T44" s="53">
        <f t="shared" si="42"/>
        <v>0.83947499999999997</v>
      </c>
      <c r="U44" s="53">
        <f t="shared" si="42"/>
        <v>0.84120418105262629</v>
      </c>
      <c r="V44" s="53">
        <f t="shared" si="42"/>
        <v>0.84293692393510189</v>
      </c>
      <c r="W44" s="53">
        <f t="shared" si="42"/>
        <v>0.84467323598421329</v>
      </c>
      <c r="X44" s="53">
        <f t="shared" si="42"/>
        <v>0.84641312455185902</v>
      </c>
      <c r="Y44" s="53">
        <f t="shared" si="42"/>
        <v>0.84815659700508206</v>
      </c>
      <c r="Z44" s="53">
        <f t="shared" si="42"/>
        <v>0.84990366072609946</v>
      </c>
      <c r="AA44" s="53">
        <f t="shared" si="42"/>
        <v>0.85165432311233535</v>
      </c>
      <c r="AB44" s="53">
        <f t="shared" si="42"/>
        <v>0.85340859157645066</v>
      </c>
      <c r="AC44" s="53">
        <f t="shared" si="42"/>
        <v>0.85516647354637532</v>
      </c>
      <c r="AD44" s="53">
        <f t="shared" si="42"/>
        <v>0.8569279764653398</v>
      </c>
      <c r="AE44" s="53">
        <f t="shared" si="42"/>
        <v>0.85869310779190611</v>
      </c>
      <c r="AF44" s="53">
        <f t="shared" si="42"/>
        <v>0.86046187500000004</v>
      </c>
      <c r="AG44" s="53">
        <f t="shared" si="42"/>
        <v>0.86223428557894188</v>
      </c>
      <c r="AH44" s="53">
        <f t="shared" si="42"/>
        <v>0.86401034703347934</v>
      </c>
      <c r="AI44" s="53">
        <f t="shared" si="42"/>
        <v>0.86579006688381854</v>
      </c>
      <c r="AJ44" s="53">
        <f t="shared" si="42"/>
        <v>0.86757345266565544</v>
      </c>
      <c r="AK44" s="53">
        <f t="shared" si="42"/>
        <v>0.86936051193020902</v>
      </c>
      <c r="AL44" s="53">
        <f t="shared" si="42"/>
        <v>0.87115125224425194</v>
      </c>
      <c r="AM44" s="53">
        <f t="shared" si="42"/>
        <v>0.87294568119014371</v>
      </c>
      <c r="AN44" s="53">
        <f t="shared" si="42"/>
        <v>0.8747438063658618</v>
      </c>
      <c r="AO44" s="53">
        <f t="shared" si="42"/>
        <v>0.8765456353850346</v>
      </c>
      <c r="AP44" s="53">
        <f t="shared" si="42"/>
        <v>0.8783511758769732</v>
      </c>
      <c r="AQ44" s="53">
        <f t="shared" si="42"/>
        <v>0.88016043548670364</v>
      </c>
    </row>
    <row r="45" spans="1:43" s="16" customFormat="1" hidden="1" outlineLevel="5">
      <c r="A45" s="53"/>
      <c r="B45" s="53"/>
      <c r="C45" s="53"/>
      <c r="D45" s="53"/>
      <c r="E45" s="53"/>
      <c r="F45" s="53" t="s">
        <v>358</v>
      </c>
      <c r="G45" s="53"/>
      <c r="H45" s="53">
        <f t="shared" ref="H45:AQ45" si="43">eastern_public_stock_availability_rate_positive*(1+eastern_public_stock_availability_rate_positive_growth)^((COLUMN()-8)/12)</f>
        <v>0.86919999999999997</v>
      </c>
      <c r="I45" s="53">
        <f t="shared" si="43"/>
        <v>0.87063555446762908</v>
      </c>
      <c r="J45" s="53">
        <f t="shared" si="43"/>
        <v>0.87207347987017469</v>
      </c>
      <c r="K45" s="53">
        <f t="shared" si="43"/>
        <v>0.87351378012342873</v>
      </c>
      <c r="L45" s="53">
        <f t="shared" si="43"/>
        <v>0.87495645914965026</v>
      </c>
      <c r="M45" s="53">
        <f t="shared" si="43"/>
        <v>0.87640152087757595</v>
      </c>
      <c r="N45" s="53">
        <f t="shared" si="43"/>
        <v>0.87784896924243183</v>
      </c>
      <c r="O45" s="53">
        <f t="shared" si="43"/>
        <v>0.87929880818594253</v>
      </c>
      <c r="P45" s="53">
        <f t="shared" si="43"/>
        <v>0.8807510416563431</v>
      </c>
      <c r="Q45" s="53">
        <f t="shared" si="43"/>
        <v>0.88220567360838942</v>
      </c>
      <c r="R45" s="53">
        <f t="shared" si="43"/>
        <v>0.88366270800336899</v>
      </c>
      <c r="S45" s="53">
        <f t="shared" si="43"/>
        <v>0.88512214880911144</v>
      </c>
      <c r="T45" s="53">
        <f t="shared" si="43"/>
        <v>0.88658400000000004</v>
      </c>
      <c r="U45" s="53">
        <f t="shared" si="43"/>
        <v>0.88804826555698158</v>
      </c>
      <c r="V45" s="53">
        <f t="shared" si="43"/>
        <v>0.88951494946757814</v>
      </c>
      <c r="W45" s="53">
        <f t="shared" si="43"/>
        <v>0.89098405572589734</v>
      </c>
      <c r="X45" s="53">
        <f t="shared" si="43"/>
        <v>0.89245558833264316</v>
      </c>
      <c r="Y45" s="53">
        <f t="shared" si="43"/>
        <v>0.89392955129512752</v>
      </c>
      <c r="Z45" s="53">
        <f t="shared" si="43"/>
        <v>0.89540594862728051</v>
      </c>
      <c r="AA45" s="53">
        <f t="shared" si="43"/>
        <v>0.89688478434966146</v>
      </c>
      <c r="AB45" s="53">
        <f t="shared" si="43"/>
        <v>0.89836606248946993</v>
      </c>
      <c r="AC45" s="53">
        <f t="shared" si="43"/>
        <v>0.89984978708055718</v>
      </c>
      <c r="AD45" s="53">
        <f t="shared" si="43"/>
        <v>0.90133596216343637</v>
      </c>
      <c r="AE45" s="53">
        <f t="shared" si="43"/>
        <v>0.90282459178529373</v>
      </c>
      <c r="AF45" s="53">
        <f t="shared" si="43"/>
        <v>0.90431567999999996</v>
      </c>
      <c r="AG45" s="53">
        <f t="shared" si="43"/>
        <v>0.90580923086812115</v>
      </c>
      <c r="AH45" s="53">
        <f t="shared" si="43"/>
        <v>0.90730524845692961</v>
      </c>
      <c r="AI45" s="53">
        <f t="shared" si="43"/>
        <v>0.90880373684041516</v>
      </c>
      <c r="AJ45" s="53">
        <f t="shared" si="43"/>
        <v>0.91030470009929598</v>
      </c>
      <c r="AK45" s="53">
        <f t="shared" si="43"/>
        <v>0.91180814232103014</v>
      </c>
      <c r="AL45" s="53">
        <f t="shared" si="43"/>
        <v>0.91331406759982603</v>
      </c>
      <c r="AM45" s="53">
        <f t="shared" si="43"/>
        <v>0.91482248003665456</v>
      </c>
      <c r="AN45" s="53">
        <f t="shared" si="43"/>
        <v>0.91633338373925932</v>
      </c>
      <c r="AO45" s="53">
        <f t="shared" si="43"/>
        <v>0.91784678282216836</v>
      </c>
      <c r="AP45" s="53">
        <f t="shared" si="43"/>
        <v>0.91936268140670507</v>
      </c>
      <c r="AQ45" s="53">
        <f t="shared" si="43"/>
        <v>0.92088108362099952</v>
      </c>
    </row>
    <row r="46" spans="1:43" s="16" customFormat="1" hidden="1" outlineLevel="5" collapsed="1">
      <c r="A46" s="53"/>
      <c r="B46" s="53"/>
      <c r="C46" s="53"/>
      <c r="D46" s="53"/>
      <c r="E46" s="53"/>
      <c r="F46" s="53" t="s">
        <v>359</v>
      </c>
      <c r="G46" s="53"/>
      <c r="H46" s="53">
        <f>0.08</f>
        <v>0.08</v>
      </c>
      <c r="I46" s="53">
        <f t="shared" ref="I46:AQ46" si="44">H46+I47-I48</f>
        <v>9.5961873681883553E-2</v>
      </c>
      <c r="J46" s="53">
        <f t="shared" si="44"/>
        <v>0.11198582360398451</v>
      </c>
      <c r="K46" s="53">
        <f t="shared" si="44"/>
        <v>0.12807205298776003</v>
      </c>
      <c r="L46" s="53">
        <f t="shared" si="44"/>
        <v>0.14422076571996137</v>
      </c>
      <c r="M46" s="53">
        <f t="shared" si="44"/>
        <v>0.16043216635481203</v>
      </c>
      <c r="N46" s="53">
        <f t="shared" si="44"/>
        <v>0.17670646011619276</v>
      </c>
      <c r="O46" s="53">
        <f t="shared" si="44"/>
        <v>0.19304385289983389</v>
      </c>
      <c r="P46" s="53">
        <f t="shared" si="44"/>
        <v>0.20944455127551484</v>
      </c>
      <c r="Q46" s="53">
        <f t="shared" si="44"/>
        <v>0.22590876248927069</v>
      </c>
      <c r="R46" s="53">
        <f t="shared" si="44"/>
        <v>0.24243669446560615</v>
      </c>
      <c r="S46" s="53">
        <f t="shared" si="44"/>
        <v>0.25902855580971662</v>
      </c>
      <c r="T46" s="53">
        <f t="shared" si="44"/>
        <v>0.27568455580971662</v>
      </c>
      <c r="U46" s="53">
        <f t="shared" si="44"/>
        <v>0.29240490443887551</v>
      </c>
      <c r="V46" s="53">
        <f t="shared" si="44"/>
        <v>0.30918981235786053</v>
      </c>
      <c r="W46" s="53">
        <f t="shared" si="44"/>
        <v>0.32603949091698703</v>
      </c>
      <c r="X46" s="53">
        <f t="shared" si="44"/>
        <v>0.34295415215847641</v>
      </c>
      <c r="Y46" s="53">
        <f t="shared" si="44"/>
        <v>0.35993400881872112</v>
      </c>
      <c r="Z46" s="53">
        <f t="shared" si="44"/>
        <v>0.37697927433055706</v>
      </c>
      <c r="AA46" s="53">
        <f t="shared" si="44"/>
        <v>0.39409016282554382</v>
      </c>
      <c r="AB46" s="53">
        <f t="shared" si="44"/>
        <v>0.41126688913625203</v>
      </c>
      <c r="AC46" s="53">
        <f t="shared" si="44"/>
        <v>0.42850966879855812</v>
      </c>
      <c r="AD46" s="53">
        <f t="shared" si="44"/>
        <v>0.44581871805394702</v>
      </c>
      <c r="AE46" s="53">
        <f t="shared" si="44"/>
        <v>0.46319425385182189</v>
      </c>
      <c r="AF46" s="53">
        <f t="shared" si="44"/>
        <v>0.48063649385182189</v>
      </c>
      <c r="AG46" s="53">
        <f t="shared" si="44"/>
        <v>0.49814565642614717</v>
      </c>
      <c r="AH46" s="53">
        <f t="shared" si="44"/>
        <v>0.51572196066189158</v>
      </c>
      <c r="AI46" s="53">
        <f t="shared" si="44"/>
        <v>0.53336562636338314</v>
      </c>
      <c r="AJ46" s="53">
        <f t="shared" si="44"/>
        <v>0.5510768740545321</v>
      </c>
      <c r="AK46" s="53">
        <f t="shared" si="44"/>
        <v>0.56885592498118653</v>
      </c>
      <c r="AL46" s="53">
        <f t="shared" si="44"/>
        <v>0.58670300111349594</v>
      </c>
      <c r="AM46" s="53">
        <f t="shared" si="44"/>
        <v>0.60461832514828218</v>
      </c>
      <c r="AN46" s="53">
        <f t="shared" si="44"/>
        <v>0.62260212051141872</v>
      </c>
      <c r="AO46" s="53">
        <f t="shared" si="44"/>
        <v>0.64065461136021706</v>
      </c>
      <c r="AP46" s="53">
        <f t="shared" si="44"/>
        <v>0.65877602258582146</v>
      </c>
      <c r="AQ46" s="53">
        <f t="shared" si="44"/>
        <v>0.67696657981561137</v>
      </c>
    </row>
    <row r="47" spans="1:43" s="16" customFormat="1" hidden="1" outlineLevel="6">
      <c r="A47" s="53"/>
      <c r="B47" s="53"/>
      <c r="C47" s="53"/>
      <c r="D47" s="53"/>
      <c r="E47" s="53"/>
      <c r="F47" s="53"/>
      <c r="G47" s="53" t="s">
        <v>136</v>
      </c>
      <c r="H47" s="53">
        <f t="shared" ref="H47:AQ47" si="45">eastern_public_coverage_additions_positive*(1+eastern_public_coverage_additions_positive_growth)^((COLUMN()-8)/12)</f>
        <v>1.89E-2</v>
      </c>
      <c r="I47" s="53">
        <f t="shared" si="45"/>
        <v>1.8961873681883561E-2</v>
      </c>
      <c r="J47" s="53">
        <f t="shared" si="45"/>
        <v>1.902394992210097E-2</v>
      </c>
      <c r="K47" s="53">
        <f t="shared" si="45"/>
        <v>1.9086229383775511E-2</v>
      </c>
      <c r="L47" s="53">
        <f t="shared" si="45"/>
        <v>1.914871273220135E-2</v>
      </c>
      <c r="M47" s="53">
        <f t="shared" si="45"/>
        <v>1.9211400634850655E-2</v>
      </c>
      <c r="N47" s="53">
        <f t="shared" si="45"/>
        <v>1.9274293761380727E-2</v>
      </c>
      <c r="O47" s="53">
        <f t="shared" si="45"/>
        <v>1.9337392783641143E-2</v>
      </c>
      <c r="P47" s="53">
        <f t="shared" si="45"/>
        <v>1.9400698375680956E-2</v>
      </c>
      <c r="Q47" s="53">
        <f t="shared" si="45"/>
        <v>1.9464211213755862E-2</v>
      </c>
      <c r="R47" s="53">
        <f t="shared" si="45"/>
        <v>1.9527931976335462E-2</v>
      </c>
      <c r="S47" s="53">
        <f t="shared" si="45"/>
        <v>1.9591861344110464E-2</v>
      </c>
      <c r="T47" s="53">
        <f t="shared" si="45"/>
        <v>1.9656E-2</v>
      </c>
      <c r="U47" s="53">
        <f t="shared" si="45"/>
        <v>1.9720348629158904E-2</v>
      </c>
      <c r="V47" s="53">
        <f t="shared" si="45"/>
        <v>1.978490791898501E-2</v>
      </c>
      <c r="W47" s="53">
        <f t="shared" si="45"/>
        <v>1.9849678559126532E-2</v>
      </c>
      <c r="X47" s="53">
        <f t="shared" si="45"/>
        <v>1.9914661241489405E-2</v>
      </c>
      <c r="Y47" s="53">
        <f t="shared" si="45"/>
        <v>1.9979856660244686E-2</v>
      </c>
      <c r="Z47" s="53">
        <f t="shared" si="45"/>
        <v>2.0045265511835959E-2</v>
      </c>
      <c r="AA47" s="53">
        <f t="shared" si="45"/>
        <v>2.0110888494986792E-2</v>
      </c>
      <c r="AB47" s="53">
        <f t="shared" si="45"/>
        <v>2.0176726310708198E-2</v>
      </c>
      <c r="AC47" s="53">
        <f t="shared" si="45"/>
        <v>2.0242779662306098E-2</v>
      </c>
      <c r="AD47" s="53">
        <f t="shared" si="45"/>
        <v>2.0309049255388879E-2</v>
      </c>
      <c r="AE47" s="53">
        <f t="shared" si="45"/>
        <v>2.0375535797874881E-2</v>
      </c>
      <c r="AF47" s="53">
        <f t="shared" si="45"/>
        <v>2.0442240000000004E-2</v>
      </c>
      <c r="AG47" s="53">
        <f t="shared" si="45"/>
        <v>2.0509162574325258E-2</v>
      </c>
      <c r="AH47" s="53">
        <f t="shared" si="45"/>
        <v>2.057630423574441E-2</v>
      </c>
      <c r="AI47" s="53">
        <f t="shared" si="45"/>
        <v>2.0643665701491596E-2</v>
      </c>
      <c r="AJ47" s="53">
        <f t="shared" si="45"/>
        <v>2.071124769114898E-2</v>
      </c>
      <c r="AK47" s="53">
        <f t="shared" si="45"/>
        <v>2.0779050926654472E-2</v>
      </c>
      <c r="AL47" s="53">
        <f t="shared" si="45"/>
        <v>2.0847076132309399E-2</v>
      </c>
      <c r="AM47" s="53">
        <f t="shared" si="45"/>
        <v>2.0915324034786267E-2</v>
      </c>
      <c r="AN47" s="53">
        <f t="shared" si="45"/>
        <v>2.0983795363136524E-2</v>
      </c>
      <c r="AO47" s="53">
        <f t="shared" si="45"/>
        <v>2.1052490848798344E-2</v>
      </c>
      <c r="AP47" s="53">
        <f t="shared" si="45"/>
        <v>2.1121411225604434E-2</v>
      </c>
      <c r="AQ47" s="53">
        <f t="shared" si="45"/>
        <v>2.119055722978988E-2</v>
      </c>
    </row>
    <row r="48" spans="1:43" s="16" customFormat="1" hidden="1" outlineLevel="6">
      <c r="A48" s="53"/>
      <c r="B48" s="53"/>
      <c r="C48" s="53"/>
      <c r="D48" s="53"/>
      <c r="E48" s="53"/>
      <c r="F48" s="53"/>
      <c r="G48" s="53" t="s">
        <v>360</v>
      </c>
      <c r="H48" s="53">
        <f t="shared" ref="H48:AQ48" si="46">eastern_public_coverage_churn_positive*(1+eastern_public_coverage_churn_positive_growth)^((COLUMN()-8)/12)</f>
        <v>3.0000000000000001E-3</v>
      </c>
      <c r="I48" s="53">
        <f t="shared" si="46"/>
        <v>3.0000000000000001E-3</v>
      </c>
      <c r="J48" s="53">
        <f t="shared" si="46"/>
        <v>3.0000000000000001E-3</v>
      </c>
      <c r="K48" s="53">
        <f t="shared" si="46"/>
        <v>3.0000000000000001E-3</v>
      </c>
      <c r="L48" s="53">
        <f t="shared" si="46"/>
        <v>3.0000000000000001E-3</v>
      </c>
      <c r="M48" s="53">
        <f t="shared" si="46"/>
        <v>3.0000000000000001E-3</v>
      </c>
      <c r="N48" s="53">
        <f t="shared" si="46"/>
        <v>3.0000000000000001E-3</v>
      </c>
      <c r="O48" s="53">
        <f t="shared" si="46"/>
        <v>3.0000000000000001E-3</v>
      </c>
      <c r="P48" s="53">
        <f t="shared" si="46"/>
        <v>3.0000000000000001E-3</v>
      </c>
      <c r="Q48" s="53">
        <f t="shared" si="46"/>
        <v>3.0000000000000001E-3</v>
      </c>
      <c r="R48" s="53">
        <f t="shared" si="46"/>
        <v>3.0000000000000001E-3</v>
      </c>
      <c r="S48" s="53">
        <f t="shared" si="46"/>
        <v>3.0000000000000001E-3</v>
      </c>
      <c r="T48" s="53">
        <f t="shared" si="46"/>
        <v>3.0000000000000001E-3</v>
      </c>
      <c r="U48" s="53">
        <f t="shared" si="46"/>
        <v>3.0000000000000001E-3</v>
      </c>
      <c r="V48" s="53">
        <f t="shared" si="46"/>
        <v>3.0000000000000001E-3</v>
      </c>
      <c r="W48" s="53">
        <f t="shared" si="46"/>
        <v>3.0000000000000001E-3</v>
      </c>
      <c r="X48" s="53">
        <f t="shared" si="46"/>
        <v>3.0000000000000001E-3</v>
      </c>
      <c r="Y48" s="53">
        <f t="shared" si="46"/>
        <v>3.0000000000000001E-3</v>
      </c>
      <c r="Z48" s="53">
        <f t="shared" si="46"/>
        <v>3.0000000000000001E-3</v>
      </c>
      <c r="AA48" s="53">
        <f t="shared" si="46"/>
        <v>3.0000000000000001E-3</v>
      </c>
      <c r="AB48" s="53">
        <f t="shared" si="46"/>
        <v>3.0000000000000001E-3</v>
      </c>
      <c r="AC48" s="53">
        <f t="shared" si="46"/>
        <v>3.0000000000000001E-3</v>
      </c>
      <c r="AD48" s="53">
        <f t="shared" si="46"/>
        <v>3.0000000000000001E-3</v>
      </c>
      <c r="AE48" s="53">
        <f t="shared" si="46"/>
        <v>3.0000000000000001E-3</v>
      </c>
      <c r="AF48" s="53">
        <f t="shared" si="46"/>
        <v>3.0000000000000001E-3</v>
      </c>
      <c r="AG48" s="53">
        <f t="shared" si="46"/>
        <v>3.0000000000000001E-3</v>
      </c>
      <c r="AH48" s="53">
        <f t="shared" si="46"/>
        <v>3.0000000000000001E-3</v>
      </c>
      <c r="AI48" s="53">
        <f t="shared" si="46"/>
        <v>3.0000000000000001E-3</v>
      </c>
      <c r="AJ48" s="53">
        <f t="shared" si="46"/>
        <v>3.0000000000000001E-3</v>
      </c>
      <c r="AK48" s="53">
        <f t="shared" si="46"/>
        <v>3.0000000000000001E-3</v>
      </c>
      <c r="AL48" s="53">
        <f t="shared" si="46"/>
        <v>3.0000000000000001E-3</v>
      </c>
      <c r="AM48" s="53">
        <f t="shared" si="46"/>
        <v>3.0000000000000001E-3</v>
      </c>
      <c r="AN48" s="53">
        <f t="shared" si="46"/>
        <v>3.0000000000000001E-3</v>
      </c>
      <c r="AO48" s="53">
        <f t="shared" si="46"/>
        <v>3.0000000000000001E-3</v>
      </c>
      <c r="AP48" s="53">
        <f t="shared" si="46"/>
        <v>3.0000000000000001E-3</v>
      </c>
      <c r="AQ48" s="53">
        <f t="shared" si="46"/>
        <v>3.0000000000000001E-3</v>
      </c>
    </row>
    <row r="49" spans="1:43" s="16" customFormat="1" hidden="1" outlineLevel="4">
      <c r="A49" s="53"/>
      <c r="B49" s="53"/>
      <c r="C49" s="53"/>
      <c r="D49" s="53"/>
      <c r="E49" s="53" t="s">
        <v>361</v>
      </c>
      <c r="F49" s="53"/>
      <c r="G49" s="53"/>
      <c r="H49" s="53">
        <f t="shared" ref="H49:AQ49" si="47">eastern_public_net_price_per_dose_positive*(1+eastern_public_net_price_per_dose_positive_growth)^((COLUMN()-8)/12)</f>
        <v>36180</v>
      </c>
      <c r="I49" s="53">
        <f t="shared" si="47"/>
        <v>36269.229640361948</v>
      </c>
      <c r="J49" s="53">
        <f t="shared" si="47"/>
        <v>36358.679345088705</v>
      </c>
      <c r="K49" s="53">
        <f t="shared" si="47"/>
        <v>36448.349656918377</v>
      </c>
      <c r="L49" s="53">
        <f t="shared" si="47"/>
        <v>36538.241119927588</v>
      </c>
      <c r="M49" s="53">
        <f t="shared" si="47"/>
        <v>36628.354279534804</v>
      </c>
      <c r="N49" s="53">
        <f t="shared" si="47"/>
        <v>36718.689682503653</v>
      </c>
      <c r="O49" s="53">
        <f t="shared" si="47"/>
        <v>36809.247876946203</v>
      </c>
      <c r="P49" s="53">
        <f t="shared" si="47"/>
        <v>36900.029412326352</v>
      </c>
      <c r="Q49" s="53">
        <f t="shared" si="47"/>
        <v>36991.034839463078</v>
      </c>
      <c r="R49" s="53">
        <f t="shared" si="47"/>
        <v>37082.264710533876</v>
      </c>
      <c r="S49" s="53">
        <f t="shared" si="47"/>
        <v>37173.719579078032</v>
      </c>
      <c r="T49" s="53">
        <f t="shared" si="47"/>
        <v>37265.4</v>
      </c>
      <c r="U49" s="53">
        <f t="shared" si="47"/>
        <v>37357.306529572801</v>
      </c>
      <c r="V49" s="53">
        <f t="shared" si="47"/>
        <v>37449.439725441371</v>
      </c>
      <c r="W49" s="53">
        <f t="shared" si="47"/>
        <v>37541.80014662593</v>
      </c>
      <c r="X49" s="53">
        <f t="shared" si="47"/>
        <v>37634.388353525414</v>
      </c>
      <c r="Y49" s="53">
        <f t="shared" si="47"/>
        <v>37727.204907920852</v>
      </c>
      <c r="Z49" s="53">
        <f t="shared" si="47"/>
        <v>37820.250372978764</v>
      </c>
      <c r="AA49" s="53">
        <f t="shared" si="47"/>
        <v>37913.525313254599</v>
      </c>
      <c r="AB49" s="53">
        <f t="shared" si="47"/>
        <v>38007.030294696138</v>
      </c>
      <c r="AC49" s="53">
        <f t="shared" si="47"/>
        <v>38100.765884646971</v>
      </c>
      <c r="AD49" s="53">
        <f t="shared" si="47"/>
        <v>38194.732651849896</v>
      </c>
      <c r="AE49" s="53">
        <f t="shared" si="47"/>
        <v>38288.931166450369</v>
      </c>
      <c r="AF49" s="53">
        <f t="shared" si="47"/>
        <v>38383.362000000001</v>
      </c>
      <c r="AG49" s="53">
        <f t="shared" si="47"/>
        <v>38478.025725459986</v>
      </c>
      <c r="AH49" s="53">
        <f t="shared" si="47"/>
        <v>38572.922917204611</v>
      </c>
      <c r="AI49" s="53">
        <f t="shared" si="47"/>
        <v>38668.054151024706</v>
      </c>
      <c r="AJ49" s="53">
        <f t="shared" si="47"/>
        <v>38763.420004131185</v>
      </c>
      <c r="AK49" s="53">
        <f t="shared" si="47"/>
        <v>38859.021055158475</v>
      </c>
      <c r="AL49" s="53">
        <f t="shared" si="47"/>
        <v>38954.857884168123</v>
      </c>
      <c r="AM49" s="53">
        <f t="shared" si="47"/>
        <v>39050.931072652231</v>
      </c>
      <c r="AN49" s="53">
        <f t="shared" si="47"/>
        <v>39147.241203537029</v>
      </c>
      <c r="AO49" s="53">
        <f t="shared" si="47"/>
        <v>39243.788861186382</v>
      </c>
      <c r="AP49" s="53">
        <f t="shared" si="47"/>
        <v>39340.574631405398</v>
      </c>
      <c r="AQ49" s="53">
        <f t="shared" si="47"/>
        <v>39437.599101443884</v>
      </c>
    </row>
    <row r="50" spans="1:43" s="16" customFormat="1" outlineLevel="3" collapsed="1">
      <c r="A50" s="53"/>
      <c r="B50" s="53"/>
      <c r="C50" s="53"/>
      <c r="D50" s="53" t="s">
        <v>362</v>
      </c>
      <c r="E50" s="53"/>
      <c r="F50" s="53"/>
      <c r="G50" s="53"/>
      <c r="H50" s="53">
        <f t="shared" ref="H50:AQ50" si="48">(H51*H64)</f>
        <v>1477889.7442607346</v>
      </c>
      <c r="I50" s="53">
        <f t="shared" si="48"/>
        <v>1732713.8343731742</v>
      </c>
      <c r="J50" s="53">
        <f t="shared" si="48"/>
        <v>1998358.9287972241</v>
      </c>
      <c r="K50" s="53">
        <f t="shared" si="48"/>
        <v>2275185.4779535802</v>
      </c>
      <c r="L50" s="53">
        <f t="shared" si="48"/>
        <v>2563564.7365142694</v>
      </c>
      <c r="M50" s="53">
        <f t="shared" si="48"/>
        <v>2863879.0686587966</v>
      </c>
      <c r="N50" s="53">
        <f t="shared" si="48"/>
        <v>3176522.261635555</v>
      </c>
      <c r="O50" s="53">
        <f t="shared" si="48"/>
        <v>3501899.8478486128</v>
      </c>
      <c r="P50" s="53">
        <f t="shared" si="48"/>
        <v>3840429.4356958247</v>
      </c>
      <c r="Q50" s="53">
        <f t="shared" si="48"/>
        <v>4192541.0493899514</v>
      </c>
      <c r="R50" s="53">
        <f t="shared" si="48"/>
        <v>4558677.4780006232</v>
      </c>
      <c r="S50" s="53">
        <f t="shared" si="48"/>
        <v>4939294.6339610526</v>
      </c>
      <c r="T50" s="53">
        <f t="shared" si="48"/>
        <v>5334861.9212898286</v>
      </c>
      <c r="U50" s="53">
        <f t="shared" si="48"/>
        <v>5745862.6137845712</v>
      </c>
      <c r="V50" s="53">
        <f t="shared" si="48"/>
        <v>6172794.2434508689</v>
      </c>
      <c r="W50" s="53">
        <f t="shared" si="48"/>
        <v>6616168.9994368525</v>
      </c>
      <c r="X50" s="53">
        <f t="shared" si="48"/>
        <v>7076514.1377506107</v>
      </c>
      <c r="Y50" s="53">
        <f t="shared" si="48"/>
        <v>7554372.4020450804</v>
      </c>
      <c r="Z50" s="53">
        <f t="shared" si="48"/>
        <v>8050302.455762093</v>
      </c>
      <c r="AA50" s="53">
        <f t="shared" si="48"/>
        <v>8564879.3259351756</v>
      </c>
      <c r="AB50" s="53">
        <f t="shared" si="48"/>
        <v>9098694.8589581586</v>
      </c>
      <c r="AC50" s="53">
        <f t="shared" si="48"/>
        <v>9652358.1886347998</v>
      </c>
      <c r="AD50" s="53">
        <f t="shared" si="48"/>
        <v>10226496.216832699</v>
      </c>
      <c r="AE50" s="53">
        <f t="shared" si="48"/>
        <v>10821754.107073091</v>
      </c>
      <c r="AF50" s="53">
        <f t="shared" si="48"/>
        <v>11438795.791396931</v>
      </c>
      <c r="AG50" s="53">
        <f t="shared" si="48"/>
        <v>12078304.49085604</v>
      </c>
      <c r="AH50" s="53">
        <f t="shared" si="48"/>
        <v>12740983.249987621</v>
      </c>
      <c r="AI50" s="53">
        <f t="shared" si="48"/>
        <v>13427555.485639285</v>
      </c>
      <c r="AJ50" s="53">
        <f t="shared" si="48"/>
        <v>14138765.550521454</v>
      </c>
      <c r="AK50" s="53">
        <f t="shared" si="48"/>
        <v>14875379.311873637</v>
      </c>
      <c r="AL50" s="53">
        <f t="shared" si="48"/>
        <v>15638184.745641131</v>
      </c>
      <c r="AM50" s="53">
        <f t="shared" si="48"/>
        <v>16427992.546568859</v>
      </c>
      <c r="AN50" s="53">
        <f t="shared" si="48"/>
        <v>17245636.754629433</v>
      </c>
      <c r="AO50" s="53">
        <f t="shared" si="48"/>
        <v>18091975.398213811</v>
      </c>
      <c r="AP50" s="53">
        <f t="shared" si="48"/>
        <v>18967891.154523093</v>
      </c>
      <c r="AQ50" s="53">
        <f t="shared" si="48"/>
        <v>19874292.027612153</v>
      </c>
    </row>
    <row r="51" spans="1:43" s="16" customFormat="1" hidden="1" outlineLevel="4" collapsed="1">
      <c r="A51" s="53"/>
      <c r="B51" s="53"/>
      <c r="C51" s="53"/>
      <c r="D51" s="53"/>
      <c r="E51" s="53" t="s">
        <v>363</v>
      </c>
      <c r="F51" s="53"/>
      <c r="G51" s="53"/>
      <c r="H51" s="53">
        <f t="shared" ref="H51:AQ51" si="49">(((((H52*H57)*H58)*H59)*H60)*H61)</f>
        <v>42.105120919109247</v>
      </c>
      <c r="I51" s="53">
        <f t="shared" si="49"/>
        <v>49.243618458674753</v>
      </c>
      <c r="J51" s="53">
        <f t="shared" si="49"/>
        <v>56.6535125296123</v>
      </c>
      <c r="K51" s="53">
        <f t="shared" si="49"/>
        <v>64.342863450400102</v>
      </c>
      <c r="L51" s="53">
        <f t="shared" si="49"/>
        <v>72.319946732268335</v>
      </c>
      <c r="M51" s="53">
        <f t="shared" si="49"/>
        <v>80.593258492830671</v>
      </c>
      <c r="N51" s="53">
        <f t="shared" si="49"/>
        <v>89.171521000859514</v>
      </c>
      <c r="O51" s="53">
        <f t="shared" si="49"/>
        <v>98.063688355298936</v>
      </c>
      <c r="P51" s="53">
        <f t="shared" si="49"/>
        <v>107.27895230168403</v>
      </c>
      <c r="Q51" s="53">
        <f t="shared" si="49"/>
        <v>116.82674818920611</v>
      </c>
      <c r="R51" s="53">
        <f t="shared" si="49"/>
        <v>126.71676107173951</v>
      </c>
      <c r="S51" s="53">
        <f t="shared" si="49"/>
        <v>136.95893195622196</v>
      </c>
      <c r="T51" s="53">
        <f t="shared" si="49"/>
        <v>147.56346420185955</v>
      </c>
      <c r="U51" s="53">
        <f t="shared" si="49"/>
        <v>158.54083007370744</v>
      </c>
      <c r="V51" s="53">
        <f t="shared" si="49"/>
        <v>169.901777454258</v>
      </c>
      <c r="W51" s="53">
        <f t="shared" si="49"/>
        <v>181.65733671675517</v>
      </c>
      <c r="X51" s="53">
        <f t="shared" si="49"/>
        <v>193.81882776403594</v>
      </c>
      <c r="Y51" s="53">
        <f t="shared" si="49"/>
        <v>206.39786723679248</v>
      </c>
      <c r="Z51" s="53">
        <f t="shared" si="49"/>
        <v>219.40637589523135</v>
      </c>
      <c r="AA51" s="53">
        <f t="shared" si="49"/>
        <v>232.85658617820664</v>
      </c>
      <c r="AB51" s="53">
        <f t="shared" si="49"/>
        <v>246.76104994399003</v>
      </c>
      <c r="AC51" s="53">
        <f t="shared" si="49"/>
        <v>261.13264639694171</v>
      </c>
      <c r="AD51" s="53">
        <f t="shared" si="49"/>
        <v>275.98459020444398</v>
      </c>
      <c r="AE51" s="53">
        <f t="shared" si="49"/>
        <v>291.33043980855552</v>
      </c>
      <c r="AF51" s="53">
        <f t="shared" si="49"/>
        <v>307.18410593695597</v>
      </c>
      <c r="AG51" s="53">
        <f t="shared" si="49"/>
        <v>323.55986031784363</v>
      </c>
      <c r="AH51" s="53">
        <f t="shared" si="49"/>
        <v>340.47234460356907</v>
      </c>
      <c r="AI51" s="53">
        <f t="shared" si="49"/>
        <v>357.93657950788798</v>
      </c>
      <c r="AJ51" s="53">
        <f t="shared" si="49"/>
        <v>375.96797416183364</v>
      </c>
      <c r="AK51" s="53">
        <f t="shared" si="49"/>
        <v>394.58233569332475</v>
      </c>
      <c r="AL51" s="53">
        <f t="shared" si="49"/>
        <v>413.79587903573878</v>
      </c>
      <c r="AM51" s="53">
        <f t="shared" si="49"/>
        <v>433.6252369708061</v>
      </c>
      <c r="AN51" s="53">
        <f t="shared" si="49"/>
        <v>454.08747041129516</v>
      </c>
      <c r="AO51" s="53">
        <f t="shared" si="49"/>
        <v>475.20007892909979</v>
      </c>
      <c r="AP51" s="53">
        <f t="shared" si="49"/>
        <v>496.98101153444725</v>
      </c>
      <c r="AQ51" s="53">
        <f t="shared" si="49"/>
        <v>519.44867771209761</v>
      </c>
    </row>
    <row r="52" spans="1:43" s="16" customFormat="1" hidden="1" outlineLevel="5" collapsed="1">
      <c r="A52" s="53"/>
      <c r="B52" s="53"/>
      <c r="C52" s="53"/>
      <c r="D52" s="53"/>
      <c r="E52" s="53"/>
      <c r="F52" s="53" t="s">
        <v>364</v>
      </c>
      <c r="G52" s="53"/>
      <c r="H52" s="53">
        <f t="shared" ref="H52:AQ52" si="50">(((H53*H54)*H55)*H56)</f>
        <v>8373.7308599999997</v>
      </c>
      <c r="I52" s="53">
        <f t="shared" si="50"/>
        <v>8392.4653291171344</v>
      </c>
      <c r="J52" s="53">
        <f t="shared" si="50"/>
        <v>8411.2417126854198</v>
      </c>
      <c r="K52" s="53">
        <f t="shared" si="50"/>
        <v>8430.0601044796676</v>
      </c>
      <c r="L52" s="53">
        <f t="shared" si="50"/>
        <v>8448.920598484483</v>
      </c>
      <c r="M52" s="53">
        <f t="shared" si="50"/>
        <v>8467.8232888947423</v>
      </c>
      <c r="N52" s="53">
        <f t="shared" si="50"/>
        <v>8486.768270116072</v>
      </c>
      <c r="O52" s="53">
        <f t="shared" si="50"/>
        <v>8505.7556367652942</v>
      </c>
      <c r="P52" s="53">
        <f t="shared" si="50"/>
        <v>8524.7854836709394</v>
      </c>
      <c r="Q52" s="53">
        <f t="shared" si="50"/>
        <v>8543.8579058736777</v>
      </c>
      <c r="R52" s="53">
        <f t="shared" si="50"/>
        <v>8562.972998626823</v>
      </c>
      <c r="S52" s="53">
        <f t="shared" si="50"/>
        <v>8582.1308573967945</v>
      </c>
      <c r="T52" s="53">
        <f t="shared" si="50"/>
        <v>8601.331577863597</v>
      </c>
      <c r="U52" s="53">
        <f t="shared" si="50"/>
        <v>8620.5752559213015</v>
      </c>
      <c r="V52" s="53">
        <f t="shared" si="50"/>
        <v>8639.8619876785233</v>
      </c>
      <c r="W52" s="53">
        <f t="shared" si="50"/>
        <v>8659.1918694588985</v>
      </c>
      <c r="X52" s="53">
        <f t="shared" si="50"/>
        <v>8678.5649978015645</v>
      </c>
      <c r="Y52" s="53">
        <f t="shared" si="50"/>
        <v>8697.9814694616471</v>
      </c>
      <c r="Z52" s="53">
        <f t="shared" si="50"/>
        <v>8717.4413814107447</v>
      </c>
      <c r="AA52" s="53">
        <f t="shared" si="50"/>
        <v>8736.9448308374012</v>
      </c>
      <c r="AB52" s="53">
        <f t="shared" si="50"/>
        <v>8756.4919151476133</v>
      </c>
      <c r="AC52" s="53">
        <f t="shared" si="50"/>
        <v>8776.0827319652872</v>
      </c>
      <c r="AD52" s="53">
        <f t="shared" si="50"/>
        <v>8795.717379132755</v>
      </c>
      <c r="AE52" s="53">
        <f t="shared" si="50"/>
        <v>8815.3959547112354</v>
      </c>
      <c r="AF52" s="53">
        <f t="shared" si="50"/>
        <v>8835.1185569813606</v>
      </c>
      <c r="AG52" s="53">
        <f t="shared" si="50"/>
        <v>8854.885284443626</v>
      </c>
      <c r="AH52" s="53">
        <f t="shared" si="50"/>
        <v>8874.6962358189085</v>
      </c>
      <c r="AI52" s="53">
        <f t="shared" si="50"/>
        <v>8894.5515100489556</v>
      </c>
      <c r="AJ52" s="53">
        <f t="shared" si="50"/>
        <v>8914.4512062968697</v>
      </c>
      <c r="AK52" s="53">
        <f t="shared" si="50"/>
        <v>8934.3954239476097</v>
      </c>
      <c r="AL52" s="53">
        <f t="shared" si="50"/>
        <v>8954.3842626084916</v>
      </c>
      <c r="AM52" s="53">
        <f t="shared" si="50"/>
        <v>8974.4178221096881</v>
      </c>
      <c r="AN52" s="53">
        <f t="shared" si="50"/>
        <v>8994.4962025047025</v>
      </c>
      <c r="AO52" s="53">
        <f t="shared" si="50"/>
        <v>9014.6195040709063</v>
      </c>
      <c r="AP52" s="53">
        <f t="shared" si="50"/>
        <v>9034.7878273100123</v>
      </c>
      <c r="AQ52" s="53">
        <f t="shared" si="50"/>
        <v>9055.0012729485788</v>
      </c>
    </row>
    <row r="53" spans="1:43" s="16" customFormat="1" hidden="1" outlineLevel="6">
      <c r="A53" s="53"/>
      <c r="B53" s="53"/>
      <c r="C53" s="53"/>
      <c r="D53" s="53"/>
      <c r="E53" s="53"/>
      <c r="F53" s="53"/>
      <c r="G53" s="53" t="s">
        <v>71</v>
      </c>
      <c r="H53" s="53">
        <f t="shared" ref="H53:AQ53" si="51">H8</f>
        <v>145833</v>
      </c>
      <c r="I53" s="53">
        <f t="shared" si="51"/>
        <v>146049.96530187438</v>
      </c>
      <c r="J53" s="53">
        <f t="shared" si="51"/>
        <v>146267.2533972332</v>
      </c>
      <c r="K53" s="53">
        <f t="shared" si="51"/>
        <v>146484.86476631745</v>
      </c>
      <c r="L53" s="53">
        <f t="shared" si="51"/>
        <v>146702.79989008268</v>
      </c>
      <c r="M53" s="53">
        <f t="shared" si="51"/>
        <v>146921.05925019985</v>
      </c>
      <c r="N53" s="53">
        <f t="shared" si="51"/>
        <v>147139.64332905665</v>
      </c>
      <c r="O53" s="53">
        <f t="shared" si="51"/>
        <v>147358.55260975836</v>
      </c>
      <c r="P53" s="53">
        <f t="shared" si="51"/>
        <v>147577.78757612914</v>
      </c>
      <c r="Q53" s="53">
        <f t="shared" si="51"/>
        <v>147797.34871271279</v>
      </c>
      <c r="R53" s="53">
        <f t="shared" si="51"/>
        <v>148017.23650477419</v>
      </c>
      <c r="S53" s="53">
        <f t="shared" si="51"/>
        <v>148237.45143829999</v>
      </c>
      <c r="T53" s="53">
        <f t="shared" si="51"/>
        <v>148457.99400000001</v>
      </c>
      <c r="U53" s="53">
        <f t="shared" si="51"/>
        <v>148678.8646773081</v>
      </c>
      <c r="V53" s="53">
        <f t="shared" si="51"/>
        <v>148900.0639583834</v>
      </c>
      <c r="W53" s="53">
        <f t="shared" si="51"/>
        <v>149121.59233211118</v>
      </c>
      <c r="X53" s="53">
        <f t="shared" si="51"/>
        <v>149343.45028810418</v>
      </c>
      <c r="Y53" s="53">
        <f t="shared" si="51"/>
        <v>149565.63831670344</v>
      </c>
      <c r="Z53" s="53">
        <f t="shared" si="51"/>
        <v>149788.15690897967</v>
      </c>
      <c r="AA53" s="53">
        <f t="shared" si="51"/>
        <v>150011.00655673404</v>
      </c>
      <c r="AB53" s="53">
        <f t="shared" si="51"/>
        <v>150234.18775249945</v>
      </c>
      <c r="AC53" s="53">
        <f t="shared" si="51"/>
        <v>150457.70098954163</v>
      </c>
      <c r="AD53" s="53">
        <f t="shared" si="51"/>
        <v>150681.54676186011</v>
      </c>
      <c r="AE53" s="53">
        <f t="shared" si="51"/>
        <v>150905.72556418937</v>
      </c>
      <c r="AF53" s="53">
        <f t="shared" si="51"/>
        <v>151130.237892</v>
      </c>
      <c r="AG53" s="53">
        <f t="shared" si="51"/>
        <v>151355.08424149966</v>
      </c>
      <c r="AH53" s="53">
        <f t="shared" si="51"/>
        <v>151580.26510963429</v>
      </c>
      <c r="AI53" s="53">
        <f t="shared" si="51"/>
        <v>151805.78099408917</v>
      </c>
      <c r="AJ53" s="53">
        <f t="shared" si="51"/>
        <v>152031.63239329006</v>
      </c>
      <c r="AK53" s="53">
        <f t="shared" si="51"/>
        <v>152257.81980640409</v>
      </c>
      <c r="AL53" s="53">
        <f t="shared" si="51"/>
        <v>152484.34373334129</v>
      </c>
      <c r="AM53" s="53">
        <f t="shared" si="51"/>
        <v>152711.20467475525</v>
      </c>
      <c r="AN53" s="53">
        <f t="shared" si="51"/>
        <v>152938.40313204445</v>
      </c>
      <c r="AO53" s="53">
        <f t="shared" si="51"/>
        <v>153165.93960735339</v>
      </c>
      <c r="AP53" s="53">
        <f t="shared" si="51"/>
        <v>153393.81460357361</v>
      </c>
      <c r="AQ53" s="53">
        <f t="shared" si="51"/>
        <v>153622.02862434482</v>
      </c>
    </row>
    <row r="54" spans="1:43" s="16" customFormat="1" hidden="1" outlineLevel="6">
      <c r="A54" s="53"/>
      <c r="B54" s="53"/>
      <c r="C54" s="53"/>
      <c r="D54" s="53"/>
      <c r="E54" s="53"/>
      <c r="F54" s="53"/>
      <c r="G54" s="53" t="s">
        <v>365</v>
      </c>
      <c r="H54" s="53">
        <f t="shared" ref="H54:AQ54" si="52">northern_regional_opportunity_weight_positive*(1+northern_regional_opportunity_weight_positive_growth)^((COLUMN()-8)/12)</f>
        <v>0.22</v>
      </c>
      <c r="I54" s="53">
        <f t="shared" si="52"/>
        <v>0.22</v>
      </c>
      <c r="J54" s="53">
        <f t="shared" si="52"/>
        <v>0.22</v>
      </c>
      <c r="K54" s="53">
        <f t="shared" si="52"/>
        <v>0.22</v>
      </c>
      <c r="L54" s="53">
        <f t="shared" si="52"/>
        <v>0.22</v>
      </c>
      <c r="M54" s="53">
        <f t="shared" si="52"/>
        <v>0.22</v>
      </c>
      <c r="N54" s="53">
        <f t="shared" si="52"/>
        <v>0.22</v>
      </c>
      <c r="O54" s="53">
        <f t="shared" si="52"/>
        <v>0.22</v>
      </c>
      <c r="P54" s="53">
        <f t="shared" si="52"/>
        <v>0.22</v>
      </c>
      <c r="Q54" s="53">
        <f t="shared" si="52"/>
        <v>0.22</v>
      </c>
      <c r="R54" s="53">
        <f t="shared" si="52"/>
        <v>0.22</v>
      </c>
      <c r="S54" s="53">
        <f t="shared" si="52"/>
        <v>0.22</v>
      </c>
      <c r="T54" s="53">
        <f t="shared" si="52"/>
        <v>0.22</v>
      </c>
      <c r="U54" s="53">
        <f t="shared" si="52"/>
        <v>0.22</v>
      </c>
      <c r="V54" s="53">
        <f t="shared" si="52"/>
        <v>0.22</v>
      </c>
      <c r="W54" s="53">
        <f t="shared" si="52"/>
        <v>0.22</v>
      </c>
      <c r="X54" s="53">
        <f t="shared" si="52"/>
        <v>0.22</v>
      </c>
      <c r="Y54" s="53">
        <f t="shared" si="52"/>
        <v>0.22</v>
      </c>
      <c r="Z54" s="53">
        <f t="shared" si="52"/>
        <v>0.22</v>
      </c>
      <c r="AA54" s="53">
        <f t="shared" si="52"/>
        <v>0.22</v>
      </c>
      <c r="AB54" s="53">
        <f t="shared" si="52"/>
        <v>0.22</v>
      </c>
      <c r="AC54" s="53">
        <f t="shared" si="52"/>
        <v>0.22</v>
      </c>
      <c r="AD54" s="53">
        <f t="shared" si="52"/>
        <v>0.22</v>
      </c>
      <c r="AE54" s="53">
        <f t="shared" si="52"/>
        <v>0.22</v>
      </c>
      <c r="AF54" s="53">
        <f t="shared" si="52"/>
        <v>0.22</v>
      </c>
      <c r="AG54" s="53">
        <f t="shared" si="52"/>
        <v>0.22</v>
      </c>
      <c r="AH54" s="53">
        <f t="shared" si="52"/>
        <v>0.22</v>
      </c>
      <c r="AI54" s="53">
        <f t="shared" si="52"/>
        <v>0.22</v>
      </c>
      <c r="AJ54" s="53">
        <f t="shared" si="52"/>
        <v>0.22</v>
      </c>
      <c r="AK54" s="53">
        <f t="shared" si="52"/>
        <v>0.22</v>
      </c>
      <c r="AL54" s="53">
        <f t="shared" si="52"/>
        <v>0.22</v>
      </c>
      <c r="AM54" s="53">
        <f t="shared" si="52"/>
        <v>0.22</v>
      </c>
      <c r="AN54" s="53">
        <f t="shared" si="52"/>
        <v>0.22</v>
      </c>
      <c r="AO54" s="53">
        <f t="shared" si="52"/>
        <v>0.22</v>
      </c>
      <c r="AP54" s="53">
        <f t="shared" si="52"/>
        <v>0.22</v>
      </c>
      <c r="AQ54" s="53">
        <f t="shared" si="52"/>
        <v>0.22</v>
      </c>
    </row>
    <row r="55" spans="1:43" s="16" customFormat="1" hidden="1" outlineLevel="6">
      <c r="A55" s="53"/>
      <c r="B55" s="53"/>
      <c r="C55" s="53"/>
      <c r="D55" s="53"/>
      <c r="E55" s="53"/>
      <c r="F55" s="53"/>
      <c r="G55" s="53" t="s">
        <v>366</v>
      </c>
      <c r="H55" s="53">
        <f t="shared" ref="H55:AQ55" si="53">northern_anc_access_rate_positive*(1+northern_anc_access_rate_positive_growth)^((COLUMN()-8)/12)</f>
        <v>0.57999999999999996</v>
      </c>
      <c r="I55" s="53">
        <f t="shared" si="53"/>
        <v>0.58014480100630139</v>
      </c>
      <c r="J55" s="53">
        <f t="shared" si="53"/>
        <v>0.58028963816317425</v>
      </c>
      <c r="K55" s="53">
        <f t="shared" si="53"/>
        <v>0.58043451147964387</v>
      </c>
      <c r="L55" s="53">
        <f t="shared" si="53"/>
        <v>0.58057942096473747</v>
      </c>
      <c r="M55" s="53">
        <f t="shared" si="53"/>
        <v>0.58072436662748506</v>
      </c>
      <c r="N55" s="53">
        <f t="shared" si="53"/>
        <v>0.58086934847691862</v>
      </c>
      <c r="O55" s="53">
        <f t="shared" si="53"/>
        <v>0.58101436652207228</v>
      </c>
      <c r="P55" s="53">
        <f t="shared" si="53"/>
        <v>0.58115942077198257</v>
      </c>
      <c r="Q55" s="53">
        <f t="shared" si="53"/>
        <v>0.58130451123568838</v>
      </c>
      <c r="R55" s="53">
        <f t="shared" si="53"/>
        <v>0.58144963792223059</v>
      </c>
      <c r="S55" s="53">
        <f t="shared" si="53"/>
        <v>0.58159480084065263</v>
      </c>
      <c r="T55" s="53">
        <f t="shared" si="53"/>
        <v>0.58173999999999992</v>
      </c>
      <c r="U55" s="53">
        <f t="shared" si="53"/>
        <v>0.58188523540932025</v>
      </c>
      <c r="V55" s="53">
        <f t="shared" si="53"/>
        <v>0.58203050707766368</v>
      </c>
      <c r="W55" s="53">
        <f t="shared" si="53"/>
        <v>0.58217581501408266</v>
      </c>
      <c r="X55" s="53">
        <f t="shared" si="53"/>
        <v>0.58232115922763172</v>
      </c>
      <c r="Y55" s="53">
        <f t="shared" si="53"/>
        <v>0.5824665397273675</v>
      </c>
      <c r="Z55" s="53">
        <f t="shared" si="53"/>
        <v>0.58261195652234943</v>
      </c>
      <c r="AA55" s="53">
        <f t="shared" si="53"/>
        <v>0.58275740962163847</v>
      </c>
      <c r="AB55" s="53">
        <f t="shared" si="53"/>
        <v>0.58290289903429859</v>
      </c>
      <c r="AC55" s="53">
        <f t="shared" si="53"/>
        <v>0.58304842476939545</v>
      </c>
      <c r="AD55" s="53">
        <f t="shared" si="53"/>
        <v>0.58319398683599732</v>
      </c>
      <c r="AE55" s="53">
        <f t="shared" si="53"/>
        <v>0.58333958524317453</v>
      </c>
      <c r="AF55" s="53">
        <f t="shared" si="53"/>
        <v>0.5834852199999998</v>
      </c>
      <c r="AG55" s="53">
        <f t="shared" si="53"/>
        <v>0.58363089111554811</v>
      </c>
      <c r="AH55" s="53">
        <f t="shared" si="53"/>
        <v>0.58377659859889663</v>
      </c>
      <c r="AI55" s="53">
        <f t="shared" si="53"/>
        <v>0.58392234245912489</v>
      </c>
      <c r="AJ55" s="53">
        <f t="shared" si="53"/>
        <v>0.5840681227053145</v>
      </c>
      <c r="AK55" s="53">
        <f t="shared" si="53"/>
        <v>0.58421393934654953</v>
      </c>
      <c r="AL55" s="53">
        <f t="shared" si="53"/>
        <v>0.58435979239191627</v>
      </c>
      <c r="AM55" s="53">
        <f t="shared" si="53"/>
        <v>0.58450568185050333</v>
      </c>
      <c r="AN55" s="53">
        <f t="shared" si="53"/>
        <v>0.58465160773140135</v>
      </c>
      <c r="AO55" s="53">
        <f t="shared" si="53"/>
        <v>0.58479757004370347</v>
      </c>
      <c r="AP55" s="53">
        <f t="shared" si="53"/>
        <v>0.58494356879650522</v>
      </c>
      <c r="AQ55" s="53">
        <f t="shared" si="53"/>
        <v>0.58508960399890397</v>
      </c>
    </row>
    <row r="56" spans="1:43" s="16" customFormat="1" hidden="1" outlineLevel="6">
      <c r="A56" s="53"/>
      <c r="B56" s="53"/>
      <c r="C56" s="53"/>
      <c r="D56" s="53"/>
      <c r="E56" s="53"/>
      <c r="F56" s="53"/>
      <c r="G56" s="53" t="s">
        <v>367</v>
      </c>
      <c r="H56" s="53">
        <f t="shared" ref="H56:AQ56" si="54">northern_third_trimester_window_rate_positive*(1+northern_third_trimester_window_rate_positive_growth)^((COLUMN()-8)/12)</f>
        <v>0.45</v>
      </c>
      <c r="I56" s="53">
        <f t="shared" si="54"/>
        <v>0.4502243836115466</v>
      </c>
      <c r="J56" s="53">
        <f t="shared" si="54"/>
        <v>0.45044887910754899</v>
      </c>
      <c r="K56" s="53">
        <f t="shared" si="54"/>
        <v>0.4506734865437963</v>
      </c>
      <c r="L56" s="53">
        <f t="shared" si="54"/>
        <v>0.45089820597610519</v>
      </c>
      <c r="M56" s="53">
        <f t="shared" si="54"/>
        <v>0.45112303746032023</v>
      </c>
      <c r="N56" s="53">
        <f t="shared" si="54"/>
        <v>0.45134798105231405</v>
      </c>
      <c r="O56" s="53">
        <f t="shared" si="54"/>
        <v>0.45157303680798688</v>
      </c>
      <c r="P56" s="53">
        <f t="shared" si="54"/>
        <v>0.45179820478326693</v>
      </c>
      <c r="Q56" s="53">
        <f t="shared" si="54"/>
        <v>0.45202348503411033</v>
      </c>
      <c r="R56" s="53">
        <f t="shared" si="54"/>
        <v>0.45224887761650101</v>
      </c>
      <c r="S56" s="53">
        <f t="shared" si="54"/>
        <v>0.45247438258645095</v>
      </c>
      <c r="T56" s="53">
        <f t="shared" si="54"/>
        <v>0.45269999999999999</v>
      </c>
      <c r="U56" s="53">
        <f t="shared" si="54"/>
        <v>0.45292572991321584</v>
      </c>
      <c r="V56" s="53">
        <f t="shared" si="54"/>
        <v>0.45315157238219433</v>
      </c>
      <c r="W56" s="53">
        <f t="shared" si="54"/>
        <v>0.45337752746305909</v>
      </c>
      <c r="X56" s="53">
        <f t="shared" si="54"/>
        <v>0.45360359521196175</v>
      </c>
      <c r="Y56" s="53">
        <f t="shared" si="54"/>
        <v>0.4538297756850822</v>
      </c>
      <c r="Z56" s="53">
        <f t="shared" si="54"/>
        <v>0.45405606893862793</v>
      </c>
      <c r="AA56" s="53">
        <f t="shared" si="54"/>
        <v>0.45428247502883473</v>
      </c>
      <c r="AB56" s="53">
        <f t="shared" si="54"/>
        <v>0.45450899401196648</v>
      </c>
      <c r="AC56" s="53">
        <f t="shared" si="54"/>
        <v>0.45473562594431505</v>
      </c>
      <c r="AD56" s="53">
        <f t="shared" si="54"/>
        <v>0.4549623708822001</v>
      </c>
      <c r="AE56" s="53">
        <f t="shared" si="54"/>
        <v>0.45518922888196972</v>
      </c>
      <c r="AF56" s="53">
        <f t="shared" si="54"/>
        <v>0.45541619999999999</v>
      </c>
      <c r="AG56" s="53">
        <f t="shared" si="54"/>
        <v>0.45564328429269518</v>
      </c>
      <c r="AH56" s="53">
        <f t="shared" si="54"/>
        <v>0.45587048181648748</v>
      </c>
      <c r="AI56" s="53">
        <f t="shared" si="54"/>
        <v>0.45609779262783734</v>
      </c>
      <c r="AJ56" s="53">
        <f t="shared" si="54"/>
        <v>0.45632521678323357</v>
      </c>
      <c r="AK56" s="53">
        <f t="shared" si="54"/>
        <v>0.45655275433919268</v>
      </c>
      <c r="AL56" s="53">
        <f t="shared" si="54"/>
        <v>0.45678040535225961</v>
      </c>
      <c r="AM56" s="53">
        <f t="shared" si="54"/>
        <v>0.45700816987900783</v>
      </c>
      <c r="AN56" s="53">
        <f t="shared" si="54"/>
        <v>0.45723604797603828</v>
      </c>
      <c r="AO56" s="53">
        <f t="shared" si="54"/>
        <v>0.45746403969998084</v>
      </c>
      <c r="AP56" s="53">
        <f t="shared" si="54"/>
        <v>0.45769214510749329</v>
      </c>
      <c r="AQ56" s="53">
        <f t="shared" si="54"/>
        <v>0.4579203642552615</v>
      </c>
    </row>
    <row r="57" spans="1:43" s="16" customFormat="1" hidden="1" outlineLevel="5">
      <c r="A57" s="53"/>
      <c r="B57" s="53"/>
      <c r="C57" s="53"/>
      <c r="D57" s="53"/>
      <c r="E57" s="53"/>
      <c r="F57" s="53" t="s">
        <v>368</v>
      </c>
      <c r="G57" s="53"/>
      <c r="H57" s="53">
        <f t="shared" ref="H57:AQ57" si="55">northern_public_eligibility_rate_positive*(1+northern_public_eligibility_rate_positive_growth)^((COLUMN()-8)/12)</f>
        <v>0.21249999999999999</v>
      </c>
      <c r="I57" s="53">
        <f t="shared" si="55"/>
        <v>0.21419450484114205</v>
      </c>
      <c r="J57" s="53">
        <f t="shared" si="55"/>
        <v>0.21590252190184481</v>
      </c>
      <c r="K57" s="53">
        <f t="shared" si="55"/>
        <v>0.21762415893044457</v>
      </c>
      <c r="L57" s="53">
        <f t="shared" si="55"/>
        <v>0.21935952453447802</v>
      </c>
      <c r="M57" s="53">
        <f t="shared" si="55"/>
        <v>0.22110872818753349</v>
      </c>
      <c r="N57" s="53">
        <f t="shared" si="55"/>
        <v>0.22287188023615723</v>
      </c>
      <c r="O57" s="53">
        <f t="shared" si="55"/>
        <v>0.22464909190681417</v>
      </c>
      <c r="P57" s="53">
        <f t="shared" si="55"/>
        <v>0.22644047531290476</v>
      </c>
      <c r="Q57" s="53">
        <f t="shared" si="55"/>
        <v>0.22824614346183758</v>
      </c>
      <c r="R57" s="53">
        <f t="shared" si="55"/>
        <v>0.23006621026215801</v>
      </c>
      <c r="S57" s="53">
        <f t="shared" si="55"/>
        <v>0.23190079053073417</v>
      </c>
      <c r="T57" s="53">
        <f t="shared" si="55"/>
        <v>0.23375000000000001</v>
      </c>
      <c r="U57" s="53">
        <f t="shared" si="55"/>
        <v>0.23561395532525625</v>
      </c>
      <c r="V57" s="53">
        <f t="shared" si="55"/>
        <v>0.23749277409202929</v>
      </c>
      <c r="W57" s="53">
        <f t="shared" si="55"/>
        <v>0.23938657482348907</v>
      </c>
      <c r="X57" s="53">
        <f t="shared" si="55"/>
        <v>0.24129547698792583</v>
      </c>
      <c r="Y57" s="53">
        <f t="shared" si="55"/>
        <v>0.24321960100628687</v>
      </c>
      <c r="Z57" s="53">
        <f t="shared" si="55"/>
        <v>0.24515906825977296</v>
      </c>
      <c r="AA57" s="53">
        <f t="shared" si="55"/>
        <v>0.24711400109749559</v>
      </c>
      <c r="AB57" s="53">
        <f t="shared" si="55"/>
        <v>0.24908452284419527</v>
      </c>
      <c r="AC57" s="53">
        <f t="shared" si="55"/>
        <v>0.25107075780802141</v>
      </c>
      <c r="AD57" s="53">
        <f t="shared" si="55"/>
        <v>0.25307283128837382</v>
      </c>
      <c r="AE57" s="53">
        <f t="shared" si="55"/>
        <v>0.25509086958380756</v>
      </c>
      <c r="AF57" s="53">
        <f t="shared" si="55"/>
        <v>0.25712500000000005</v>
      </c>
      <c r="AG57" s="53">
        <f t="shared" si="55"/>
        <v>0.25917535085778187</v>
      </c>
      <c r="AH57" s="53">
        <f t="shared" si="55"/>
        <v>0.26124205150123225</v>
      </c>
      <c r="AI57" s="53">
        <f t="shared" si="55"/>
        <v>0.26332523230583799</v>
      </c>
      <c r="AJ57" s="53">
        <f t="shared" si="55"/>
        <v>0.26542502468671847</v>
      </c>
      <c r="AK57" s="53">
        <f t="shared" si="55"/>
        <v>0.26754156110691557</v>
      </c>
      <c r="AL57" s="53">
        <f t="shared" si="55"/>
        <v>0.26967497508575028</v>
      </c>
      <c r="AM57" s="53">
        <f t="shared" si="55"/>
        <v>0.27182540120724519</v>
      </c>
      <c r="AN57" s="53">
        <f t="shared" si="55"/>
        <v>0.27399297512861481</v>
      </c>
      <c r="AO57" s="53">
        <f t="shared" si="55"/>
        <v>0.27617783358882353</v>
      </c>
      <c r="AP57" s="53">
        <f t="shared" si="55"/>
        <v>0.27838011441721122</v>
      </c>
      <c r="AQ57" s="53">
        <f t="shared" si="55"/>
        <v>0.28059995654218833</v>
      </c>
    </row>
    <row r="58" spans="1:43" s="16" customFormat="1" hidden="1" outlineLevel="5">
      <c r="A58" s="53"/>
      <c r="B58" s="53"/>
      <c r="C58" s="53"/>
      <c r="D58" s="53"/>
      <c r="E58" s="53"/>
      <c r="F58" s="53" t="s">
        <v>369</v>
      </c>
      <c r="G58" s="53"/>
      <c r="H58" s="53">
        <f t="shared" ref="H58:AQ58" si="56">northern_public_provider_recommendation_rate_positive*(1+northern_public_provider_recommendation_rate_positive_growth)^((COLUMN()-8)/12)</f>
        <v>0.43680000000000008</v>
      </c>
      <c r="I58" s="53">
        <f t="shared" si="56"/>
        <v>0.43857957726869767</v>
      </c>
      <c r="J58" s="53">
        <f t="shared" si="56"/>
        <v>0.44036640475547045</v>
      </c>
      <c r="K58" s="53">
        <f t="shared" si="56"/>
        <v>0.44216051199860446</v>
      </c>
      <c r="L58" s="53">
        <f t="shared" si="56"/>
        <v>0.44396192865672812</v>
      </c>
      <c r="M58" s="53">
        <f t="shared" si="56"/>
        <v>0.44577068450930279</v>
      </c>
      <c r="N58" s="53">
        <f t="shared" si="56"/>
        <v>0.44758680945711538</v>
      </c>
      <c r="O58" s="53">
        <f t="shared" si="56"/>
        <v>0.44941033352277188</v>
      </c>
      <c r="P58" s="53">
        <f t="shared" si="56"/>
        <v>0.4512412868511943</v>
      </c>
      <c r="Q58" s="53">
        <f t="shared" si="56"/>
        <v>0.4530796997101188</v>
      </c>
      <c r="R58" s="53">
        <f t="shared" si="56"/>
        <v>0.45492560249059605</v>
      </c>
      <c r="S58" s="53">
        <f t="shared" si="56"/>
        <v>0.45677902570749351</v>
      </c>
      <c r="T58" s="53">
        <f t="shared" si="56"/>
        <v>0.4586400000000001</v>
      </c>
      <c r="U58" s="53">
        <f t="shared" si="56"/>
        <v>0.4605085561321326</v>
      </c>
      <c r="V58" s="53">
        <f t="shared" si="56"/>
        <v>0.46238472499324401</v>
      </c>
      <c r="W58" s="53">
        <f t="shared" si="56"/>
        <v>0.4642685375985347</v>
      </c>
      <c r="X58" s="53">
        <f t="shared" si="56"/>
        <v>0.4661600250895645</v>
      </c>
      <c r="Y58" s="53">
        <f t="shared" si="56"/>
        <v>0.46805921873476797</v>
      </c>
      <c r="Z58" s="53">
        <f t="shared" si="56"/>
        <v>0.4699661499299711</v>
      </c>
      <c r="AA58" s="53">
        <f t="shared" si="56"/>
        <v>0.47188085019891046</v>
      </c>
      <c r="AB58" s="53">
        <f t="shared" si="56"/>
        <v>0.47380335119375405</v>
      </c>
      <c r="AC58" s="53">
        <f t="shared" si="56"/>
        <v>0.47573368469562471</v>
      </c>
      <c r="AD58" s="53">
        <f t="shared" si="56"/>
        <v>0.47767188261512589</v>
      </c>
      <c r="AE58" s="53">
        <f t="shared" si="56"/>
        <v>0.47961797699286823</v>
      </c>
      <c r="AF58" s="53">
        <f t="shared" si="56"/>
        <v>0.48157200000000011</v>
      </c>
      <c r="AG58" s="53">
        <f t="shared" si="56"/>
        <v>0.48353398393873925</v>
      </c>
      <c r="AH58" s="53">
        <f t="shared" si="56"/>
        <v>0.48550396124290629</v>
      </c>
      <c r="AI58" s="53">
        <f t="shared" si="56"/>
        <v>0.48748196447846148</v>
      </c>
      <c r="AJ58" s="53">
        <f t="shared" si="56"/>
        <v>0.48946802634404274</v>
      </c>
      <c r="AK58" s="53">
        <f t="shared" si="56"/>
        <v>0.49146217967150641</v>
      </c>
      <c r="AL58" s="53">
        <f t="shared" si="56"/>
        <v>0.49346445742646977</v>
      </c>
      <c r="AM58" s="53">
        <f t="shared" si="56"/>
        <v>0.49547489270885603</v>
      </c>
      <c r="AN58" s="53">
        <f t="shared" si="56"/>
        <v>0.49749351875344172</v>
      </c>
      <c r="AO58" s="53">
        <f t="shared" si="56"/>
        <v>0.49952036893040602</v>
      </c>
      <c r="AP58" s="53">
        <f t="shared" si="56"/>
        <v>0.50155547674588219</v>
      </c>
      <c r="AQ58" s="53">
        <f t="shared" si="56"/>
        <v>0.50359887584251162</v>
      </c>
    </row>
    <row r="59" spans="1:43" s="16" customFormat="1" hidden="1" outlineLevel="5">
      <c r="A59" s="53"/>
      <c r="B59" s="53"/>
      <c r="C59" s="53"/>
      <c r="D59" s="53"/>
      <c r="E59" s="53"/>
      <c r="F59" s="53" t="s">
        <v>370</v>
      </c>
      <c r="G59" s="53"/>
      <c r="H59" s="53">
        <f t="shared" ref="H59:AQ59" si="57">northern_public_acceptance_rate_positive*(1+northern_public_acceptance_rate_positive_growth)^((COLUMN()-8)/12)</f>
        <v>0.81900000000000006</v>
      </c>
      <c r="I59" s="53">
        <f t="shared" si="57"/>
        <v>0.82068700590500132</v>
      </c>
      <c r="J59" s="53">
        <f t="shared" si="57"/>
        <v>0.82237748676595324</v>
      </c>
      <c r="K59" s="53">
        <f t="shared" si="57"/>
        <v>0.82407144974069602</v>
      </c>
      <c r="L59" s="53">
        <f t="shared" si="57"/>
        <v>0.82576890200181374</v>
      </c>
      <c r="M59" s="53">
        <f t="shared" si="57"/>
        <v>0.82746985073666546</v>
      </c>
      <c r="N59" s="53">
        <f t="shared" si="57"/>
        <v>0.82917430314741414</v>
      </c>
      <c r="O59" s="53">
        <f t="shared" si="57"/>
        <v>0.830882266451059</v>
      </c>
      <c r="P59" s="53">
        <f t="shared" si="57"/>
        <v>0.83259374787946405</v>
      </c>
      <c r="Q59" s="53">
        <f t="shared" si="57"/>
        <v>0.83430875467939059</v>
      </c>
      <c r="R59" s="53">
        <f t="shared" si="57"/>
        <v>0.83602729411252663</v>
      </c>
      <c r="S59" s="53">
        <f t="shared" si="57"/>
        <v>0.83774937345551825</v>
      </c>
      <c r="T59" s="53">
        <f t="shared" si="57"/>
        <v>0.83947499999999997</v>
      </c>
      <c r="U59" s="53">
        <f t="shared" si="57"/>
        <v>0.84120418105262629</v>
      </c>
      <c r="V59" s="53">
        <f t="shared" si="57"/>
        <v>0.84293692393510189</v>
      </c>
      <c r="W59" s="53">
        <f t="shared" si="57"/>
        <v>0.84467323598421329</v>
      </c>
      <c r="X59" s="53">
        <f t="shared" si="57"/>
        <v>0.84641312455185902</v>
      </c>
      <c r="Y59" s="53">
        <f t="shared" si="57"/>
        <v>0.84815659700508206</v>
      </c>
      <c r="Z59" s="53">
        <f t="shared" si="57"/>
        <v>0.84990366072609946</v>
      </c>
      <c r="AA59" s="53">
        <f t="shared" si="57"/>
        <v>0.85165432311233535</v>
      </c>
      <c r="AB59" s="53">
        <f t="shared" si="57"/>
        <v>0.85340859157645066</v>
      </c>
      <c r="AC59" s="53">
        <f t="shared" si="57"/>
        <v>0.85516647354637532</v>
      </c>
      <c r="AD59" s="53">
        <f t="shared" si="57"/>
        <v>0.8569279764653398</v>
      </c>
      <c r="AE59" s="53">
        <f t="shared" si="57"/>
        <v>0.85869310779190611</v>
      </c>
      <c r="AF59" s="53">
        <f t="shared" si="57"/>
        <v>0.86046187500000004</v>
      </c>
      <c r="AG59" s="53">
        <f t="shared" si="57"/>
        <v>0.86223428557894188</v>
      </c>
      <c r="AH59" s="53">
        <f t="shared" si="57"/>
        <v>0.86401034703347934</v>
      </c>
      <c r="AI59" s="53">
        <f t="shared" si="57"/>
        <v>0.86579006688381854</v>
      </c>
      <c r="AJ59" s="53">
        <f t="shared" si="57"/>
        <v>0.86757345266565544</v>
      </c>
      <c r="AK59" s="53">
        <f t="shared" si="57"/>
        <v>0.86936051193020902</v>
      </c>
      <c r="AL59" s="53">
        <f t="shared" si="57"/>
        <v>0.87115125224425194</v>
      </c>
      <c r="AM59" s="53">
        <f t="shared" si="57"/>
        <v>0.87294568119014371</v>
      </c>
      <c r="AN59" s="53">
        <f t="shared" si="57"/>
        <v>0.8747438063658618</v>
      </c>
      <c r="AO59" s="53">
        <f t="shared" si="57"/>
        <v>0.8765456353850346</v>
      </c>
      <c r="AP59" s="53">
        <f t="shared" si="57"/>
        <v>0.8783511758769732</v>
      </c>
      <c r="AQ59" s="53">
        <f t="shared" si="57"/>
        <v>0.88016043548670364</v>
      </c>
    </row>
    <row r="60" spans="1:43" s="16" customFormat="1" hidden="1" outlineLevel="5">
      <c r="A60" s="53"/>
      <c r="B60" s="53"/>
      <c r="C60" s="53"/>
      <c r="D60" s="53"/>
      <c r="E60" s="53"/>
      <c r="F60" s="53" t="s">
        <v>371</v>
      </c>
      <c r="G60" s="53"/>
      <c r="H60" s="53">
        <f t="shared" ref="H60:AQ60" si="58">northern_public_stock_availability_rate_positive*(1+northern_public_stock_availability_rate_positive_growth)^((COLUMN()-8)/12)</f>
        <v>0.82680000000000009</v>
      </c>
      <c r="I60" s="53">
        <f t="shared" si="58"/>
        <v>0.82816552742042771</v>
      </c>
      <c r="J60" s="53">
        <f t="shared" si="58"/>
        <v>0.82953331012041021</v>
      </c>
      <c r="K60" s="53">
        <f t="shared" si="58"/>
        <v>0.83090335182472497</v>
      </c>
      <c r="L60" s="53">
        <f t="shared" si="58"/>
        <v>0.83227565626430156</v>
      </c>
      <c r="M60" s="53">
        <f t="shared" si="58"/>
        <v>0.83365022717623083</v>
      </c>
      <c r="N60" s="53">
        <f t="shared" si="58"/>
        <v>0.83502706830377671</v>
      </c>
      <c r="O60" s="53">
        <f t="shared" si="58"/>
        <v>0.83640618339638451</v>
      </c>
      <c r="P60" s="53">
        <f t="shared" si="58"/>
        <v>0.83778757620969235</v>
      </c>
      <c r="Q60" s="53">
        <f t="shared" si="58"/>
        <v>0.83917125050554131</v>
      </c>
      <c r="R60" s="53">
        <f t="shared" si="58"/>
        <v>0.84055721005198525</v>
      </c>
      <c r="S60" s="53">
        <f t="shared" si="58"/>
        <v>0.84194545862330128</v>
      </c>
      <c r="T60" s="53">
        <f t="shared" si="58"/>
        <v>0.84333600000000009</v>
      </c>
      <c r="U60" s="53">
        <f t="shared" si="58"/>
        <v>0.84472883796883635</v>
      </c>
      <c r="V60" s="53">
        <f t="shared" si="58"/>
        <v>0.84612397632281833</v>
      </c>
      <c r="W60" s="53">
        <f t="shared" si="58"/>
        <v>0.84752141886121957</v>
      </c>
      <c r="X60" s="53">
        <f t="shared" si="58"/>
        <v>0.8489211693895875</v>
      </c>
      <c r="Y60" s="53">
        <f t="shared" si="58"/>
        <v>0.85032323171975555</v>
      </c>
      <c r="Z60" s="53">
        <f t="shared" si="58"/>
        <v>0.85172760966985228</v>
      </c>
      <c r="AA60" s="53">
        <f t="shared" si="58"/>
        <v>0.85313430706431226</v>
      </c>
      <c r="AB60" s="53">
        <f t="shared" si="58"/>
        <v>0.85454332773388619</v>
      </c>
      <c r="AC60" s="53">
        <f t="shared" si="58"/>
        <v>0.85595467551565207</v>
      </c>
      <c r="AD60" s="53">
        <f t="shared" si="58"/>
        <v>0.85736835425302493</v>
      </c>
      <c r="AE60" s="53">
        <f t="shared" si="58"/>
        <v>0.85878436779576739</v>
      </c>
      <c r="AF60" s="53">
        <f t="shared" si="58"/>
        <v>0.86020272000000009</v>
      </c>
      <c r="AG60" s="53">
        <f t="shared" si="58"/>
        <v>0.86162341472821291</v>
      </c>
      <c r="AH60" s="53">
        <f t="shared" si="58"/>
        <v>0.86304645584927464</v>
      </c>
      <c r="AI60" s="53">
        <f t="shared" si="58"/>
        <v>0.86447184723844384</v>
      </c>
      <c r="AJ60" s="53">
        <f t="shared" si="58"/>
        <v>0.86589959277737927</v>
      </c>
      <c r="AK60" s="53">
        <f t="shared" si="58"/>
        <v>0.8673296963541508</v>
      </c>
      <c r="AL60" s="53">
        <f t="shared" si="58"/>
        <v>0.86876216186324928</v>
      </c>
      <c r="AM60" s="53">
        <f t="shared" si="58"/>
        <v>0.8701969932055984</v>
      </c>
      <c r="AN60" s="53">
        <f t="shared" si="58"/>
        <v>0.87163419428856392</v>
      </c>
      <c r="AO60" s="53">
        <f t="shared" si="58"/>
        <v>0.87307376902596512</v>
      </c>
      <c r="AP60" s="53">
        <f t="shared" si="58"/>
        <v>0.87451572133808542</v>
      </c>
      <c r="AQ60" s="53">
        <f t="shared" si="58"/>
        <v>0.87596005515168263</v>
      </c>
    </row>
    <row r="61" spans="1:43" s="16" customFormat="1" hidden="1" outlineLevel="5" collapsed="1">
      <c r="A61" s="53"/>
      <c r="B61" s="53"/>
      <c r="C61" s="53"/>
      <c r="D61" s="53"/>
      <c r="E61" s="53"/>
      <c r="F61" s="53" t="s">
        <v>372</v>
      </c>
      <c r="G61" s="53"/>
      <c r="H61" s="53">
        <f>0.08</f>
        <v>0.08</v>
      </c>
      <c r="I61" s="53">
        <f t="shared" ref="I61:AQ61" si="59">H61+I62-I63</f>
        <v>9.1898615035765657E-2</v>
      </c>
      <c r="J61" s="53">
        <f t="shared" si="59"/>
        <v>0.10384600426027356</v>
      </c>
      <c r="K61" s="53">
        <f t="shared" si="59"/>
        <v>0.11584232734752574</v>
      </c>
      <c r="L61" s="53">
        <f t="shared" si="59"/>
        <v>0.12788774449425536</v>
      </c>
      <c r="M61" s="53">
        <f t="shared" si="59"/>
        <v>0.139982416421638</v>
      </c>
      <c r="N61" s="53">
        <f t="shared" si="59"/>
        <v>0.15212650437700856</v>
      </c>
      <c r="O61" s="53">
        <f t="shared" si="59"/>
        <v>0.16432017013558375</v>
      </c>
      <c r="P61" s="53">
        <f t="shared" si="59"/>
        <v>0.17656357600219022</v>
      </c>
      <c r="Q61" s="53">
        <f t="shared" si="59"/>
        <v>0.18885688481299839</v>
      </c>
      <c r="R61" s="53">
        <f t="shared" si="59"/>
        <v>0.20120025993726195</v>
      </c>
      <c r="S61" s="53">
        <f t="shared" si="59"/>
        <v>0.21359386527906304</v>
      </c>
      <c r="T61" s="53">
        <f t="shared" si="59"/>
        <v>0.22603786527906305</v>
      </c>
      <c r="U61" s="53">
        <f t="shared" si="59"/>
        <v>0.23853242491625934</v>
      </c>
      <c r="V61" s="53">
        <f t="shared" si="59"/>
        <v>0.25107770970974758</v>
      </c>
      <c r="W61" s="53">
        <f t="shared" si="59"/>
        <v>0.26367388572048983</v>
      </c>
      <c r="X61" s="53">
        <f t="shared" si="59"/>
        <v>0.27632111955308863</v>
      </c>
      <c r="Y61" s="53">
        <f t="shared" si="59"/>
        <v>0.28901957835756659</v>
      </c>
      <c r="Z61" s="53">
        <f t="shared" si="59"/>
        <v>0.30176942983115196</v>
      </c>
      <c r="AA61" s="53">
        <f t="shared" si="59"/>
        <v>0.31457084222007015</v>
      </c>
      <c r="AB61" s="53">
        <f t="shared" si="59"/>
        <v>0.32742398432134084</v>
      </c>
      <c r="AC61" s="53">
        <f t="shared" si="59"/>
        <v>0.34032902548458133</v>
      </c>
      <c r="AD61" s="53">
        <f t="shared" si="59"/>
        <v>0.35328613561381544</v>
      </c>
      <c r="AE61" s="53">
        <f t="shared" si="59"/>
        <v>0.36629548516928856</v>
      </c>
      <c r="AF61" s="53">
        <f t="shared" si="59"/>
        <v>0.37935724516928854</v>
      </c>
      <c r="AG61" s="53">
        <f t="shared" si="59"/>
        <v>0.39247158719197267</v>
      </c>
      <c r="AH61" s="53">
        <f t="shared" si="59"/>
        <v>0.40563868337720044</v>
      </c>
      <c r="AI61" s="53">
        <f t="shared" si="59"/>
        <v>0.41885870642837242</v>
      </c>
      <c r="AJ61" s="53">
        <f t="shared" si="59"/>
        <v>0.43213182961427521</v>
      </c>
      <c r="AK61" s="53">
        <f t="shared" si="59"/>
        <v>0.44545822677093228</v>
      </c>
      <c r="AL61" s="53">
        <f t="shared" si="59"/>
        <v>0.45883807230346108</v>
      </c>
      <c r="AM61" s="53">
        <f t="shared" si="59"/>
        <v>0.47227154118793602</v>
      </c>
      <c r="AN61" s="53">
        <f t="shared" si="59"/>
        <v>0.48575880897325757</v>
      </c>
      <c r="AO61" s="53">
        <f t="shared" si="59"/>
        <v>0.49930005178302772</v>
      </c>
      <c r="AP61" s="53">
        <f t="shared" si="59"/>
        <v>0.51289544631743123</v>
      </c>
      <c r="AQ61" s="53">
        <f t="shared" si="59"/>
        <v>0.52654516985512323</v>
      </c>
    </row>
    <row r="62" spans="1:43" s="16" customFormat="1" hidden="1" outlineLevel="6">
      <c r="A62" s="53"/>
      <c r="B62" s="53"/>
      <c r="C62" s="53"/>
      <c r="D62" s="53"/>
      <c r="E62" s="53"/>
      <c r="F62" s="53"/>
      <c r="G62" s="53" t="s">
        <v>156</v>
      </c>
      <c r="H62" s="53">
        <f t="shared" ref="H62:AQ62" si="60">northern_public_coverage_additions_positive*(1+northern_public_coverage_additions_positive_growth)^((COLUMN()-8)/12)</f>
        <v>1.485E-2</v>
      </c>
      <c r="I62" s="53">
        <f t="shared" si="60"/>
        <v>1.4898615035765655E-2</v>
      </c>
      <c r="J62" s="53">
        <f t="shared" si="60"/>
        <v>1.4947389224507907E-2</v>
      </c>
      <c r="K62" s="53">
        <f t="shared" si="60"/>
        <v>1.4996323087252187E-2</v>
      </c>
      <c r="L62" s="53">
        <f t="shared" si="60"/>
        <v>1.5045417146729632E-2</v>
      </c>
      <c r="M62" s="53">
        <f t="shared" si="60"/>
        <v>1.5094671927382657E-2</v>
      </c>
      <c r="N62" s="53">
        <f t="shared" si="60"/>
        <v>1.5144087955370573E-2</v>
      </c>
      <c r="O62" s="53">
        <f t="shared" si="60"/>
        <v>1.5193665758575186E-2</v>
      </c>
      <c r="P62" s="53">
        <f t="shared" si="60"/>
        <v>1.5243405866606465E-2</v>
      </c>
      <c r="Q62" s="53">
        <f t="shared" si="60"/>
        <v>1.529330881080818E-2</v>
      </c>
      <c r="R62" s="53">
        <f t="shared" si="60"/>
        <v>1.5343375124263576E-2</v>
      </c>
      <c r="S62" s="53">
        <f t="shared" si="60"/>
        <v>1.539360534180108E-2</v>
      </c>
      <c r="T62" s="53">
        <f t="shared" si="60"/>
        <v>1.5444000000000001E-2</v>
      </c>
      <c r="U62" s="53">
        <f t="shared" si="60"/>
        <v>1.5494559637196282E-2</v>
      </c>
      <c r="V62" s="53">
        <f t="shared" si="60"/>
        <v>1.5545284793488223E-2</v>
      </c>
      <c r="W62" s="53">
        <f t="shared" si="60"/>
        <v>1.5596176010742277E-2</v>
      </c>
      <c r="X62" s="53">
        <f t="shared" si="60"/>
        <v>1.564723383259882E-2</v>
      </c>
      <c r="Y62" s="53">
        <f t="shared" si="60"/>
        <v>1.5698458804477965E-2</v>
      </c>
      <c r="Z62" s="53">
        <f t="shared" si="60"/>
        <v>1.5749851473585395E-2</v>
      </c>
      <c r="AA62" s="53">
        <f t="shared" si="60"/>
        <v>1.5801412388918194E-2</v>
      </c>
      <c r="AB62" s="53">
        <f t="shared" si="60"/>
        <v>1.5853142101270725E-2</v>
      </c>
      <c r="AC62" s="53">
        <f t="shared" si="60"/>
        <v>1.5905041163240506E-2</v>
      </c>
      <c r="AD62" s="53">
        <f t="shared" si="60"/>
        <v>1.595711012923412E-2</v>
      </c>
      <c r="AE62" s="53">
        <f t="shared" si="60"/>
        <v>1.6009349555473121E-2</v>
      </c>
      <c r="AF62" s="53">
        <f t="shared" si="60"/>
        <v>1.6061760000000001E-2</v>
      </c>
      <c r="AG62" s="53">
        <f t="shared" si="60"/>
        <v>1.6114342022684133E-2</v>
      </c>
      <c r="AH62" s="53">
        <f t="shared" si="60"/>
        <v>1.6167096185227752E-2</v>
      </c>
      <c r="AI62" s="53">
        <f t="shared" si="60"/>
        <v>1.622002305117197E-2</v>
      </c>
      <c r="AJ62" s="53">
        <f t="shared" si="60"/>
        <v>1.6273123185902773E-2</v>
      </c>
      <c r="AK62" s="53">
        <f t="shared" si="60"/>
        <v>1.6326397156657086E-2</v>
      </c>
      <c r="AL62" s="53">
        <f t="shared" si="60"/>
        <v>1.6379845532528813E-2</v>
      </c>
      <c r="AM62" s="53">
        <f t="shared" si="60"/>
        <v>1.6433468884474924E-2</v>
      </c>
      <c r="AN62" s="53">
        <f t="shared" si="60"/>
        <v>1.6487267785321554E-2</v>
      </c>
      <c r="AO62" s="53">
        <f t="shared" si="60"/>
        <v>1.6541242809770127E-2</v>
      </c>
      <c r="AP62" s="53">
        <f t="shared" si="60"/>
        <v>1.6595394534403483E-2</v>
      </c>
      <c r="AQ62" s="53">
        <f t="shared" si="60"/>
        <v>1.6649723537692049E-2</v>
      </c>
    </row>
    <row r="63" spans="1:43" s="16" customFormat="1" hidden="1" outlineLevel="6">
      <c r="A63" s="53"/>
      <c r="B63" s="53"/>
      <c r="C63" s="53"/>
      <c r="D63" s="53"/>
      <c r="E63" s="53"/>
      <c r="F63" s="53"/>
      <c r="G63" s="53" t="s">
        <v>373</v>
      </c>
      <c r="H63" s="53">
        <f t="shared" ref="H63:AQ63" si="61">northern_public_coverage_churn_positive*(1+northern_public_coverage_churn_positive_growth)^((COLUMN()-8)/12)</f>
        <v>3.0000000000000001E-3</v>
      </c>
      <c r="I63" s="53">
        <f t="shared" si="61"/>
        <v>3.0000000000000001E-3</v>
      </c>
      <c r="J63" s="53">
        <f t="shared" si="61"/>
        <v>3.0000000000000001E-3</v>
      </c>
      <c r="K63" s="53">
        <f t="shared" si="61"/>
        <v>3.0000000000000001E-3</v>
      </c>
      <c r="L63" s="53">
        <f t="shared" si="61"/>
        <v>3.0000000000000001E-3</v>
      </c>
      <c r="M63" s="53">
        <f t="shared" si="61"/>
        <v>3.0000000000000001E-3</v>
      </c>
      <c r="N63" s="53">
        <f t="shared" si="61"/>
        <v>3.0000000000000001E-3</v>
      </c>
      <c r="O63" s="53">
        <f t="shared" si="61"/>
        <v>3.0000000000000001E-3</v>
      </c>
      <c r="P63" s="53">
        <f t="shared" si="61"/>
        <v>3.0000000000000001E-3</v>
      </c>
      <c r="Q63" s="53">
        <f t="shared" si="61"/>
        <v>3.0000000000000001E-3</v>
      </c>
      <c r="R63" s="53">
        <f t="shared" si="61"/>
        <v>3.0000000000000001E-3</v>
      </c>
      <c r="S63" s="53">
        <f t="shared" si="61"/>
        <v>3.0000000000000001E-3</v>
      </c>
      <c r="T63" s="53">
        <f t="shared" si="61"/>
        <v>3.0000000000000001E-3</v>
      </c>
      <c r="U63" s="53">
        <f t="shared" si="61"/>
        <v>3.0000000000000001E-3</v>
      </c>
      <c r="V63" s="53">
        <f t="shared" si="61"/>
        <v>3.0000000000000001E-3</v>
      </c>
      <c r="W63" s="53">
        <f t="shared" si="61"/>
        <v>3.0000000000000001E-3</v>
      </c>
      <c r="X63" s="53">
        <f t="shared" si="61"/>
        <v>3.0000000000000001E-3</v>
      </c>
      <c r="Y63" s="53">
        <f t="shared" si="61"/>
        <v>3.0000000000000001E-3</v>
      </c>
      <c r="Z63" s="53">
        <f t="shared" si="61"/>
        <v>3.0000000000000001E-3</v>
      </c>
      <c r="AA63" s="53">
        <f t="shared" si="61"/>
        <v>3.0000000000000001E-3</v>
      </c>
      <c r="AB63" s="53">
        <f t="shared" si="61"/>
        <v>3.0000000000000001E-3</v>
      </c>
      <c r="AC63" s="53">
        <f t="shared" si="61"/>
        <v>3.0000000000000001E-3</v>
      </c>
      <c r="AD63" s="53">
        <f t="shared" si="61"/>
        <v>3.0000000000000001E-3</v>
      </c>
      <c r="AE63" s="53">
        <f t="shared" si="61"/>
        <v>3.0000000000000001E-3</v>
      </c>
      <c r="AF63" s="53">
        <f t="shared" si="61"/>
        <v>3.0000000000000001E-3</v>
      </c>
      <c r="AG63" s="53">
        <f t="shared" si="61"/>
        <v>3.0000000000000001E-3</v>
      </c>
      <c r="AH63" s="53">
        <f t="shared" si="61"/>
        <v>3.0000000000000001E-3</v>
      </c>
      <c r="AI63" s="53">
        <f t="shared" si="61"/>
        <v>3.0000000000000001E-3</v>
      </c>
      <c r="AJ63" s="53">
        <f t="shared" si="61"/>
        <v>3.0000000000000001E-3</v>
      </c>
      <c r="AK63" s="53">
        <f t="shared" si="61"/>
        <v>3.0000000000000001E-3</v>
      </c>
      <c r="AL63" s="53">
        <f t="shared" si="61"/>
        <v>3.0000000000000001E-3</v>
      </c>
      <c r="AM63" s="53">
        <f t="shared" si="61"/>
        <v>3.0000000000000001E-3</v>
      </c>
      <c r="AN63" s="53">
        <f t="shared" si="61"/>
        <v>3.0000000000000001E-3</v>
      </c>
      <c r="AO63" s="53">
        <f t="shared" si="61"/>
        <v>3.0000000000000001E-3</v>
      </c>
      <c r="AP63" s="53">
        <f t="shared" si="61"/>
        <v>3.0000000000000001E-3</v>
      </c>
      <c r="AQ63" s="53">
        <f t="shared" si="61"/>
        <v>3.0000000000000001E-3</v>
      </c>
    </row>
    <row r="64" spans="1:43" s="16" customFormat="1" hidden="1" outlineLevel="4">
      <c r="A64" s="53"/>
      <c r="B64" s="53"/>
      <c r="C64" s="53"/>
      <c r="D64" s="53"/>
      <c r="E64" s="53" t="s">
        <v>374</v>
      </c>
      <c r="F64" s="53"/>
      <c r="G64" s="53"/>
      <c r="H64" s="53">
        <f t="shared" ref="H64:AQ64" si="62">northern_public_net_price_per_dose_positive*(1+northern_public_net_price_per_dose_positive_growth)^((COLUMN()-8)/12)</f>
        <v>35100</v>
      </c>
      <c r="I64" s="53">
        <f t="shared" si="62"/>
        <v>35186.566069007858</v>
      </c>
      <c r="J64" s="53">
        <f t="shared" si="62"/>
        <v>35273.345633295008</v>
      </c>
      <c r="K64" s="53">
        <f t="shared" si="62"/>
        <v>35360.339219398425</v>
      </c>
      <c r="L64" s="53">
        <f t="shared" si="62"/>
        <v>35447.547355153627</v>
      </c>
      <c r="M64" s="53">
        <f t="shared" si="62"/>
        <v>35534.970569697944</v>
      </c>
      <c r="N64" s="53">
        <f t="shared" si="62"/>
        <v>35622.609393473693</v>
      </c>
      <c r="O64" s="53">
        <f t="shared" si="62"/>
        <v>35710.464358231387</v>
      </c>
      <c r="P64" s="53">
        <f t="shared" si="62"/>
        <v>35798.535997033025</v>
      </c>
      <c r="Q64" s="53">
        <f t="shared" si="62"/>
        <v>35886.824844255229</v>
      </c>
      <c r="R64" s="53">
        <f t="shared" si="62"/>
        <v>35975.331435592569</v>
      </c>
      <c r="S64" s="53">
        <f t="shared" si="62"/>
        <v>36064.056308060775</v>
      </c>
      <c r="T64" s="53">
        <f t="shared" si="62"/>
        <v>36153</v>
      </c>
      <c r="U64" s="53">
        <f t="shared" si="62"/>
        <v>36242.163051078096</v>
      </c>
      <c r="V64" s="53">
        <f t="shared" si="62"/>
        <v>36331.546002293864</v>
      </c>
      <c r="W64" s="53">
        <f t="shared" si="62"/>
        <v>36421.149395980385</v>
      </c>
      <c r="X64" s="53">
        <f t="shared" si="62"/>
        <v>36510.973775808241</v>
      </c>
      <c r="Y64" s="53">
        <f t="shared" si="62"/>
        <v>36601.019686788888</v>
      </c>
      <c r="Z64" s="53">
        <f t="shared" si="62"/>
        <v>36691.287675277905</v>
      </c>
      <c r="AA64" s="53">
        <f t="shared" si="62"/>
        <v>36781.778288978341</v>
      </c>
      <c r="AB64" s="53">
        <f t="shared" si="62"/>
        <v>36872.492076944014</v>
      </c>
      <c r="AC64" s="53">
        <f t="shared" si="62"/>
        <v>36963.429589582884</v>
      </c>
      <c r="AD64" s="53">
        <f t="shared" si="62"/>
        <v>37054.591378660349</v>
      </c>
      <c r="AE64" s="53">
        <f t="shared" si="62"/>
        <v>37145.977997302594</v>
      </c>
      <c r="AF64" s="53">
        <f t="shared" si="62"/>
        <v>37237.589999999997</v>
      </c>
      <c r="AG64" s="53">
        <f t="shared" si="62"/>
        <v>37329.427942610433</v>
      </c>
      <c r="AH64" s="53">
        <f t="shared" si="62"/>
        <v>37421.492382362681</v>
      </c>
      <c r="AI64" s="53">
        <f t="shared" si="62"/>
        <v>37513.783877859787</v>
      </c>
      <c r="AJ64" s="53">
        <f t="shared" si="62"/>
        <v>37606.302989082491</v>
      </c>
      <c r="AK64" s="53">
        <f t="shared" si="62"/>
        <v>37699.050277392555</v>
      </c>
      <c r="AL64" s="53">
        <f t="shared" si="62"/>
        <v>37792.026305536237</v>
      </c>
      <c r="AM64" s="53">
        <f t="shared" si="62"/>
        <v>37885.231637647688</v>
      </c>
      <c r="AN64" s="53">
        <f t="shared" si="62"/>
        <v>37978.666839252342</v>
      </c>
      <c r="AO64" s="53">
        <f t="shared" si="62"/>
        <v>38072.332477270371</v>
      </c>
      <c r="AP64" s="53">
        <f t="shared" si="62"/>
        <v>38166.229120020158</v>
      </c>
      <c r="AQ64" s="53">
        <f t="shared" si="62"/>
        <v>38260.357337221678</v>
      </c>
    </row>
    <row r="65" spans="1:43" s="16" customFormat="1" outlineLevel="2" collapsed="1">
      <c r="A65" s="52"/>
      <c r="B65" s="52"/>
      <c r="C65" s="52" t="s">
        <v>375</v>
      </c>
      <c r="D65" s="52"/>
      <c r="E65" s="52"/>
      <c r="F65" s="52"/>
      <c r="G65" s="52"/>
      <c r="H65" s="52">
        <f t="shared" ref="H65:AQ65" si="63">(((H66+H77)+H88)+H99)</f>
        <v>8366003.5781594673</v>
      </c>
      <c r="I65" s="52">
        <f t="shared" si="63"/>
        <v>12245258.139731672</v>
      </c>
      <c r="J65" s="52">
        <f t="shared" si="63"/>
        <v>16287409.250471812</v>
      </c>
      <c r="K65" s="52">
        <f t="shared" si="63"/>
        <v>20497672.007143363</v>
      </c>
      <c r="L65" s="52">
        <f t="shared" si="63"/>
        <v>24881410.644643683</v>
      </c>
      <c r="M65" s="52">
        <f t="shared" si="63"/>
        <v>29444142.544758372</v>
      </c>
      <c r="N65" s="52">
        <f t="shared" si="63"/>
        <v>34191542.348548315</v>
      </c>
      <c r="O65" s="52">
        <f t="shared" si="63"/>
        <v>39129446.174977355</v>
      </c>
      <c r="P65" s="52">
        <f t="shared" si="63"/>
        <v>44263855.948454343</v>
      </c>
      <c r="Q65" s="52">
        <f t="shared" si="63"/>
        <v>49600943.838027939</v>
      </c>
      <c r="R65" s="52">
        <f t="shared" si="63"/>
        <v>55147056.811041124</v>
      </c>
      <c r="S65" s="52">
        <f t="shared" si="63"/>
        <v>60908721.304120973</v>
      </c>
      <c r="T65" s="52">
        <f t="shared" si="63"/>
        <v>66892648.014450349</v>
      </c>
      <c r="U65" s="52">
        <f t="shared" si="63"/>
        <v>73105736.814341396</v>
      </c>
      <c r="V65" s="52">
        <f t="shared" si="63"/>
        <v>79555081.79220359</v>
      </c>
      <c r="W65" s="52">
        <f t="shared" si="63"/>
        <v>86247976.423077241</v>
      </c>
      <c r="X65" s="52">
        <f t="shared" si="63"/>
        <v>93191918.871979743</v>
      </c>
      <c r="Y65" s="52">
        <f t="shared" si="63"/>
        <v>100394617.43339318</v>
      </c>
      <c r="Z65" s="52">
        <f t="shared" si="63"/>
        <v>107863996.11030254</v>
      </c>
      <c r="AA65" s="52">
        <f t="shared" si="63"/>
        <v>115608200.33627853</v>
      </c>
      <c r="AB65" s="52">
        <f t="shared" si="63"/>
        <v>123635602.84418461</v>
      </c>
      <c r="AC65" s="52">
        <f t="shared" si="63"/>
        <v>131954809.68517625</v>
      </c>
      <c r="AD65" s="52">
        <f t="shared" si="63"/>
        <v>140574666.40174949</v>
      </c>
      <c r="AE65" s="52">
        <f t="shared" si="63"/>
        <v>149504264.35868925</v>
      </c>
      <c r="AF65" s="52">
        <f t="shared" si="63"/>
        <v>158752947.23586276</v>
      </c>
      <c r="AG65" s="52">
        <f t="shared" si="63"/>
        <v>168330317.68689874</v>
      </c>
      <c r="AH65" s="52">
        <f t="shared" si="63"/>
        <v>178246244.16789284</v>
      </c>
      <c r="AI65" s="52">
        <f t="shared" si="63"/>
        <v>188510867.94038323</v>
      </c>
      <c r="AJ65" s="52">
        <f t="shared" si="63"/>
        <v>199134610.25294071</v>
      </c>
      <c r="AK65" s="52">
        <f t="shared" si="63"/>
        <v>210128179.70582852</v>
      </c>
      <c r="AL65" s="52">
        <f t="shared" si="63"/>
        <v>221502579.80329201</v>
      </c>
      <c r="AM65" s="52">
        <f t="shared" si="63"/>
        <v>233269116.69815353</v>
      </c>
      <c r="AN65" s="52">
        <f t="shared" si="63"/>
        <v>245439407.13349986</v>
      </c>
      <c r="AO65" s="52">
        <f t="shared" si="63"/>
        <v>258025386.58637044</v>
      </c>
      <c r="AP65" s="52">
        <f t="shared" si="63"/>
        <v>271039317.61846751</v>
      </c>
      <c r="AQ65" s="52">
        <f t="shared" si="63"/>
        <v>284493798.4390431</v>
      </c>
    </row>
    <row r="66" spans="1:43" s="16" customFormat="1" hidden="1" outlineLevel="3" collapsed="1">
      <c r="A66" s="53"/>
      <c r="B66" s="53"/>
      <c r="C66" s="53"/>
      <c r="D66" s="53" t="s">
        <v>376</v>
      </c>
      <c r="E66" s="53"/>
      <c r="F66" s="53"/>
      <c r="G66" s="53"/>
      <c r="H66" s="53">
        <f t="shared" ref="H66:AQ66" si="64">(H67*H76)</f>
        <v>6179888.0807426078</v>
      </c>
      <c r="I66" s="53">
        <f t="shared" si="64"/>
        <v>9359826.2587834708</v>
      </c>
      <c r="J66" s="53">
        <f t="shared" si="64"/>
        <v>12673389.113776246</v>
      </c>
      <c r="K66" s="53">
        <f t="shared" si="64"/>
        <v>16124851.528511418</v>
      </c>
      <c r="L66" s="53">
        <f t="shared" si="64"/>
        <v>19718610.514750857</v>
      </c>
      <c r="M66" s="53">
        <f t="shared" si="64"/>
        <v>23459188.492584351</v>
      </c>
      <c r="N66" s="53">
        <f t="shared" si="64"/>
        <v>27351236.654477213</v>
      </c>
      <c r="O66" s="53">
        <f t="shared" si="64"/>
        <v>31399538.416138157</v>
      </c>
      <c r="P66" s="53">
        <f t="shared" si="64"/>
        <v>35609012.956390396</v>
      </c>
      <c r="Q66" s="53">
        <f t="shared" si="64"/>
        <v>39984718.848281495</v>
      </c>
      <c r="R66" s="53">
        <f t="shared" si="64"/>
        <v>44531857.783723697</v>
      </c>
      <c r="S66" s="53">
        <f t="shared" si="64"/>
        <v>49255778.394012198</v>
      </c>
      <c r="T66" s="53">
        <f t="shared" si="64"/>
        <v>54161980.168626808</v>
      </c>
      <c r="U66" s="53">
        <f t="shared" si="64"/>
        <v>59256117.47478231</v>
      </c>
      <c r="V66" s="53">
        <f t="shared" si="64"/>
        <v>64544003.680252329</v>
      </c>
      <c r="W66" s="53">
        <f t="shared" si="64"/>
        <v>70031615.382054791</v>
      </c>
      <c r="X66" s="53">
        <f t="shared" si="64"/>
        <v>75725096.743650168</v>
      </c>
      <c r="Y66" s="53">
        <f t="shared" si="64"/>
        <v>81630763.943369046</v>
      </c>
      <c r="Z66" s="53">
        <f t="shared" si="64"/>
        <v>87755109.736852199</v>
      </c>
      <c r="AA66" s="53">
        <f t="shared" si="64"/>
        <v>94104808.136355087</v>
      </c>
      <c r="AB66" s="53">
        <f t="shared" si="64"/>
        <v>100686719.20983814</v>
      </c>
      <c r="AC66" s="53">
        <f t="shared" si="64"/>
        <v>107507894.00283721</v>
      </c>
      <c r="AD66" s="53">
        <f t="shared" si="64"/>
        <v>114575579.58618024</v>
      </c>
      <c r="AE66" s="53">
        <f t="shared" si="64"/>
        <v>121897224.23269287</v>
      </c>
      <c r="AF66" s="53">
        <f t="shared" si="64"/>
        <v>129480482.72611345</v>
      </c>
      <c r="AG66" s="53">
        <f t="shared" si="64"/>
        <v>137333221.80551401</v>
      </c>
      <c r="AH66" s="53">
        <f t="shared" si="64"/>
        <v>145463525.7486079</v>
      </c>
      <c r="AI66" s="53">
        <f t="shared" si="64"/>
        <v>153879702.09740612</v>
      </c>
      <c r="AJ66" s="53">
        <f t="shared" si="64"/>
        <v>162590287.52976868</v>
      </c>
      <c r="AK66" s="53">
        <f t="shared" si="64"/>
        <v>171604053.88048613</v>
      </c>
      <c r="AL66" s="53">
        <f t="shared" si="64"/>
        <v>180930014.31561303</v>
      </c>
      <c r="AM66" s="53">
        <f t="shared" si="64"/>
        <v>190577429.66386825</v>
      </c>
      <c r="AN66" s="53">
        <f t="shared" si="64"/>
        <v>200555814.90900883</v>
      </c>
      <c r="AO66" s="53">
        <f t="shared" si="64"/>
        <v>210874945.8471826</v>
      </c>
      <c r="AP66" s="53">
        <f t="shared" si="64"/>
        <v>221544865.91335651</v>
      </c>
      <c r="AQ66" s="53">
        <f t="shared" si="64"/>
        <v>232575893.18102732</v>
      </c>
    </row>
    <row r="67" spans="1:43" s="16" customFormat="1" hidden="1" outlineLevel="4" collapsed="1">
      <c r="A67" s="53"/>
      <c r="B67" s="53"/>
      <c r="C67" s="53"/>
      <c r="D67" s="53"/>
      <c r="E67" s="53" t="s">
        <v>377</v>
      </c>
      <c r="F67" s="53"/>
      <c r="G67" s="53"/>
      <c r="H67" s="53">
        <f t="shared" ref="H67:AQ67" si="65">(((((H68*H69)*H70)*H71)*H72)*H73)</f>
        <v>49.878031321570688</v>
      </c>
      <c r="I67" s="53">
        <f t="shared" si="65"/>
        <v>75.32713534278902</v>
      </c>
      <c r="J67" s="53">
        <f t="shared" si="65"/>
        <v>101.70244753739058</v>
      </c>
      <c r="K67" s="53">
        <f t="shared" si="65"/>
        <v>129.02959398312791</v>
      </c>
      <c r="L67" s="53">
        <f t="shared" si="65"/>
        <v>157.33483385524627</v>
      </c>
      <c r="M67" s="53">
        <f t="shared" si="65"/>
        <v>186.64507412991284</v>
      </c>
      <c r="N67" s="53">
        <f t="shared" si="65"/>
        <v>216.98788461617673</v>
      </c>
      <c r="O67" s="53">
        <f t="shared" si="65"/>
        <v>248.39151332360558</v>
      </c>
      <c r="P67" s="53">
        <f t="shared" si="65"/>
        <v>280.88490217290655</v>
      </c>
      <c r="Q67" s="53">
        <f t="shared" si="65"/>
        <v>314.49770305698672</v>
      </c>
      <c r="R67" s="53">
        <f t="shared" si="65"/>
        <v>349.26029426007409</v>
      </c>
      <c r="S67" s="53">
        <f t="shared" si="65"/>
        <v>385.20379724267815</v>
      </c>
      <c r="T67" s="53">
        <f t="shared" si="65"/>
        <v>422.36009380033619</v>
      </c>
      <c r="U67" s="53">
        <f t="shared" si="65"/>
        <v>460.76184360426566</v>
      </c>
      <c r="V67" s="53">
        <f t="shared" si="65"/>
        <v>500.4425021322059</v>
      </c>
      <c r="W67" s="53">
        <f t="shared" si="65"/>
        <v>541.43633899791951</v>
      </c>
      <c r="X67" s="53">
        <f t="shared" si="65"/>
        <v>583.77845668799853</v>
      </c>
      <c r="Y67" s="53">
        <f t="shared" si="65"/>
        <v>627.50480971480681</v>
      </c>
      <c r="Z67" s="53">
        <f t="shared" si="65"/>
        <v>672.6522241945753</v>
      </c>
      <c r="AA67" s="53">
        <f t="shared" si="65"/>
        <v>719.25841785986358</v>
      </c>
      <c r="AB67" s="53">
        <f t="shared" si="65"/>
        <v>767.36202051579039</v>
      </c>
      <c r="AC67" s="53">
        <f t="shared" si="65"/>
        <v>817.0025949496478</v>
      </c>
      <c r="AD67" s="53">
        <f t="shared" si="65"/>
        <v>868.22065830370047</v>
      </c>
      <c r="AE67" s="53">
        <f t="shared" si="65"/>
        <v>921.05770392119518</v>
      </c>
      <c r="AF67" s="53">
        <f t="shared" si="65"/>
        <v>975.55622367582009</v>
      </c>
      <c r="AG67" s="53">
        <f t="shared" si="65"/>
        <v>1031.7597307950498</v>
      </c>
      <c r="AH67" s="53">
        <f t="shared" si="65"/>
        <v>1089.7127831880596</v>
      </c>
      <c r="AI67" s="53">
        <f t="shared" si="65"/>
        <v>1149.4610072891087</v>
      </c>
      <c r="AJ67" s="53">
        <f t="shared" si="65"/>
        <v>1211.0511224275158</v>
      </c>
      <c r="AK67" s="53">
        <f t="shared" si="65"/>
        <v>1274.5309657356036</v>
      </c>
      <c r="AL67" s="53">
        <f t="shared" si="65"/>
        <v>1339.9495176062126</v>
      </c>
      <c r="AM67" s="53">
        <f t="shared" si="65"/>
        <v>1407.3569277116471</v>
      </c>
      <c r="AN67" s="53">
        <f t="shared" si="65"/>
        <v>1476.8045415961496</v>
      </c>
      <c r="AO67" s="53">
        <f t="shared" si="65"/>
        <v>1548.3449278542844</v>
      </c>
      <c r="AP67" s="53">
        <f t="shared" si="65"/>
        <v>1622.0319059078297</v>
      </c>
      <c r="AQ67" s="53">
        <f t="shared" si="65"/>
        <v>1697.920574394102</v>
      </c>
    </row>
    <row r="68" spans="1:43" s="16" customFormat="1" hidden="1" outlineLevel="5">
      <c r="A68" s="53"/>
      <c r="B68" s="53"/>
      <c r="C68" s="53"/>
      <c r="D68" s="53"/>
      <c r="E68" s="53"/>
      <c r="F68" s="53" t="s">
        <v>325</v>
      </c>
      <c r="G68" s="53"/>
      <c r="H68" s="53">
        <f t="shared" ref="H68:AQ68" si="66">H7</f>
        <v>18227.958336</v>
      </c>
      <c r="I68" s="53">
        <f t="shared" si="66"/>
        <v>18268.739575357173</v>
      </c>
      <c r="J68" s="53">
        <f t="shared" si="66"/>
        <v>18309.612054196732</v>
      </c>
      <c r="K68" s="53">
        <f t="shared" si="66"/>
        <v>18350.575976647902</v>
      </c>
      <c r="L68" s="53">
        <f t="shared" si="66"/>
        <v>18391.631547296634</v>
      </c>
      <c r="M68" s="53">
        <f t="shared" si="66"/>
        <v>18432.778971186552</v>
      </c>
      <c r="N68" s="53">
        <f t="shared" si="66"/>
        <v>18474.018453820059</v>
      </c>
      <c r="O68" s="53">
        <f t="shared" si="66"/>
        <v>18515.350201159312</v>
      </c>
      <c r="P68" s="53">
        <f t="shared" si="66"/>
        <v>18556.774419627276</v>
      </c>
      <c r="Q68" s="53">
        <f t="shared" si="66"/>
        <v>18598.291316108724</v>
      </c>
      <c r="R68" s="53">
        <f t="shared" si="66"/>
        <v>18639.901097951308</v>
      </c>
      <c r="S68" s="53">
        <f t="shared" si="66"/>
        <v>18681.603972966564</v>
      </c>
      <c r="T68" s="53">
        <f t="shared" si="66"/>
        <v>18723.400149430981</v>
      </c>
      <c r="U68" s="53">
        <f t="shared" si="66"/>
        <v>18765.289836086999</v>
      </c>
      <c r="V68" s="53">
        <f t="shared" si="66"/>
        <v>18807.2732421441</v>
      </c>
      <c r="W68" s="53">
        <f t="shared" si="66"/>
        <v>18849.350577279809</v>
      </c>
      <c r="X68" s="53">
        <f t="shared" si="66"/>
        <v>18891.522051640775</v>
      </c>
      <c r="Y68" s="53">
        <f t="shared" si="66"/>
        <v>18933.787875843787</v>
      </c>
      <c r="Z68" s="53">
        <f t="shared" si="66"/>
        <v>18976.148260976868</v>
      </c>
      <c r="AA68" s="53">
        <f t="shared" si="66"/>
        <v>19018.603418600294</v>
      </c>
      <c r="AB68" s="53">
        <f t="shared" si="66"/>
        <v>19061.153560747651</v>
      </c>
      <c r="AC68" s="53">
        <f t="shared" si="66"/>
        <v>19103.798899926944</v>
      </c>
      <c r="AD68" s="53">
        <f t="shared" si="66"/>
        <v>19146.53964912158</v>
      </c>
      <c r="AE68" s="53">
        <f t="shared" si="66"/>
        <v>19189.376021791479</v>
      </c>
      <c r="AF68" s="53">
        <f t="shared" si="66"/>
        <v>19232.308231874158</v>
      </c>
      <c r="AG68" s="53">
        <f t="shared" si="66"/>
        <v>19275.336493785751</v>
      </c>
      <c r="AH68" s="53">
        <f t="shared" si="66"/>
        <v>19318.4610224221</v>
      </c>
      <c r="AI68" s="53">
        <f t="shared" si="66"/>
        <v>19361.682033159857</v>
      </c>
      <c r="AJ68" s="53">
        <f t="shared" si="66"/>
        <v>19404.999741857515</v>
      </c>
      <c r="AK68" s="53">
        <f t="shared" si="66"/>
        <v>19448.414364856493</v>
      </c>
      <c r="AL68" s="53">
        <f t="shared" si="66"/>
        <v>19491.92611898225</v>
      </c>
      <c r="AM68" s="53">
        <f t="shared" si="66"/>
        <v>19535.535221545357</v>
      </c>
      <c r="AN68" s="53">
        <f t="shared" si="66"/>
        <v>19579.241890342528</v>
      </c>
      <c r="AO68" s="53">
        <f t="shared" si="66"/>
        <v>19623.046343657803</v>
      </c>
      <c r="AP68" s="53">
        <f t="shared" si="66"/>
        <v>19666.948800263548</v>
      </c>
      <c r="AQ68" s="53">
        <f t="shared" si="66"/>
        <v>19710.949479421604</v>
      </c>
    </row>
    <row r="69" spans="1:43" s="16" customFormat="1" hidden="1" outlineLevel="5">
      <c r="A69" s="53"/>
      <c r="B69" s="53"/>
      <c r="C69" s="53"/>
      <c r="D69" s="53"/>
      <c r="E69" s="53"/>
      <c r="F69" s="53" t="s">
        <v>378</v>
      </c>
      <c r="G69" s="53"/>
      <c r="H69" s="53">
        <f t="shared" ref="H69:AQ69" si="67">central_private_eligibility_rate_positive*(1+central_private_eligibility_rate_positive_growth)^((COLUMN()-8)/12)</f>
        <v>8.7500000000000008E-2</v>
      </c>
      <c r="I69" s="53">
        <f t="shared" si="67"/>
        <v>8.8062977634625311E-2</v>
      </c>
      <c r="J69" s="53">
        <f t="shared" si="67"/>
        <v>8.8629577484303057E-2</v>
      </c>
      <c r="K69" s="53">
        <f t="shared" si="67"/>
        <v>8.9199822854473934E-2</v>
      </c>
      <c r="L69" s="53">
        <f t="shared" si="67"/>
        <v>8.9773737200526602E-2</v>
      </c>
      <c r="M69" s="53">
        <f t="shared" si="67"/>
        <v>9.035134412876232E-2</v>
      </c>
      <c r="N69" s="53">
        <f t="shared" si="67"/>
        <v>9.0932667397366079E-2</v>
      </c>
      <c r="O69" s="53">
        <f t="shared" si="67"/>
        <v>9.1517730917383647E-2</v>
      </c>
      <c r="P69" s="53">
        <f t="shared" si="67"/>
        <v>9.2106558753705298E-2</v>
      </c>
      <c r="Q69" s="53">
        <f t="shared" si="67"/>
        <v>9.2699175126055439E-2</v>
      </c>
      <c r="R69" s="53">
        <f t="shared" si="67"/>
        <v>9.329560440998895E-2</v>
      </c>
      <c r="S69" s="53">
        <f t="shared" si="67"/>
        <v>9.3895871137893813E-2</v>
      </c>
      <c r="T69" s="53">
        <f t="shared" si="67"/>
        <v>9.4500000000000015E-2</v>
      </c>
      <c r="U69" s="53">
        <f t="shared" si="67"/>
        <v>9.5108015845395341E-2</v>
      </c>
      <c r="V69" s="53">
        <f t="shared" si="67"/>
        <v>9.5719943683047301E-2</v>
      </c>
      <c r="W69" s="53">
        <f t="shared" si="67"/>
        <v>9.6335808682831869E-2</v>
      </c>
      <c r="X69" s="53">
        <f t="shared" si="67"/>
        <v>9.695563617656873E-2</v>
      </c>
      <c r="Y69" s="53">
        <f t="shared" si="67"/>
        <v>9.7579451659063329E-2</v>
      </c>
      <c r="Z69" s="53">
        <f t="shared" si="67"/>
        <v>9.820728078915536E-2</v>
      </c>
      <c r="AA69" s="53">
        <f t="shared" si="67"/>
        <v>9.8839149390774345E-2</v>
      </c>
      <c r="AB69" s="53">
        <f t="shared" si="67"/>
        <v>9.9475083454001717E-2</v>
      </c>
      <c r="AC69" s="53">
        <f t="shared" si="67"/>
        <v>0.10011510913613987</v>
      </c>
      <c r="AD69" s="53">
        <f t="shared" si="67"/>
        <v>0.10075925276278809</v>
      </c>
      <c r="AE69" s="53">
        <f t="shared" si="67"/>
        <v>0.10140754082892532</v>
      </c>
      <c r="AF69" s="53">
        <f t="shared" si="67"/>
        <v>0.10206000000000001</v>
      </c>
      <c r="AG69" s="53">
        <f t="shared" si="67"/>
        <v>0.10271665711302699</v>
      </c>
      <c r="AH69" s="53">
        <f t="shared" si="67"/>
        <v>0.10337753917769109</v>
      </c>
      <c r="AI69" s="53">
        <f t="shared" si="67"/>
        <v>0.10404267337745843</v>
      </c>
      <c r="AJ69" s="53">
        <f t="shared" si="67"/>
        <v>0.10471208707069425</v>
      </c>
      <c r="AK69" s="53">
        <f t="shared" si="67"/>
        <v>0.1053858077917884</v>
      </c>
      <c r="AL69" s="53">
        <f t="shared" si="67"/>
        <v>0.1060638632522878</v>
      </c>
      <c r="AM69" s="53">
        <f t="shared" si="67"/>
        <v>0.1067462813420363</v>
      </c>
      <c r="AN69" s="53">
        <f t="shared" si="67"/>
        <v>0.10743309013032186</v>
      </c>
      <c r="AO69" s="53">
        <f t="shared" si="67"/>
        <v>0.10812431786703108</v>
      </c>
      <c r="AP69" s="53">
        <f t="shared" si="67"/>
        <v>0.10881999298381115</v>
      </c>
      <c r="AQ69" s="53">
        <f t="shared" si="67"/>
        <v>0.10952014409523934</v>
      </c>
    </row>
    <row r="70" spans="1:43" s="16" customFormat="1" hidden="1" outlineLevel="5">
      <c r="A70" s="53"/>
      <c r="B70" s="53"/>
      <c r="C70" s="53"/>
      <c r="D70" s="53"/>
      <c r="E70" s="53"/>
      <c r="F70" s="53" t="s">
        <v>379</v>
      </c>
      <c r="G70" s="53"/>
      <c r="H70" s="53">
        <f t="shared" ref="H70:AQ70" si="68">central_private_provider_recommendation_rate_positive*(1+central_private_provider_recommendation_rate_positive_growth)^((COLUMN()-8)/12)</f>
        <v>0.75040000000000007</v>
      </c>
      <c r="I70" s="53">
        <f t="shared" si="68"/>
        <v>0.75345722248724978</v>
      </c>
      <c r="J70" s="53">
        <f t="shared" si="68"/>
        <v>0.75652690047734661</v>
      </c>
      <c r="K70" s="53">
        <f t="shared" si="68"/>
        <v>0.75960908471555122</v>
      </c>
      <c r="L70" s="53">
        <f t="shared" si="68"/>
        <v>0.76270382615386612</v>
      </c>
      <c r="M70" s="53">
        <f t="shared" si="68"/>
        <v>0.76581117595187909</v>
      </c>
      <c r="N70" s="53">
        <f t="shared" si="68"/>
        <v>0.76893118547760841</v>
      </c>
      <c r="O70" s="53">
        <f t="shared" si="68"/>
        <v>0.77206390630835164</v>
      </c>
      <c r="P70" s="53">
        <f t="shared" si="68"/>
        <v>0.7752093902315389</v>
      </c>
      <c r="Q70" s="53">
        <f t="shared" si="68"/>
        <v>0.77836768924558863</v>
      </c>
      <c r="R70" s="53">
        <f t="shared" si="68"/>
        <v>0.78153885556076752</v>
      </c>
      <c r="S70" s="53">
        <f t="shared" si="68"/>
        <v>0.78472294160005296</v>
      </c>
      <c r="T70" s="53">
        <f t="shared" si="68"/>
        <v>0.78792000000000006</v>
      </c>
      <c r="U70" s="53">
        <f t="shared" si="68"/>
        <v>0.7911300836116123</v>
      </c>
      <c r="V70" s="53">
        <f t="shared" si="68"/>
        <v>0.794353245501214</v>
      </c>
      <c r="W70" s="53">
        <f t="shared" si="68"/>
        <v>0.79758953895132878</v>
      </c>
      <c r="X70" s="53">
        <f t="shared" si="68"/>
        <v>0.80083901746155939</v>
      </c>
      <c r="Y70" s="53">
        <f t="shared" si="68"/>
        <v>0.80410173474947311</v>
      </c>
      <c r="Z70" s="53">
        <f t="shared" si="68"/>
        <v>0.80737774475148871</v>
      </c>
      <c r="AA70" s="53">
        <f t="shared" si="68"/>
        <v>0.8106671016237692</v>
      </c>
      <c r="AB70" s="53">
        <f t="shared" si="68"/>
        <v>0.81396985974311586</v>
      </c>
      <c r="AC70" s="53">
        <f t="shared" si="68"/>
        <v>0.81728607370786799</v>
      </c>
      <c r="AD70" s="53">
        <f t="shared" si="68"/>
        <v>0.82061579833880594</v>
      </c>
      <c r="AE70" s="53">
        <f t="shared" si="68"/>
        <v>0.82395908868005563</v>
      </c>
      <c r="AF70" s="53">
        <f t="shared" si="68"/>
        <v>0.82731600000000005</v>
      </c>
      <c r="AG70" s="53">
        <f t="shared" si="68"/>
        <v>0.83068658779219295</v>
      </c>
      <c r="AH70" s="53">
        <f t="shared" si="68"/>
        <v>0.83407090777627479</v>
      </c>
      <c r="AI70" s="53">
        <f t="shared" si="68"/>
        <v>0.83746901589889533</v>
      </c>
      <c r="AJ70" s="53">
        <f t="shared" si="68"/>
        <v>0.84088096833463744</v>
      </c>
      <c r="AK70" s="53">
        <f t="shared" si="68"/>
        <v>0.8443068214869468</v>
      </c>
      <c r="AL70" s="53">
        <f t="shared" si="68"/>
        <v>0.8477466319890633</v>
      </c>
      <c r="AM70" s="53">
        <f t="shared" si="68"/>
        <v>0.85120045670495781</v>
      </c>
      <c r="AN70" s="53">
        <f t="shared" si="68"/>
        <v>0.85466835273027164</v>
      </c>
      <c r="AO70" s="53">
        <f t="shared" si="68"/>
        <v>0.85815037739326161</v>
      </c>
      <c r="AP70" s="53">
        <f t="shared" si="68"/>
        <v>0.86164658825574625</v>
      </c>
      <c r="AQ70" s="53">
        <f t="shared" si="68"/>
        <v>0.86515704311405828</v>
      </c>
    </row>
    <row r="71" spans="1:43" s="16" customFormat="1" hidden="1" outlineLevel="5">
      <c r="A71" s="53"/>
      <c r="B71" s="53"/>
      <c r="C71" s="53"/>
      <c r="D71" s="53"/>
      <c r="E71" s="53"/>
      <c r="F71" s="53" t="s">
        <v>380</v>
      </c>
      <c r="G71" s="53"/>
      <c r="H71" s="53">
        <f t="shared" ref="H71:AQ71" si="69">central_private_acceptance_rate_positive*(1+central_private_acceptance_rate_positive_growth)^((COLUMN()-8)/12)</f>
        <v>0.85050000000000014</v>
      </c>
      <c r="I71" s="53">
        <f t="shared" si="69"/>
        <v>0.85225189074750141</v>
      </c>
      <c r="J71" s="53">
        <f t="shared" si="69"/>
        <v>0.85400739010310533</v>
      </c>
      <c r="K71" s="53">
        <f t="shared" si="69"/>
        <v>0.85576650549995359</v>
      </c>
      <c r="L71" s="53">
        <f t="shared" si="69"/>
        <v>0.85752924438649902</v>
      </c>
      <c r="M71" s="53">
        <f t="shared" si="69"/>
        <v>0.85929561422653733</v>
      </c>
      <c r="N71" s="53">
        <f t="shared" si="69"/>
        <v>0.8610656224992379</v>
      </c>
      <c r="O71" s="53">
        <f t="shared" si="69"/>
        <v>0.8628392766991767</v>
      </c>
      <c r="P71" s="53">
        <f t="shared" si="69"/>
        <v>0.86461658433636657</v>
      </c>
      <c r="Q71" s="53">
        <f t="shared" si="69"/>
        <v>0.86639755293629028</v>
      </c>
      <c r="R71" s="53">
        <f t="shared" si="69"/>
        <v>0.86818219003993158</v>
      </c>
      <c r="S71" s="53">
        <f t="shared" si="69"/>
        <v>0.86997050320380753</v>
      </c>
      <c r="T71" s="53">
        <f t="shared" si="69"/>
        <v>0.87176250000000011</v>
      </c>
      <c r="U71" s="53">
        <f t="shared" si="69"/>
        <v>0.8735581880161889</v>
      </c>
      <c r="V71" s="53">
        <f t="shared" si="69"/>
        <v>0.87535757485568277</v>
      </c>
      <c r="W71" s="53">
        <f t="shared" si="69"/>
        <v>0.87716066813745242</v>
      </c>
      <c r="X71" s="53">
        <f t="shared" si="69"/>
        <v>0.87896747549616139</v>
      </c>
      <c r="Y71" s="53">
        <f t="shared" si="69"/>
        <v>0.88077800458220068</v>
      </c>
      <c r="Z71" s="53">
        <f t="shared" si="69"/>
        <v>0.88259226306171878</v>
      </c>
      <c r="AA71" s="53">
        <f t="shared" si="69"/>
        <v>0.88441025861665601</v>
      </c>
      <c r="AB71" s="53">
        <f t="shared" si="69"/>
        <v>0.88623199894477578</v>
      </c>
      <c r="AC71" s="53">
        <f t="shared" si="69"/>
        <v>0.8880574917596975</v>
      </c>
      <c r="AD71" s="53">
        <f t="shared" si="69"/>
        <v>0.88988674479092988</v>
      </c>
      <c r="AE71" s="53">
        <f t="shared" si="69"/>
        <v>0.89171976578390255</v>
      </c>
      <c r="AF71" s="53">
        <f t="shared" si="69"/>
        <v>0.89355656250000004</v>
      </c>
      <c r="AG71" s="53">
        <f t="shared" si="69"/>
        <v>0.89539714271659354</v>
      </c>
      <c r="AH71" s="53">
        <f t="shared" si="69"/>
        <v>0.89724151422707488</v>
      </c>
      <c r="AI71" s="53">
        <f t="shared" si="69"/>
        <v>0.89908968484088858</v>
      </c>
      <c r="AJ71" s="53">
        <f t="shared" si="69"/>
        <v>0.90094166238356532</v>
      </c>
      <c r="AK71" s="53">
        <f t="shared" si="69"/>
        <v>0.90279745469675565</v>
      </c>
      <c r="AL71" s="53">
        <f t="shared" si="69"/>
        <v>0.90465706963826176</v>
      </c>
      <c r="AM71" s="53">
        <f t="shared" si="69"/>
        <v>0.90652051508207243</v>
      </c>
      <c r="AN71" s="53">
        <f t="shared" si="69"/>
        <v>0.90838779891839505</v>
      </c>
      <c r="AO71" s="53">
        <f t="shared" si="69"/>
        <v>0.91025892905368988</v>
      </c>
      <c r="AP71" s="53">
        <f t="shared" si="69"/>
        <v>0.91213391341070305</v>
      </c>
      <c r="AQ71" s="53">
        <f t="shared" si="69"/>
        <v>0.91401275992849995</v>
      </c>
    </row>
    <row r="72" spans="1:43" s="16" customFormat="1" hidden="1" outlineLevel="5">
      <c r="A72" s="53"/>
      <c r="B72" s="53"/>
      <c r="C72" s="53"/>
      <c r="D72" s="53"/>
      <c r="E72" s="53"/>
      <c r="F72" s="53" t="s">
        <v>381</v>
      </c>
      <c r="G72" s="53"/>
      <c r="H72" s="53">
        <f t="shared" ref="H72:AQ72" si="70">central_private_stock_availability_rate_positive*(1+central_private_stock_availability_rate_positive_growth)^((COLUMN()-8)/12)</f>
        <v>0.98</v>
      </c>
      <c r="I72" s="53">
        <f t="shared" si="70"/>
        <v>0.9816185496758818</v>
      </c>
      <c r="J72" s="53">
        <f t="shared" si="70"/>
        <v>0.98323977251814443</v>
      </c>
      <c r="K72" s="53">
        <f t="shared" si="70"/>
        <v>0.98486367294173971</v>
      </c>
      <c r="L72" s="53">
        <f t="shared" si="70"/>
        <v>0.98649025536891077</v>
      </c>
      <c r="M72" s="53">
        <f t="shared" si="70"/>
        <v>0.98811952422920435</v>
      </c>
      <c r="N72" s="53">
        <f t="shared" si="70"/>
        <v>0.98975148395948365</v>
      </c>
      <c r="O72" s="53">
        <f t="shared" si="70"/>
        <v>0.9913861390039389</v>
      </c>
      <c r="P72" s="53">
        <f t="shared" si="70"/>
        <v>0.9930234938141006</v>
      </c>
      <c r="Q72" s="53">
        <f t="shared" si="70"/>
        <v>0.99466355284885144</v>
      </c>
      <c r="R72" s="53">
        <f t="shared" si="70"/>
        <v>0.99630632057443813</v>
      </c>
      <c r="S72" s="53">
        <f t="shared" si="70"/>
        <v>0.9979518014644837</v>
      </c>
      <c r="T72" s="53">
        <f t="shared" si="70"/>
        <v>0.99960000000000004</v>
      </c>
      <c r="U72" s="53">
        <f t="shared" si="70"/>
        <v>1.0012509206693994</v>
      </c>
      <c r="V72" s="53">
        <f t="shared" si="70"/>
        <v>1.0029045679685074</v>
      </c>
      <c r="W72" s="53">
        <f t="shared" si="70"/>
        <v>1.0045609464005745</v>
      </c>
      <c r="X72" s="53">
        <f t="shared" si="70"/>
        <v>1.006220060476289</v>
      </c>
      <c r="Y72" s="53">
        <f t="shared" si="70"/>
        <v>1.0078819147137885</v>
      </c>
      <c r="Z72" s="53">
        <f t="shared" si="70"/>
        <v>1.0095465136386734</v>
      </c>
      <c r="AA72" s="53">
        <f t="shared" si="70"/>
        <v>1.0112138617840178</v>
      </c>
      <c r="AB72" s="53">
        <f t="shared" si="70"/>
        <v>1.0128839636903826</v>
      </c>
      <c r="AC72" s="53">
        <f t="shared" si="70"/>
        <v>1.0145568239058285</v>
      </c>
      <c r="AD72" s="53">
        <f t="shared" si="70"/>
        <v>1.016232446985927</v>
      </c>
      <c r="AE72" s="53">
        <f t="shared" si="70"/>
        <v>1.0179108374937735</v>
      </c>
      <c r="AF72" s="53">
        <f t="shared" si="70"/>
        <v>1.0195920000000001</v>
      </c>
      <c r="AG72" s="53">
        <f t="shared" si="70"/>
        <v>1.0212759390827872</v>
      </c>
      <c r="AH72" s="53">
        <f t="shared" si="70"/>
        <v>1.0229626593278776</v>
      </c>
      <c r="AI72" s="53">
        <f t="shared" si="70"/>
        <v>1.0246521653285858</v>
      </c>
      <c r="AJ72" s="53">
        <f t="shared" si="70"/>
        <v>1.0263444616858146</v>
      </c>
      <c r="AK72" s="53">
        <f t="shared" si="70"/>
        <v>1.0280395530080644</v>
      </c>
      <c r="AL72" s="53">
        <f t="shared" si="70"/>
        <v>1.0297374439114468</v>
      </c>
      <c r="AM72" s="53">
        <f t="shared" si="70"/>
        <v>1.0314381390196981</v>
      </c>
      <c r="AN72" s="53">
        <f t="shared" si="70"/>
        <v>1.0331416429641902</v>
      </c>
      <c r="AO72" s="53">
        <f t="shared" si="70"/>
        <v>1.0348479603839451</v>
      </c>
      <c r="AP72" s="53">
        <f t="shared" si="70"/>
        <v>1.0365570959256454</v>
      </c>
      <c r="AQ72" s="53">
        <f t="shared" si="70"/>
        <v>1.0382690542436488</v>
      </c>
    </row>
    <row r="73" spans="1:43" s="16" customFormat="1" hidden="1" outlineLevel="5" collapsed="1">
      <c r="A73" s="53"/>
      <c r="B73" s="53"/>
      <c r="C73" s="53"/>
      <c r="D73" s="53"/>
      <c r="E73" s="53"/>
      <c r="F73" s="53" t="s">
        <v>382</v>
      </c>
      <c r="G73" s="53"/>
      <c r="H73" s="53">
        <f>0.05</f>
        <v>0.05</v>
      </c>
      <c r="I73" s="53">
        <f t="shared" ref="I73:AQ73" si="71">H73+I74-I75</f>
        <v>7.4281415410001828E-2</v>
      </c>
      <c r="J73" s="53">
        <f t="shared" si="71"/>
        <v>9.865705368461937E-2</v>
      </c>
      <c r="K73" s="53">
        <f t="shared" si="71"/>
        <v>0.1231272232849929</v>
      </c>
      <c r="L73" s="53">
        <f t="shared" si="71"/>
        <v>0.14769223368208423</v>
      </c>
      <c r="M73" s="53">
        <f t="shared" si="71"/>
        <v>0.17235239535998254</v>
      </c>
      <c r="N73" s="53">
        <f t="shared" si="71"/>
        <v>0.19710801981922113</v>
      </c>
      <c r="O73" s="53">
        <f t="shared" si="71"/>
        <v>0.22195941958010501</v>
      </c>
      <c r="P73" s="53">
        <f t="shared" si="71"/>
        <v>0.24690690818604932</v>
      </c>
      <c r="Q73" s="53">
        <f t="shared" si="71"/>
        <v>0.27195080020692874</v>
      </c>
      <c r="R73" s="53">
        <f t="shared" si="71"/>
        <v>0.29709141124243793</v>
      </c>
      <c r="S73" s="53">
        <f t="shared" si="71"/>
        <v>0.32232905792546274</v>
      </c>
      <c r="T73" s="53">
        <f t="shared" si="71"/>
        <v>0.34766405792546273</v>
      </c>
      <c r="U73" s="53">
        <f t="shared" si="71"/>
        <v>0.37309672995186466</v>
      </c>
      <c r="V73" s="53">
        <f t="shared" si="71"/>
        <v>0.39862739375746692</v>
      </c>
      <c r="W73" s="53">
        <f t="shared" si="71"/>
        <v>0.42425637014185541</v>
      </c>
      <c r="X73" s="53">
        <f t="shared" si="71"/>
        <v>0.44998398095483039</v>
      </c>
      <c r="Y73" s="53">
        <f t="shared" si="71"/>
        <v>0.47581054909984466</v>
      </c>
      <c r="Z73" s="53">
        <f t="shared" si="71"/>
        <v>0.50173639853745289</v>
      </c>
      <c r="AA73" s="53">
        <f t="shared" si="71"/>
        <v>0.5277618542887722</v>
      </c>
      <c r="AB73" s="53">
        <f t="shared" si="71"/>
        <v>0.55388724243895437</v>
      </c>
      <c r="AC73" s="53">
        <f t="shared" si="71"/>
        <v>0.58011289014066902</v>
      </c>
      <c r="AD73" s="53">
        <f t="shared" si="71"/>
        <v>0.60643912561759861</v>
      </c>
      <c r="AE73" s="53">
        <f t="shared" si="71"/>
        <v>0.6328662781679445</v>
      </c>
      <c r="AF73" s="53">
        <f t="shared" si="71"/>
        <v>0.6593946781679445</v>
      </c>
      <c r="AG73" s="53">
        <f t="shared" si="71"/>
        <v>0.6860246570754025</v>
      </c>
      <c r="AH73" s="53">
        <f t="shared" si="71"/>
        <v>0.71275654743322892</v>
      </c>
      <c r="AI73" s="53">
        <f t="shared" si="71"/>
        <v>0.73959068287299301</v>
      </c>
      <c r="AJ73" s="53">
        <f t="shared" si="71"/>
        <v>0.76652739811848702</v>
      </c>
      <c r="AK73" s="53">
        <f t="shared" si="71"/>
        <v>0.79356702898930187</v>
      </c>
      <c r="AL73" s="53">
        <f t="shared" si="71"/>
        <v>0.82070991240441438</v>
      </c>
      <c r="AM73" s="53">
        <f t="shared" si="71"/>
        <v>0.84795638638578641</v>
      </c>
      <c r="AN73" s="53">
        <f t="shared" si="71"/>
        <v>0.87530679006197587</v>
      </c>
      <c r="AO73" s="53">
        <f t="shared" si="71"/>
        <v>0.90276146367175913</v>
      </c>
      <c r="AP73" s="53">
        <f t="shared" si="71"/>
        <v>0.93032074856776592</v>
      </c>
      <c r="AQ73" s="53">
        <f t="shared" si="71"/>
        <v>0.95798498722012559</v>
      </c>
    </row>
    <row r="74" spans="1:43" s="16" customFormat="1" hidden="1" outlineLevel="6">
      <c r="A74" s="53"/>
      <c r="B74" s="53"/>
      <c r="C74" s="53"/>
      <c r="D74" s="53"/>
      <c r="E74" s="53"/>
      <c r="F74" s="53"/>
      <c r="G74" s="53" t="s">
        <v>170</v>
      </c>
      <c r="H74" s="53">
        <f t="shared" ref="H74:AQ74" si="72">central_private_coverage_additions_positive*(1+central_private_coverage_additions_positive_growth)^((COLUMN()-8)/12)</f>
        <v>2.8687500000000001E-2</v>
      </c>
      <c r="I74" s="53">
        <f t="shared" si="72"/>
        <v>2.8781415410001832E-2</v>
      </c>
      <c r="J74" s="53">
        <f t="shared" si="72"/>
        <v>2.8875638274617546E-2</v>
      </c>
      <c r="K74" s="53">
        <f t="shared" si="72"/>
        <v>2.8970169600373543E-2</v>
      </c>
      <c r="L74" s="53">
        <f t="shared" si="72"/>
        <v>2.9065010397091334E-2</v>
      </c>
      <c r="M74" s="53">
        <f t="shared" si="72"/>
        <v>2.9160161677898318E-2</v>
      </c>
      <c r="N74" s="53">
        <f t="shared" si="72"/>
        <v>2.9255624459238606E-2</v>
      </c>
      <c r="O74" s="53">
        <f t="shared" si="72"/>
        <v>2.935139976088388E-2</v>
      </c>
      <c r="P74" s="53">
        <f t="shared" si="72"/>
        <v>2.9447488605944309E-2</v>
      </c>
      <c r="Q74" s="53">
        <f t="shared" si="72"/>
        <v>2.9543892020879436E-2</v>
      </c>
      <c r="R74" s="53">
        <f t="shared" si="72"/>
        <v>2.9640611035509183E-2</v>
      </c>
      <c r="S74" s="53">
        <f t="shared" si="72"/>
        <v>2.9737646683024813E-2</v>
      </c>
      <c r="T74" s="53">
        <f t="shared" si="72"/>
        <v>2.9835000000000004E-2</v>
      </c>
      <c r="U74" s="53">
        <f t="shared" si="72"/>
        <v>2.9932672026401909E-2</v>
      </c>
      <c r="V74" s="53">
        <f t="shared" si="72"/>
        <v>3.0030663805602247E-2</v>
      </c>
      <c r="W74" s="53">
        <f t="shared" si="72"/>
        <v>3.0128976384388488E-2</v>
      </c>
      <c r="X74" s="53">
        <f t="shared" si="72"/>
        <v>3.0227610812974991E-2</v>
      </c>
      <c r="Y74" s="53">
        <f t="shared" si="72"/>
        <v>3.0326568145014252E-2</v>
      </c>
      <c r="Z74" s="53">
        <f t="shared" si="72"/>
        <v>3.0425849437608152E-2</v>
      </c>
      <c r="AA74" s="53">
        <f t="shared" si="72"/>
        <v>3.0525455751319236E-2</v>
      </c>
      <c r="AB74" s="53">
        <f t="shared" si="72"/>
        <v>3.0625388150182085E-2</v>
      </c>
      <c r="AC74" s="53">
        <f t="shared" si="72"/>
        <v>3.0725647701714615E-2</v>
      </c>
      <c r="AD74" s="53">
        <f t="shared" si="72"/>
        <v>3.0826235476929552E-2</v>
      </c>
      <c r="AE74" s="53">
        <f t="shared" si="72"/>
        <v>3.0927152550345807E-2</v>
      </c>
      <c r="AF74" s="53">
        <f t="shared" si="72"/>
        <v>3.1028400000000005E-2</v>
      </c>
      <c r="AG74" s="53">
        <f t="shared" si="72"/>
        <v>3.1129978907457983E-2</v>
      </c>
      <c r="AH74" s="53">
        <f t="shared" si="72"/>
        <v>3.123189035782634E-2</v>
      </c>
      <c r="AI74" s="53">
        <f t="shared" si="72"/>
        <v>3.133413543976403E-2</v>
      </c>
      <c r="AJ74" s="53">
        <f t="shared" si="72"/>
        <v>3.143671524549399E-2</v>
      </c>
      <c r="AK74" s="53">
        <f t="shared" si="72"/>
        <v>3.1539630870814822E-2</v>
      </c>
      <c r="AL74" s="53">
        <f t="shared" si="72"/>
        <v>3.1642883415112483E-2</v>
      </c>
      <c r="AM74" s="53">
        <f t="shared" si="72"/>
        <v>3.1746473981372009E-2</v>
      </c>
      <c r="AN74" s="53">
        <f t="shared" si="72"/>
        <v>3.1850403676189368E-2</v>
      </c>
      <c r="AO74" s="53">
        <f t="shared" si="72"/>
        <v>3.1954673609783199E-2</v>
      </c>
      <c r="AP74" s="53">
        <f t="shared" si="72"/>
        <v>3.2059284896006728E-2</v>
      </c>
      <c r="AQ74" s="53">
        <f t="shared" si="72"/>
        <v>3.2164238652359636E-2</v>
      </c>
    </row>
    <row r="75" spans="1:43" s="16" customFormat="1" hidden="1" outlineLevel="6">
      <c r="A75" s="53"/>
      <c r="B75" s="53"/>
      <c r="C75" s="53"/>
      <c r="D75" s="53"/>
      <c r="E75" s="53"/>
      <c r="F75" s="53"/>
      <c r="G75" s="53" t="s">
        <v>383</v>
      </c>
      <c r="H75" s="53">
        <f t="shared" ref="H75:AQ75" si="73">central_private_coverage_churn_positive*(1+central_private_coverage_churn_positive_growth)^((COLUMN()-8)/12)</f>
        <v>4.5000000000000014E-3</v>
      </c>
      <c r="I75" s="53">
        <f t="shared" si="73"/>
        <v>4.5000000000000014E-3</v>
      </c>
      <c r="J75" s="53">
        <f t="shared" si="73"/>
        <v>4.5000000000000014E-3</v>
      </c>
      <c r="K75" s="53">
        <f t="shared" si="73"/>
        <v>4.5000000000000014E-3</v>
      </c>
      <c r="L75" s="53">
        <f t="shared" si="73"/>
        <v>4.5000000000000014E-3</v>
      </c>
      <c r="M75" s="53">
        <f t="shared" si="73"/>
        <v>4.5000000000000014E-3</v>
      </c>
      <c r="N75" s="53">
        <f t="shared" si="73"/>
        <v>4.5000000000000014E-3</v>
      </c>
      <c r="O75" s="53">
        <f t="shared" si="73"/>
        <v>4.5000000000000014E-3</v>
      </c>
      <c r="P75" s="53">
        <f t="shared" si="73"/>
        <v>4.5000000000000014E-3</v>
      </c>
      <c r="Q75" s="53">
        <f t="shared" si="73"/>
        <v>4.5000000000000014E-3</v>
      </c>
      <c r="R75" s="53">
        <f t="shared" si="73"/>
        <v>4.5000000000000014E-3</v>
      </c>
      <c r="S75" s="53">
        <f t="shared" si="73"/>
        <v>4.5000000000000014E-3</v>
      </c>
      <c r="T75" s="53">
        <f t="shared" si="73"/>
        <v>4.5000000000000014E-3</v>
      </c>
      <c r="U75" s="53">
        <f t="shared" si="73"/>
        <v>4.5000000000000014E-3</v>
      </c>
      <c r="V75" s="53">
        <f t="shared" si="73"/>
        <v>4.5000000000000014E-3</v>
      </c>
      <c r="W75" s="53">
        <f t="shared" si="73"/>
        <v>4.5000000000000014E-3</v>
      </c>
      <c r="X75" s="53">
        <f t="shared" si="73"/>
        <v>4.5000000000000014E-3</v>
      </c>
      <c r="Y75" s="53">
        <f t="shared" si="73"/>
        <v>4.5000000000000014E-3</v>
      </c>
      <c r="Z75" s="53">
        <f t="shared" si="73"/>
        <v>4.5000000000000014E-3</v>
      </c>
      <c r="AA75" s="53">
        <f t="shared" si="73"/>
        <v>4.5000000000000014E-3</v>
      </c>
      <c r="AB75" s="53">
        <f t="shared" si="73"/>
        <v>4.5000000000000014E-3</v>
      </c>
      <c r="AC75" s="53">
        <f t="shared" si="73"/>
        <v>4.5000000000000014E-3</v>
      </c>
      <c r="AD75" s="53">
        <f t="shared" si="73"/>
        <v>4.5000000000000014E-3</v>
      </c>
      <c r="AE75" s="53">
        <f t="shared" si="73"/>
        <v>4.5000000000000014E-3</v>
      </c>
      <c r="AF75" s="53">
        <f t="shared" si="73"/>
        <v>4.5000000000000014E-3</v>
      </c>
      <c r="AG75" s="53">
        <f t="shared" si="73"/>
        <v>4.5000000000000014E-3</v>
      </c>
      <c r="AH75" s="53">
        <f t="shared" si="73"/>
        <v>4.5000000000000014E-3</v>
      </c>
      <c r="AI75" s="53">
        <f t="shared" si="73"/>
        <v>4.5000000000000014E-3</v>
      </c>
      <c r="AJ75" s="53">
        <f t="shared" si="73"/>
        <v>4.5000000000000014E-3</v>
      </c>
      <c r="AK75" s="53">
        <f t="shared" si="73"/>
        <v>4.5000000000000014E-3</v>
      </c>
      <c r="AL75" s="53">
        <f t="shared" si="73"/>
        <v>4.5000000000000014E-3</v>
      </c>
      <c r="AM75" s="53">
        <f t="shared" si="73"/>
        <v>4.5000000000000014E-3</v>
      </c>
      <c r="AN75" s="53">
        <f t="shared" si="73"/>
        <v>4.5000000000000014E-3</v>
      </c>
      <c r="AO75" s="53">
        <f t="shared" si="73"/>
        <v>4.5000000000000014E-3</v>
      </c>
      <c r="AP75" s="53">
        <f t="shared" si="73"/>
        <v>4.5000000000000014E-3</v>
      </c>
      <c r="AQ75" s="53">
        <f t="shared" si="73"/>
        <v>4.5000000000000014E-3</v>
      </c>
    </row>
    <row r="76" spans="1:43" s="16" customFormat="1" hidden="1" outlineLevel="4">
      <c r="A76" s="53"/>
      <c r="B76" s="53"/>
      <c r="C76" s="53"/>
      <c r="D76" s="53"/>
      <c r="E76" s="53" t="s">
        <v>384</v>
      </c>
      <c r="F76" s="53"/>
      <c r="G76" s="53"/>
      <c r="H76" s="53">
        <f t="shared" ref="H76:AQ76" si="74">central_private_net_price_per_dose_positive*(1+central_private_net_price_per_dose_positive_growth)^((COLUMN()-8)/12)</f>
        <v>123900</v>
      </c>
      <c r="I76" s="53">
        <f t="shared" si="74"/>
        <v>124255.70435129359</v>
      </c>
      <c r="J76" s="53">
        <f t="shared" si="74"/>
        <v>124612.42989375368</v>
      </c>
      <c r="K76" s="53">
        <f t="shared" si="74"/>
        <v>124970.17955911669</v>
      </c>
      <c r="L76" s="53">
        <f t="shared" si="74"/>
        <v>125328.95628753572</v>
      </c>
      <c r="M76" s="53">
        <f t="shared" si="74"/>
        <v>125688.76302760483</v>
      </c>
      <c r="N76" s="53">
        <f t="shared" si="74"/>
        <v>126049.60273638311</v>
      </c>
      <c r="O76" s="53">
        <f t="shared" si="74"/>
        <v>126411.4783794191</v>
      </c>
      <c r="P76" s="53">
        <f t="shared" si="74"/>
        <v>126774.39293077515</v>
      </c>
      <c r="Q76" s="53">
        <f t="shared" si="74"/>
        <v>127138.34937305185</v>
      </c>
      <c r="R76" s="53">
        <f t="shared" si="74"/>
        <v>127503.35069741245</v>
      </c>
      <c r="S76" s="53">
        <f t="shared" si="74"/>
        <v>127869.39990360761</v>
      </c>
      <c r="T76" s="53">
        <f t="shared" si="74"/>
        <v>128236.49999999999</v>
      </c>
      <c r="U76" s="53">
        <f t="shared" si="74"/>
        <v>128604.65400358886</v>
      </c>
      <c r="V76" s="53">
        <f t="shared" si="74"/>
        <v>128973.86494003506</v>
      </c>
      <c r="W76" s="53">
        <f t="shared" si="74"/>
        <v>129344.13584368576</v>
      </c>
      <c r="X76" s="53">
        <f t="shared" si="74"/>
        <v>129715.46975759947</v>
      </c>
      <c r="Y76" s="53">
        <f t="shared" si="74"/>
        <v>130087.869733571</v>
      </c>
      <c r="Z76" s="53">
        <f t="shared" si="74"/>
        <v>130461.33883215651</v>
      </c>
      <c r="AA76" s="53">
        <f t="shared" si="74"/>
        <v>130835.88012269876</v>
      </c>
      <c r="AB76" s="53">
        <f t="shared" si="74"/>
        <v>131211.49668335228</v>
      </c>
      <c r="AC76" s="53">
        <f t="shared" si="74"/>
        <v>131588.19160110864</v>
      </c>
      <c r="AD76" s="53">
        <f t="shared" si="74"/>
        <v>131965.96797182187</v>
      </c>
      <c r="AE76" s="53">
        <f t="shared" si="74"/>
        <v>132344.8289002339</v>
      </c>
      <c r="AF76" s="53">
        <f t="shared" si="74"/>
        <v>132724.7775</v>
      </c>
      <c r="AG76" s="53">
        <f t="shared" si="74"/>
        <v>133105.81689371445</v>
      </c>
      <c r="AH76" s="53">
        <f t="shared" si="74"/>
        <v>133487.95021293627</v>
      </c>
      <c r="AI76" s="53">
        <f t="shared" si="74"/>
        <v>133871.18059821476</v>
      </c>
      <c r="AJ76" s="53">
        <f t="shared" si="74"/>
        <v>134255.51119911546</v>
      </c>
      <c r="AK76" s="53">
        <f t="shared" si="74"/>
        <v>134640.94517424595</v>
      </c>
      <c r="AL76" s="53">
        <f t="shared" si="74"/>
        <v>135027.48569128197</v>
      </c>
      <c r="AM76" s="53">
        <f t="shared" si="74"/>
        <v>135415.13592699321</v>
      </c>
      <c r="AN76" s="53">
        <f t="shared" si="74"/>
        <v>135803.89906726958</v>
      </c>
      <c r="AO76" s="53">
        <f t="shared" si="74"/>
        <v>136193.77830714744</v>
      </c>
      <c r="AP76" s="53">
        <f t="shared" si="74"/>
        <v>136584.77685083562</v>
      </c>
      <c r="AQ76" s="53">
        <f t="shared" si="74"/>
        <v>136976.89791174204</v>
      </c>
    </row>
    <row r="77" spans="1:43" s="16" customFormat="1" hidden="1" outlineLevel="3" collapsed="1">
      <c r="A77" s="53"/>
      <c r="B77" s="53"/>
      <c r="C77" s="53"/>
      <c r="D77" s="53" t="s">
        <v>385</v>
      </c>
      <c r="E77" s="53"/>
      <c r="F77" s="53"/>
      <c r="G77" s="53"/>
      <c r="H77" s="53">
        <f t="shared" ref="H77:AQ77" si="75">(H78*H87)</f>
        <v>1577860.9152875659</v>
      </c>
      <c r="I77" s="53">
        <f t="shared" si="75"/>
        <v>2130502.6480756681</v>
      </c>
      <c r="J77" s="53">
        <f t="shared" si="75"/>
        <v>2706297.4468211643</v>
      </c>
      <c r="K77" s="53">
        <f t="shared" si="75"/>
        <v>3305988.3063721964</v>
      </c>
      <c r="L77" s="53">
        <f t="shared" si="75"/>
        <v>3930339.538469343</v>
      </c>
      <c r="M77" s="53">
        <f t="shared" si="75"/>
        <v>4580137.3466716725</v>
      </c>
      <c r="N77" s="53">
        <f t="shared" si="75"/>
        <v>5256190.4161942592</v>
      </c>
      <c r="O77" s="53">
        <f t="shared" si="75"/>
        <v>5959330.519033568</v>
      </c>
      <c r="P77" s="53">
        <f t="shared" si="75"/>
        <v>6690413.1347666699</v>
      </c>
      <c r="Q77" s="53">
        <f t="shared" si="75"/>
        <v>7450318.0874195304</v>
      </c>
      <c r="R77" s="53">
        <f t="shared" si="75"/>
        <v>8239950.1988096237</v>
      </c>
      <c r="S77" s="53">
        <f t="shared" si="75"/>
        <v>9060239.9587779995</v>
      </c>
      <c r="T77" s="53">
        <f t="shared" si="75"/>
        <v>9912144.2127362508</v>
      </c>
      <c r="U77" s="53">
        <f t="shared" si="75"/>
        <v>10796646.866964446</v>
      </c>
      <c r="V77" s="53">
        <f t="shared" si="75"/>
        <v>11714759.612106584</v>
      </c>
      <c r="W77" s="53">
        <f t="shared" si="75"/>
        <v>12667522.665321512</v>
      </c>
      <c r="X77" s="53">
        <f t="shared" si="75"/>
        <v>13656005.53155827</v>
      </c>
      <c r="Y77" s="53">
        <f t="shared" si="75"/>
        <v>14681307.784436634</v>
      </c>
      <c r="Z77" s="53">
        <f t="shared" si="75"/>
        <v>15744559.867225232</v>
      </c>
      <c r="AA77" s="53">
        <f t="shared" si="75"/>
        <v>16846923.914422031</v>
      </c>
      <c r="AB77" s="53">
        <f t="shared" si="75"/>
        <v>17989594.594454233</v>
      </c>
      <c r="AC77" s="53">
        <f t="shared" si="75"/>
        <v>19173799.974027503</v>
      </c>
      <c r="AD77" s="53">
        <f t="shared" si="75"/>
        <v>20400802.404667322</v>
      </c>
      <c r="AE77" s="53">
        <f t="shared" si="75"/>
        <v>21671899.432008982</v>
      </c>
      <c r="AF77" s="53">
        <f t="shared" si="75"/>
        <v>22988424.72840599</v>
      </c>
      <c r="AG77" s="53">
        <f t="shared" si="75"/>
        <v>24351749.049441103</v>
      </c>
      <c r="AH77" s="53">
        <f t="shared" si="75"/>
        <v>25763281.21493822</v>
      </c>
      <c r="AI77" s="53">
        <f t="shared" si="75"/>
        <v>27224469.115088452</v>
      </c>
      <c r="AJ77" s="53">
        <f t="shared" si="75"/>
        <v>28736800.74231841</v>
      </c>
      <c r="AK77" s="53">
        <f t="shared" si="75"/>
        <v>30301805.249544531</v>
      </c>
      <c r="AL77" s="53">
        <f t="shared" si="75"/>
        <v>31921054.035472777</v>
      </c>
      <c r="AM77" s="53">
        <f t="shared" si="75"/>
        <v>33596161.857619584</v>
      </c>
      <c r="AN77" s="53">
        <f t="shared" si="75"/>
        <v>35328787.973745964</v>
      </c>
      <c r="AO77" s="53">
        <f t="shared" si="75"/>
        <v>37120637.312414765</v>
      </c>
      <c r="AP77" s="53">
        <f t="shared" si="75"/>
        <v>38973461.673396848</v>
      </c>
      <c r="AQ77" s="53">
        <f t="shared" si="75"/>
        <v>40889060.958671615</v>
      </c>
    </row>
    <row r="78" spans="1:43" s="16" customFormat="1" hidden="1" outlineLevel="4" collapsed="1">
      <c r="A78" s="53"/>
      <c r="B78" s="53"/>
      <c r="C78" s="53"/>
      <c r="D78" s="53"/>
      <c r="E78" s="53" t="s">
        <v>386</v>
      </c>
      <c r="F78" s="53"/>
      <c r="G78" s="53"/>
      <c r="H78" s="53">
        <f t="shared" ref="H78:AQ78" si="76">(((((H79*H80)*H81)*H82)*H83)*H84)</f>
        <v>14.732594913982874</v>
      </c>
      <c r="I78" s="53">
        <f t="shared" si="76"/>
        <v>19.835702149523083</v>
      </c>
      <c r="J78" s="53">
        <f t="shared" si="76"/>
        <v>25.1244173318081</v>
      </c>
      <c r="K78" s="53">
        <f t="shared" si="76"/>
        <v>30.60389863297392</v>
      </c>
      <c r="L78" s="53">
        <f t="shared" si="76"/>
        <v>36.279432322163217</v>
      </c>
      <c r="M78" s="53">
        <f t="shared" si="76"/>
        <v>42.156435755779697</v>
      </c>
      <c r="N78" s="53">
        <f t="shared" si="76"/>
        <v>48.240460434877342</v>
      </c>
      <c r="O78" s="53">
        <f t="shared" si="76"/>
        <v>54.537195131151321</v>
      </c>
      <c r="P78" s="53">
        <f t="shared" si="76"/>
        <v>61.052469083030793</v>
      </c>
      <c r="Q78" s="53">
        <f t="shared" si="76"/>
        <v>67.792255263403689</v>
      </c>
      <c r="R78" s="53">
        <f t="shared" si="76"/>
        <v>74.762673720538444</v>
      </c>
      <c r="S78" s="53">
        <f t="shared" si="76"/>
        <v>81.969994993799489</v>
      </c>
      <c r="T78" s="53">
        <f t="shared" si="76"/>
        <v>89.420643605788555</v>
      </c>
      <c r="U78" s="53">
        <f t="shared" si="76"/>
        <v>97.121201632579172</v>
      </c>
      <c r="V78" s="53">
        <f t="shared" si="76"/>
        <v>105.07841235374535</v>
      </c>
      <c r="W78" s="53">
        <f t="shared" si="76"/>
        <v>113.29918398392449</v>
      </c>
      <c r="X78" s="53">
        <f t="shared" si="76"/>
        <v>121.79059348768973</v>
      </c>
      <c r="Y78" s="53">
        <f t="shared" si="76"/>
        <v>130.55989047954677</v>
      </c>
      <c r="Z78" s="53">
        <f t="shared" si="76"/>
        <v>139.61450121090652</v>
      </c>
      <c r="AA78" s="53">
        <f t="shared" si="76"/>
        <v>148.96203264592722</v>
      </c>
      <c r="AB78" s="53">
        <f t="shared" si="76"/>
        <v>158.61027662815826</v>
      </c>
      <c r="AC78" s="53">
        <f t="shared" si="76"/>
        <v>168.56721413996002</v>
      </c>
      <c r="AD78" s="53">
        <f t="shared" si="76"/>
        <v>178.84101965671579</v>
      </c>
      <c r="AE78" s="53">
        <f t="shared" si="76"/>
        <v>189.44006559789537</v>
      </c>
      <c r="AF78" s="53">
        <f t="shared" si="76"/>
        <v>200.37292687707392</v>
      </c>
      <c r="AG78" s="53">
        <f t="shared" si="76"/>
        <v>211.64838555305337</v>
      </c>
      <c r="AH78" s="53">
        <f t="shared" si="76"/>
        <v>223.27543558428113</v>
      </c>
      <c r="AI78" s="53">
        <f t="shared" si="76"/>
        <v>235.2632876888068</v>
      </c>
      <c r="AJ78" s="53">
        <f t="shared" si="76"/>
        <v>247.62137431206531</v>
      </c>
      <c r="AK78" s="53">
        <f t="shared" si="76"/>
        <v>260.359354704824</v>
      </c>
      <c r="AL78" s="53">
        <f t="shared" si="76"/>
        <v>273.48712011368031</v>
      </c>
      <c r="AM78" s="53">
        <f t="shared" si="76"/>
        <v>287.01479908655017</v>
      </c>
      <c r="AN78" s="53">
        <f t="shared" si="76"/>
        <v>300.95276289563219</v>
      </c>
      <c r="AO78" s="53">
        <f t="shared" si="76"/>
        <v>315.3116310803984</v>
      </c>
      <c r="AP78" s="53">
        <f t="shared" si="76"/>
        <v>330.10227711319976</v>
      </c>
      <c r="AQ78" s="53">
        <f t="shared" si="76"/>
        <v>345.33583419014599</v>
      </c>
    </row>
    <row r="79" spans="1:43" s="16" customFormat="1" hidden="1" outlineLevel="5">
      <c r="A79" s="53"/>
      <c r="B79" s="53"/>
      <c r="C79" s="53"/>
      <c r="D79" s="53"/>
      <c r="E79" s="53"/>
      <c r="F79" s="53" t="s">
        <v>338</v>
      </c>
      <c r="G79" s="53"/>
      <c r="H79" s="53">
        <f t="shared" ref="H79:AQ79" si="77">H22</f>
        <v>13474.969200000001</v>
      </c>
      <c r="I79" s="53">
        <f t="shared" si="77"/>
        <v>13505.1166215678</v>
      </c>
      <c r="J79" s="53">
        <f t="shared" si="77"/>
        <v>13535.331491677693</v>
      </c>
      <c r="K79" s="53">
        <f t="shared" si="77"/>
        <v>13565.613961231651</v>
      </c>
      <c r="L79" s="53">
        <f t="shared" si="77"/>
        <v>13595.964181469282</v>
      </c>
      <c r="M79" s="53">
        <f t="shared" si="77"/>
        <v>13626.38230396855</v>
      </c>
      <c r="N79" s="53">
        <f t="shared" si="77"/>
        <v>13656.868480646552</v>
      </c>
      <c r="O79" s="53">
        <f t="shared" si="77"/>
        <v>13687.422863760248</v>
      </c>
      <c r="P79" s="53">
        <f t="shared" si="77"/>
        <v>13718.04560590726</v>
      </c>
      <c r="Q79" s="53">
        <f t="shared" si="77"/>
        <v>13748.736860026611</v>
      </c>
      <c r="R79" s="53">
        <f t="shared" si="77"/>
        <v>13779.496779399487</v>
      </c>
      <c r="S79" s="53">
        <f t="shared" si="77"/>
        <v>13810.325517650019</v>
      </c>
      <c r="T79" s="53">
        <f t="shared" si="77"/>
        <v>13841.223228746025</v>
      </c>
      <c r="U79" s="53">
        <f t="shared" si="77"/>
        <v>13872.190066999799</v>
      </c>
      <c r="V79" s="53">
        <f t="shared" si="77"/>
        <v>13903.226187068893</v>
      </c>
      <c r="W79" s="53">
        <f t="shared" si="77"/>
        <v>13934.331743956849</v>
      </c>
      <c r="X79" s="53">
        <f t="shared" si="77"/>
        <v>13965.506893014017</v>
      </c>
      <c r="Y79" s="53">
        <f t="shared" si="77"/>
        <v>13996.751789938286</v>
      </c>
      <c r="Z79" s="53">
        <f t="shared" si="77"/>
        <v>14028.066590775916</v>
      </c>
      <c r="AA79" s="53">
        <f t="shared" si="77"/>
        <v>14059.451451922261</v>
      </c>
      <c r="AB79" s="53">
        <f t="shared" si="77"/>
        <v>14090.906530122595</v>
      </c>
      <c r="AC79" s="53">
        <f t="shared" si="77"/>
        <v>14122.431982472877</v>
      </c>
      <c r="AD79" s="53">
        <f t="shared" si="77"/>
        <v>14154.027966420523</v>
      </c>
      <c r="AE79" s="53">
        <f t="shared" si="77"/>
        <v>14185.69463976521</v>
      </c>
      <c r="AF79" s="53">
        <f t="shared" si="77"/>
        <v>14217.432160659662</v>
      </c>
      <c r="AG79" s="53">
        <f t="shared" si="77"/>
        <v>14249.240687610436</v>
      </c>
      <c r="AH79" s="53">
        <f t="shared" si="77"/>
        <v>14281.120379478709</v>
      </c>
      <c r="AI79" s="53">
        <f t="shared" si="77"/>
        <v>14313.071395481078</v>
      </c>
      <c r="AJ79" s="53">
        <f t="shared" si="77"/>
        <v>14345.093895190366</v>
      </c>
      <c r="AK79" s="53">
        <f t="shared" si="77"/>
        <v>14377.188038536387</v>
      </c>
      <c r="AL79" s="53">
        <f t="shared" si="77"/>
        <v>14409.353985806771</v>
      </c>
      <c r="AM79" s="53">
        <f t="shared" si="77"/>
        <v>14441.591897647777</v>
      </c>
      <c r="AN79" s="53">
        <f t="shared" si="77"/>
        <v>14473.901935065041</v>
      </c>
      <c r="AO79" s="53">
        <f t="shared" si="77"/>
        <v>14506.284259424448</v>
      </c>
      <c r="AP79" s="53">
        <f t="shared" si="77"/>
        <v>14538.739032452891</v>
      </c>
      <c r="AQ79" s="53">
        <f t="shared" si="77"/>
        <v>14571.266416239092</v>
      </c>
    </row>
    <row r="80" spans="1:43" s="16" customFormat="1" hidden="1" outlineLevel="5">
      <c r="A80" s="53"/>
      <c r="B80" s="53"/>
      <c r="C80" s="53"/>
      <c r="D80" s="53"/>
      <c r="E80" s="53"/>
      <c r="F80" s="53" t="s">
        <v>387</v>
      </c>
      <c r="G80" s="53"/>
      <c r="H80" s="53">
        <f t="shared" ref="H80:AQ80" si="78">western_private_eligibility_rate_positive*(1+western_private_eligibility_rate_positive_growth)^((COLUMN()-8)/12)</f>
        <v>4.3749999999999997E-2</v>
      </c>
      <c r="I80" s="53">
        <f t="shared" si="78"/>
        <v>4.4031488817312649E-2</v>
      </c>
      <c r="J80" s="53">
        <f t="shared" si="78"/>
        <v>4.4314788742151522E-2</v>
      </c>
      <c r="K80" s="53">
        <f t="shared" si="78"/>
        <v>4.459991142723696E-2</v>
      </c>
      <c r="L80" s="53">
        <f t="shared" si="78"/>
        <v>4.4886868600263294E-2</v>
      </c>
      <c r="M80" s="53">
        <f t="shared" si="78"/>
        <v>4.5175672064381153E-2</v>
      </c>
      <c r="N80" s="53">
        <f t="shared" si="78"/>
        <v>4.5466333698683033E-2</v>
      </c>
      <c r="O80" s="53">
        <f t="shared" si="78"/>
        <v>4.5758865458691816E-2</v>
      </c>
      <c r="P80" s="53">
        <f t="shared" si="78"/>
        <v>4.6053279376852642E-2</v>
      </c>
      <c r="Q80" s="53">
        <f t="shared" si="78"/>
        <v>4.6349587563027712E-2</v>
      </c>
      <c r="R80" s="53">
        <f t="shared" si="78"/>
        <v>4.6647802204994468E-2</v>
      </c>
      <c r="S80" s="53">
        <f t="shared" si="78"/>
        <v>4.69479355689469E-2</v>
      </c>
      <c r="T80" s="53">
        <f t="shared" si="78"/>
        <v>4.725E-2</v>
      </c>
      <c r="U80" s="53">
        <f t="shared" si="78"/>
        <v>4.7554007922697664E-2</v>
      </c>
      <c r="V80" s="53">
        <f t="shared" si="78"/>
        <v>4.7859971841523644E-2</v>
      </c>
      <c r="W80" s="53">
        <f t="shared" si="78"/>
        <v>4.8167904341415928E-2</v>
      </c>
      <c r="X80" s="53">
        <f t="shared" si="78"/>
        <v>4.8477818088284358E-2</v>
      </c>
      <c r="Y80" s="53">
        <f t="shared" si="78"/>
        <v>4.8789725829531658E-2</v>
      </c>
      <c r="Z80" s="53">
        <f t="shared" si="78"/>
        <v>4.9103640394577673E-2</v>
      </c>
      <c r="AA80" s="53">
        <f t="shared" si="78"/>
        <v>4.9419574695387165E-2</v>
      </c>
      <c r="AB80" s="53">
        <f t="shared" si="78"/>
        <v>4.9737541727000852E-2</v>
      </c>
      <c r="AC80" s="53">
        <f t="shared" si="78"/>
        <v>5.0057554568069929E-2</v>
      </c>
      <c r="AD80" s="53">
        <f t="shared" si="78"/>
        <v>5.0379626381394038E-2</v>
      </c>
      <c r="AE80" s="53">
        <f t="shared" si="78"/>
        <v>5.0703770414462654E-2</v>
      </c>
      <c r="AF80" s="53">
        <f t="shared" si="78"/>
        <v>5.1029999999999999E-2</v>
      </c>
      <c r="AG80" s="53">
        <f t="shared" si="78"/>
        <v>5.1358328556513483E-2</v>
      </c>
      <c r="AH80" s="53">
        <f t="shared" si="78"/>
        <v>5.1688769588845537E-2</v>
      </c>
      <c r="AI80" s="53">
        <f t="shared" si="78"/>
        <v>5.2021336688729207E-2</v>
      </c>
      <c r="AJ80" s="53">
        <f t="shared" si="78"/>
        <v>5.2356043535347112E-2</v>
      </c>
      <c r="AK80" s="53">
        <f t="shared" si="78"/>
        <v>5.2692903895894191E-2</v>
      </c>
      <c r="AL80" s="53">
        <f t="shared" si="78"/>
        <v>5.3031931626143891E-2</v>
      </c>
      <c r="AM80" s="53">
        <f t="shared" si="78"/>
        <v>5.3373140671018143E-2</v>
      </c>
      <c r="AN80" s="53">
        <f t="shared" si="78"/>
        <v>5.3716545065160923E-2</v>
      </c>
      <c r="AO80" s="53">
        <f t="shared" si="78"/>
        <v>5.4062158933515535E-2</v>
      </c>
      <c r="AP80" s="53">
        <f t="shared" si="78"/>
        <v>5.4409996491905567E-2</v>
      </c>
      <c r="AQ80" s="53">
        <f t="shared" si="78"/>
        <v>5.4760072047619665E-2</v>
      </c>
    </row>
    <row r="81" spans="1:43" s="16" customFormat="1" hidden="1" outlineLevel="5">
      <c r="A81" s="53"/>
      <c r="B81" s="53"/>
      <c r="C81" s="53"/>
      <c r="D81" s="53"/>
      <c r="E81" s="53"/>
      <c r="F81" s="53" t="s">
        <v>388</v>
      </c>
      <c r="G81" s="53"/>
      <c r="H81" s="53">
        <f t="shared" ref="H81:AQ81" si="79">western_private_provider_recommendation_rate_positive*(1+western_private_provider_recommendation_rate_positive_growth)^((COLUMN()-8)/12)</f>
        <v>0.6160000000000001</v>
      </c>
      <c r="I81" s="53">
        <f t="shared" si="79"/>
        <v>0.61850966025072751</v>
      </c>
      <c r="J81" s="53">
        <f t="shared" si="79"/>
        <v>0.62102954516797115</v>
      </c>
      <c r="K81" s="53">
        <f t="shared" si="79"/>
        <v>0.62355969640828834</v>
      </c>
      <c r="L81" s="53">
        <f t="shared" si="79"/>
        <v>0.62610015579794986</v>
      </c>
      <c r="M81" s="53">
        <f t="shared" si="79"/>
        <v>0.62865096533363207</v>
      </c>
      <c r="N81" s="53">
        <f t="shared" si="79"/>
        <v>0.63121216718311146</v>
      </c>
      <c r="O81" s="53">
        <f t="shared" si="79"/>
        <v>0.63378380368596032</v>
      </c>
      <c r="P81" s="53">
        <f t="shared" si="79"/>
        <v>0.63636591735424841</v>
      </c>
      <c r="Q81" s="53">
        <f t="shared" si="79"/>
        <v>0.63895855087324438</v>
      </c>
      <c r="R81" s="53">
        <f t="shared" si="79"/>
        <v>0.64156174710212266</v>
      </c>
      <c r="S81" s="53">
        <f t="shared" si="79"/>
        <v>0.64417554907467034</v>
      </c>
      <c r="T81" s="53">
        <f t="shared" si="79"/>
        <v>0.64680000000000015</v>
      </c>
      <c r="U81" s="53">
        <f t="shared" si="79"/>
        <v>0.6494351432632639</v>
      </c>
      <c r="V81" s="53">
        <f t="shared" si="79"/>
        <v>0.65208102242636978</v>
      </c>
      <c r="W81" s="53">
        <f t="shared" si="79"/>
        <v>0.65473768122870279</v>
      </c>
      <c r="X81" s="53">
        <f t="shared" si="79"/>
        <v>0.65740516358784729</v>
      </c>
      <c r="Y81" s="53">
        <f t="shared" si="79"/>
        <v>0.66008351360031381</v>
      </c>
      <c r="Z81" s="53">
        <f t="shared" si="79"/>
        <v>0.66277277554226699</v>
      </c>
      <c r="AA81" s="53">
        <f t="shared" si="79"/>
        <v>0.66547299387025838</v>
      </c>
      <c r="AB81" s="53">
        <f t="shared" si="79"/>
        <v>0.66818421322196087</v>
      </c>
      <c r="AC81" s="53">
        <f t="shared" si="79"/>
        <v>0.67090647841690665</v>
      </c>
      <c r="AD81" s="53">
        <f t="shared" si="79"/>
        <v>0.67363983445722875</v>
      </c>
      <c r="AE81" s="53">
        <f t="shared" si="79"/>
        <v>0.67638432652840386</v>
      </c>
      <c r="AF81" s="53">
        <f t="shared" si="79"/>
        <v>0.67914000000000019</v>
      </c>
      <c r="AG81" s="53">
        <f t="shared" si="79"/>
        <v>0.6819069004264271</v>
      </c>
      <c r="AH81" s="53">
        <f t="shared" si="79"/>
        <v>0.68468507354768837</v>
      </c>
      <c r="AI81" s="53">
        <f t="shared" si="79"/>
        <v>0.68747456529013795</v>
      </c>
      <c r="AJ81" s="53">
        <f t="shared" si="79"/>
        <v>0.69027542176723977</v>
      </c>
      <c r="AK81" s="53">
        <f t="shared" si="79"/>
        <v>0.69308768928032949</v>
      </c>
      <c r="AL81" s="53">
        <f t="shared" si="79"/>
        <v>0.69591141431938042</v>
      </c>
      <c r="AM81" s="53">
        <f t="shared" si="79"/>
        <v>0.69874664356377136</v>
      </c>
      <c r="AN81" s="53">
        <f t="shared" si="79"/>
        <v>0.70159342388305879</v>
      </c>
      <c r="AO81" s="53">
        <f t="shared" si="79"/>
        <v>0.70445180233775206</v>
      </c>
      <c r="AP81" s="53">
        <f t="shared" si="79"/>
        <v>0.70732182618009021</v>
      </c>
      <c r="AQ81" s="53">
        <f t="shared" si="79"/>
        <v>0.71020354285482401</v>
      </c>
    </row>
    <row r="82" spans="1:43" s="16" customFormat="1" hidden="1" outlineLevel="5">
      <c r="A82" s="53"/>
      <c r="B82" s="53"/>
      <c r="C82" s="53"/>
      <c r="D82" s="53"/>
      <c r="E82" s="53"/>
      <c r="F82" s="53" t="s">
        <v>389</v>
      </c>
      <c r="G82" s="53"/>
      <c r="H82" s="53">
        <f t="shared" ref="H82:AQ82" si="80">western_private_acceptance_rate_positive*(1+western_private_acceptance_rate_positive_growth)^((COLUMN()-8)/12)</f>
        <v>0.85050000000000014</v>
      </c>
      <c r="I82" s="53">
        <f t="shared" si="80"/>
        <v>0.85225189074750141</v>
      </c>
      <c r="J82" s="53">
        <f t="shared" si="80"/>
        <v>0.85400739010310533</v>
      </c>
      <c r="K82" s="53">
        <f t="shared" si="80"/>
        <v>0.85576650549995359</v>
      </c>
      <c r="L82" s="53">
        <f t="shared" si="80"/>
        <v>0.85752924438649902</v>
      </c>
      <c r="M82" s="53">
        <f t="shared" si="80"/>
        <v>0.85929561422653733</v>
      </c>
      <c r="N82" s="53">
        <f t="shared" si="80"/>
        <v>0.8610656224992379</v>
      </c>
      <c r="O82" s="53">
        <f t="shared" si="80"/>
        <v>0.8628392766991767</v>
      </c>
      <c r="P82" s="53">
        <f t="shared" si="80"/>
        <v>0.86461658433636657</v>
      </c>
      <c r="Q82" s="53">
        <f t="shared" si="80"/>
        <v>0.86639755293629028</v>
      </c>
      <c r="R82" s="53">
        <f t="shared" si="80"/>
        <v>0.86818219003993158</v>
      </c>
      <c r="S82" s="53">
        <f t="shared" si="80"/>
        <v>0.86997050320380753</v>
      </c>
      <c r="T82" s="53">
        <f t="shared" si="80"/>
        <v>0.87176250000000011</v>
      </c>
      <c r="U82" s="53">
        <f t="shared" si="80"/>
        <v>0.8735581880161889</v>
      </c>
      <c r="V82" s="53">
        <f t="shared" si="80"/>
        <v>0.87535757485568277</v>
      </c>
      <c r="W82" s="53">
        <f t="shared" si="80"/>
        <v>0.87716066813745242</v>
      </c>
      <c r="X82" s="53">
        <f t="shared" si="80"/>
        <v>0.87896747549616139</v>
      </c>
      <c r="Y82" s="53">
        <f t="shared" si="80"/>
        <v>0.88077800458220068</v>
      </c>
      <c r="Z82" s="53">
        <f t="shared" si="80"/>
        <v>0.88259226306171878</v>
      </c>
      <c r="AA82" s="53">
        <f t="shared" si="80"/>
        <v>0.88441025861665601</v>
      </c>
      <c r="AB82" s="53">
        <f t="shared" si="80"/>
        <v>0.88623199894477578</v>
      </c>
      <c r="AC82" s="53">
        <f t="shared" si="80"/>
        <v>0.8880574917596975</v>
      </c>
      <c r="AD82" s="53">
        <f t="shared" si="80"/>
        <v>0.88988674479092988</v>
      </c>
      <c r="AE82" s="53">
        <f t="shared" si="80"/>
        <v>0.89171976578390255</v>
      </c>
      <c r="AF82" s="53">
        <f t="shared" si="80"/>
        <v>0.89355656250000004</v>
      </c>
      <c r="AG82" s="53">
        <f t="shared" si="80"/>
        <v>0.89539714271659354</v>
      </c>
      <c r="AH82" s="53">
        <f t="shared" si="80"/>
        <v>0.89724151422707488</v>
      </c>
      <c r="AI82" s="53">
        <f t="shared" si="80"/>
        <v>0.89908968484088858</v>
      </c>
      <c r="AJ82" s="53">
        <f t="shared" si="80"/>
        <v>0.90094166238356532</v>
      </c>
      <c r="AK82" s="53">
        <f t="shared" si="80"/>
        <v>0.90279745469675565</v>
      </c>
      <c r="AL82" s="53">
        <f t="shared" si="80"/>
        <v>0.90465706963826176</v>
      </c>
      <c r="AM82" s="53">
        <f t="shared" si="80"/>
        <v>0.90652051508207243</v>
      </c>
      <c r="AN82" s="53">
        <f t="shared" si="80"/>
        <v>0.90838779891839505</v>
      </c>
      <c r="AO82" s="53">
        <f t="shared" si="80"/>
        <v>0.91025892905368988</v>
      </c>
      <c r="AP82" s="53">
        <f t="shared" si="80"/>
        <v>0.91213391341070305</v>
      </c>
      <c r="AQ82" s="53">
        <f t="shared" si="80"/>
        <v>0.91401275992849995</v>
      </c>
    </row>
    <row r="83" spans="1:43" s="16" customFormat="1" hidden="1" outlineLevel="5">
      <c r="A83" s="53"/>
      <c r="B83" s="53"/>
      <c r="C83" s="53"/>
      <c r="D83" s="53"/>
      <c r="E83" s="53"/>
      <c r="F83" s="53" t="s">
        <v>390</v>
      </c>
      <c r="G83" s="53"/>
      <c r="H83" s="53">
        <f t="shared" ref="H83:AQ83" si="81">western_private_stock_availability_rate_positive*(1+western_private_stock_availability_rate_positive_growth)^((COLUMN()-8)/12)</f>
        <v>0.95400000000000007</v>
      </c>
      <c r="I83" s="53">
        <f t="shared" si="81"/>
        <v>0.95557560856203194</v>
      </c>
      <c r="J83" s="53">
        <f t="shared" si="81"/>
        <v>0.95715381936970401</v>
      </c>
      <c r="K83" s="53">
        <f t="shared" si="81"/>
        <v>0.95873463672083648</v>
      </c>
      <c r="L83" s="53">
        <f t="shared" si="81"/>
        <v>0.96031806492034788</v>
      </c>
      <c r="M83" s="53">
        <f t="shared" si="81"/>
        <v>0.9619041082802664</v>
      </c>
      <c r="N83" s="53">
        <f t="shared" si="81"/>
        <v>0.9634927711197423</v>
      </c>
      <c r="O83" s="53">
        <f t="shared" si="81"/>
        <v>0.96508405776505901</v>
      </c>
      <c r="P83" s="53">
        <f t="shared" si="81"/>
        <v>0.96667797254964505</v>
      </c>
      <c r="Q83" s="53">
        <f t="shared" si="81"/>
        <v>0.96827451981408608</v>
      </c>
      <c r="R83" s="53">
        <f t="shared" si="81"/>
        <v>0.9698737039061367</v>
      </c>
      <c r="S83" s="53">
        <f t="shared" si="81"/>
        <v>0.97147552918073221</v>
      </c>
      <c r="T83" s="53">
        <f t="shared" si="81"/>
        <v>0.97308000000000006</v>
      </c>
      <c r="U83" s="53">
        <f t="shared" si="81"/>
        <v>0.97468712073327257</v>
      </c>
      <c r="V83" s="53">
        <f t="shared" si="81"/>
        <v>0.97629689575709799</v>
      </c>
      <c r="W83" s="53">
        <f t="shared" si="81"/>
        <v>0.97790932945525333</v>
      </c>
      <c r="X83" s="53">
        <f t="shared" si="81"/>
        <v>0.9795244262187548</v>
      </c>
      <c r="Y83" s="53">
        <f t="shared" si="81"/>
        <v>0.98114219044587181</v>
      </c>
      <c r="Z83" s="53">
        <f t="shared" si="81"/>
        <v>0.9827626265421372</v>
      </c>
      <c r="AA83" s="53">
        <f t="shared" si="81"/>
        <v>0.98438573892036019</v>
      </c>
      <c r="AB83" s="53">
        <f t="shared" si="81"/>
        <v>0.98601153200063785</v>
      </c>
      <c r="AC83" s="53">
        <f t="shared" si="81"/>
        <v>0.98764001021036785</v>
      </c>
      <c r="AD83" s="53">
        <f t="shared" si="81"/>
        <v>0.98927117798425956</v>
      </c>
      <c r="AE83" s="53">
        <f t="shared" si="81"/>
        <v>0.99090503976434685</v>
      </c>
      <c r="AF83" s="53">
        <f t="shared" si="81"/>
        <v>0.99254160000000002</v>
      </c>
      <c r="AG83" s="53">
        <f t="shared" si="81"/>
        <v>0.99418086314793797</v>
      </c>
      <c r="AH83" s="53">
        <f t="shared" si="81"/>
        <v>0.99582283367224</v>
      </c>
      <c r="AI83" s="53">
        <f t="shared" si="81"/>
        <v>0.99746751604435824</v>
      </c>
      <c r="AJ83" s="53">
        <f t="shared" si="81"/>
        <v>0.99911491474312986</v>
      </c>
      <c r="AK83" s="53">
        <f t="shared" si="81"/>
        <v>1.0007650342547894</v>
      </c>
      <c r="AL83" s="53">
        <f t="shared" si="81"/>
        <v>1.0024178790729799</v>
      </c>
      <c r="AM83" s="53">
        <f t="shared" si="81"/>
        <v>1.0040734536987674</v>
      </c>
      <c r="AN83" s="53">
        <f t="shared" si="81"/>
        <v>1.0057317626406506</v>
      </c>
      <c r="AO83" s="53">
        <f t="shared" si="81"/>
        <v>1.0073928104145751</v>
      </c>
      <c r="AP83" s="53">
        <f t="shared" si="81"/>
        <v>1.0090566015439448</v>
      </c>
      <c r="AQ83" s="53">
        <f t="shared" si="81"/>
        <v>1.0107231405596337</v>
      </c>
    </row>
    <row r="84" spans="1:43" s="16" customFormat="1" hidden="1" outlineLevel="5" collapsed="1">
      <c r="A84" s="53"/>
      <c r="B84" s="53"/>
      <c r="C84" s="53"/>
      <c r="D84" s="53"/>
      <c r="E84" s="53"/>
      <c r="F84" s="53" t="s">
        <v>391</v>
      </c>
      <c r="G84" s="53"/>
      <c r="H84" s="53">
        <f>0.05</f>
        <v>0.05</v>
      </c>
      <c r="I84" s="53">
        <f t="shared" ref="I84:AQ84" si="82">H84+I85-I86</f>
        <v>6.6222619095201316E-2</v>
      </c>
      <c r="J84" s="53">
        <f t="shared" si="82"/>
        <v>8.2513078652925953E-2</v>
      </c>
      <c r="K84" s="53">
        <f t="shared" si="82"/>
        <v>9.8871600765194897E-2</v>
      </c>
      <c r="L84" s="53">
        <f t="shared" si="82"/>
        <v>0.11529840825110066</v>
      </c>
      <c r="M84" s="53">
        <f t="shared" si="82"/>
        <v>0.13179372465918743</v>
      </c>
      <c r="N84" s="53">
        <f t="shared" si="82"/>
        <v>0.1483577742698392</v>
      </c>
      <c r="O84" s="53">
        <f t="shared" si="82"/>
        <v>0.16499078209767559</v>
      </c>
      <c r="P84" s="53">
        <f t="shared" si="82"/>
        <v>0.1816929738939555</v>
      </c>
      <c r="Q84" s="53">
        <f t="shared" si="82"/>
        <v>0.19846457614898869</v>
      </c>
      <c r="R84" s="53">
        <f t="shared" si="82"/>
        <v>0.21530581609455529</v>
      </c>
      <c r="S84" s="53">
        <f t="shared" si="82"/>
        <v>0.23221692170633315</v>
      </c>
      <c r="T84" s="53">
        <f t="shared" si="82"/>
        <v>0.24919812170633315</v>
      </c>
      <c r="U84" s="53">
        <f t="shared" si="82"/>
        <v>0.26624964556534253</v>
      </c>
      <c r="V84" s="53">
        <f t="shared" si="82"/>
        <v>0.28337172350537615</v>
      </c>
      <c r="W84" s="53">
        <f t="shared" si="82"/>
        <v>0.30056458650213586</v>
      </c>
      <c r="X84" s="53">
        <f t="shared" si="82"/>
        <v>0.31782846628747785</v>
      </c>
      <c r="Y84" s="53">
        <f t="shared" si="82"/>
        <v>0.33516359535188811</v>
      </c>
      <c r="Z84" s="53">
        <f t="shared" si="82"/>
        <v>0.352570206946966</v>
      </c>
      <c r="AA84" s="53">
        <f t="shared" si="82"/>
        <v>0.37004853508791585</v>
      </c>
      <c r="AB84" s="53">
        <f t="shared" si="82"/>
        <v>0.38759881455604694</v>
      </c>
      <c r="AC84" s="53">
        <f t="shared" si="82"/>
        <v>0.40522128090128146</v>
      </c>
      <c r="AD84" s="53">
        <f t="shared" si="82"/>
        <v>0.42291617044467072</v>
      </c>
      <c r="AE84" s="53">
        <f t="shared" si="82"/>
        <v>0.44068372028091968</v>
      </c>
      <c r="AF84" s="53">
        <f t="shared" si="82"/>
        <v>0.45852416828091969</v>
      </c>
      <c r="AG84" s="53">
        <f t="shared" si="82"/>
        <v>0.47643775309428943</v>
      </c>
      <c r="AH84" s="53">
        <f t="shared" si="82"/>
        <v>0.4944247141519244</v>
      </c>
      <c r="AI84" s="53">
        <f t="shared" si="82"/>
        <v>0.51248529166855461</v>
      </c>
      <c r="AJ84" s="53">
        <f t="shared" si="82"/>
        <v>0.53061972664531032</v>
      </c>
      <c r="AK84" s="53">
        <f t="shared" si="82"/>
        <v>0.54882826087229708</v>
      </c>
      <c r="AL84" s="53">
        <f t="shared" si="82"/>
        <v>0.56711113693117809</v>
      </c>
      <c r="AM84" s="53">
        <f t="shared" si="82"/>
        <v>0.58546859819776598</v>
      </c>
      <c r="AN84" s="53">
        <f t="shared" si="82"/>
        <v>0.60390088884462234</v>
      </c>
      <c r="AO84" s="53">
        <f t="shared" si="82"/>
        <v>0.62240825384366627</v>
      </c>
      <c r="AP84" s="53">
        <f t="shared" si="82"/>
        <v>0.64099093896879111</v>
      </c>
      <c r="AQ84" s="53">
        <f t="shared" si="82"/>
        <v>0.65964919079849005</v>
      </c>
    </row>
    <row r="85" spans="1:43" s="16" customFormat="1" hidden="1" outlineLevel="6">
      <c r="A85" s="53"/>
      <c r="B85" s="53"/>
      <c r="C85" s="53"/>
      <c r="D85" s="53"/>
      <c r="E85" s="53"/>
      <c r="F85" s="53"/>
      <c r="G85" s="53" t="s">
        <v>184</v>
      </c>
      <c r="H85" s="53">
        <f t="shared" ref="H85:AQ85" si="83">western_private_coverage_additions_positive*(1+western_private_coverage_additions_positive_growth)^((COLUMN()-8)/12)</f>
        <v>2.0655E-2</v>
      </c>
      <c r="I85" s="53">
        <f t="shared" si="83"/>
        <v>2.0722619095201317E-2</v>
      </c>
      <c r="J85" s="53">
        <f t="shared" si="83"/>
        <v>2.0790459557724635E-2</v>
      </c>
      <c r="K85" s="53">
        <f t="shared" si="83"/>
        <v>2.0858522112268952E-2</v>
      </c>
      <c r="L85" s="53">
        <f t="shared" si="83"/>
        <v>2.0926807485905759E-2</v>
      </c>
      <c r="M85" s="53">
        <f t="shared" si="83"/>
        <v>2.0995316408086787E-2</v>
      </c>
      <c r="N85" s="53">
        <f t="shared" si="83"/>
        <v>2.1064049610651794E-2</v>
      </c>
      <c r="O85" s="53">
        <f t="shared" si="83"/>
        <v>2.1133007827836395E-2</v>
      </c>
      <c r="P85" s="53">
        <f t="shared" si="83"/>
        <v>2.1202191796279902E-2</v>
      </c>
      <c r="Q85" s="53">
        <f t="shared" si="83"/>
        <v>2.1271602255033193E-2</v>
      </c>
      <c r="R85" s="53">
        <f t="shared" si="83"/>
        <v>2.1341239945566613E-2</v>
      </c>
      <c r="S85" s="53">
        <f t="shared" si="83"/>
        <v>2.1411105611777864E-2</v>
      </c>
      <c r="T85" s="53">
        <f t="shared" si="83"/>
        <v>2.1481199999999999E-2</v>
      </c>
      <c r="U85" s="53">
        <f t="shared" si="83"/>
        <v>2.1551523859009374E-2</v>
      </c>
      <c r="V85" s="53">
        <f t="shared" si="83"/>
        <v>2.1622077940033617E-2</v>
      </c>
      <c r="W85" s="53">
        <f t="shared" si="83"/>
        <v>2.169286299675971E-2</v>
      </c>
      <c r="X85" s="53">
        <f t="shared" si="83"/>
        <v>2.1763879785341993E-2</v>
      </c>
      <c r="Y85" s="53">
        <f t="shared" si="83"/>
        <v>2.183512906441026E-2</v>
      </c>
      <c r="Z85" s="53">
        <f t="shared" si="83"/>
        <v>2.1906611595077868E-2</v>
      </c>
      <c r="AA85" s="53">
        <f t="shared" si="83"/>
        <v>2.1978328140949851E-2</v>
      </c>
      <c r="AB85" s="53">
        <f t="shared" si="83"/>
        <v>2.2050279468131099E-2</v>
      </c>
      <c r="AC85" s="53">
        <f t="shared" si="83"/>
        <v>2.2122466345234522E-2</v>
      </c>
      <c r="AD85" s="53">
        <f t="shared" si="83"/>
        <v>2.2194889543389277E-2</v>
      </c>
      <c r="AE85" s="53">
        <f t="shared" si="83"/>
        <v>2.2267549836248977E-2</v>
      </c>
      <c r="AF85" s="53">
        <f t="shared" si="83"/>
        <v>2.2340448000000002E-2</v>
      </c>
      <c r="AG85" s="53">
        <f t="shared" si="83"/>
        <v>2.2413584813369747E-2</v>
      </c>
      <c r="AH85" s="53">
        <f t="shared" si="83"/>
        <v>2.2486961057634963E-2</v>
      </c>
      <c r="AI85" s="53">
        <f t="shared" si="83"/>
        <v>2.2560577516630102E-2</v>
      </c>
      <c r="AJ85" s="53">
        <f t="shared" si="83"/>
        <v>2.2634434976755671E-2</v>
      </c>
      <c r="AK85" s="53">
        <f t="shared" si="83"/>
        <v>2.2708534226986671E-2</v>
      </c>
      <c r="AL85" s="53">
        <f t="shared" si="83"/>
        <v>2.2782876058880984E-2</v>
      </c>
      <c r="AM85" s="53">
        <f t="shared" si="83"/>
        <v>2.2857461266587848E-2</v>
      </c>
      <c r="AN85" s="53">
        <f t="shared" si="83"/>
        <v>2.2932290646856344E-2</v>
      </c>
      <c r="AO85" s="53">
        <f t="shared" si="83"/>
        <v>2.3007364999043906E-2</v>
      </c>
      <c r="AP85" s="53">
        <f t="shared" si="83"/>
        <v>2.3082685125124843E-2</v>
      </c>
      <c r="AQ85" s="53">
        <f t="shared" si="83"/>
        <v>2.3158251829698939E-2</v>
      </c>
    </row>
    <row r="86" spans="1:43" s="16" customFormat="1" hidden="1" outlineLevel="6">
      <c r="A86" s="53"/>
      <c r="B86" s="53"/>
      <c r="C86" s="53"/>
      <c r="D86" s="53"/>
      <c r="E86" s="53"/>
      <c r="F86" s="53"/>
      <c r="G86" s="53" t="s">
        <v>392</v>
      </c>
      <c r="H86" s="53">
        <f t="shared" ref="H86:AQ86" si="84">western_private_coverage_churn_positive*(1+western_private_coverage_churn_positive_growth)^((COLUMN()-8)/12)</f>
        <v>4.5000000000000014E-3</v>
      </c>
      <c r="I86" s="53">
        <f t="shared" si="84"/>
        <v>4.5000000000000014E-3</v>
      </c>
      <c r="J86" s="53">
        <f t="shared" si="84"/>
        <v>4.5000000000000014E-3</v>
      </c>
      <c r="K86" s="53">
        <f t="shared" si="84"/>
        <v>4.5000000000000014E-3</v>
      </c>
      <c r="L86" s="53">
        <f t="shared" si="84"/>
        <v>4.5000000000000014E-3</v>
      </c>
      <c r="M86" s="53">
        <f t="shared" si="84"/>
        <v>4.5000000000000014E-3</v>
      </c>
      <c r="N86" s="53">
        <f t="shared" si="84"/>
        <v>4.5000000000000014E-3</v>
      </c>
      <c r="O86" s="53">
        <f t="shared" si="84"/>
        <v>4.5000000000000014E-3</v>
      </c>
      <c r="P86" s="53">
        <f t="shared" si="84"/>
        <v>4.5000000000000014E-3</v>
      </c>
      <c r="Q86" s="53">
        <f t="shared" si="84"/>
        <v>4.5000000000000014E-3</v>
      </c>
      <c r="R86" s="53">
        <f t="shared" si="84"/>
        <v>4.5000000000000014E-3</v>
      </c>
      <c r="S86" s="53">
        <f t="shared" si="84"/>
        <v>4.5000000000000014E-3</v>
      </c>
      <c r="T86" s="53">
        <f t="shared" si="84"/>
        <v>4.5000000000000014E-3</v>
      </c>
      <c r="U86" s="53">
        <f t="shared" si="84"/>
        <v>4.5000000000000014E-3</v>
      </c>
      <c r="V86" s="53">
        <f t="shared" si="84"/>
        <v>4.5000000000000014E-3</v>
      </c>
      <c r="W86" s="53">
        <f t="shared" si="84"/>
        <v>4.5000000000000014E-3</v>
      </c>
      <c r="X86" s="53">
        <f t="shared" si="84"/>
        <v>4.5000000000000014E-3</v>
      </c>
      <c r="Y86" s="53">
        <f t="shared" si="84"/>
        <v>4.5000000000000014E-3</v>
      </c>
      <c r="Z86" s="53">
        <f t="shared" si="84"/>
        <v>4.5000000000000014E-3</v>
      </c>
      <c r="AA86" s="53">
        <f t="shared" si="84"/>
        <v>4.5000000000000014E-3</v>
      </c>
      <c r="AB86" s="53">
        <f t="shared" si="84"/>
        <v>4.5000000000000014E-3</v>
      </c>
      <c r="AC86" s="53">
        <f t="shared" si="84"/>
        <v>4.5000000000000014E-3</v>
      </c>
      <c r="AD86" s="53">
        <f t="shared" si="84"/>
        <v>4.5000000000000014E-3</v>
      </c>
      <c r="AE86" s="53">
        <f t="shared" si="84"/>
        <v>4.5000000000000014E-3</v>
      </c>
      <c r="AF86" s="53">
        <f t="shared" si="84"/>
        <v>4.5000000000000014E-3</v>
      </c>
      <c r="AG86" s="53">
        <f t="shared" si="84"/>
        <v>4.5000000000000014E-3</v>
      </c>
      <c r="AH86" s="53">
        <f t="shared" si="84"/>
        <v>4.5000000000000014E-3</v>
      </c>
      <c r="AI86" s="53">
        <f t="shared" si="84"/>
        <v>4.5000000000000014E-3</v>
      </c>
      <c r="AJ86" s="53">
        <f t="shared" si="84"/>
        <v>4.5000000000000014E-3</v>
      </c>
      <c r="AK86" s="53">
        <f t="shared" si="84"/>
        <v>4.5000000000000014E-3</v>
      </c>
      <c r="AL86" s="53">
        <f t="shared" si="84"/>
        <v>4.5000000000000014E-3</v>
      </c>
      <c r="AM86" s="53">
        <f t="shared" si="84"/>
        <v>4.5000000000000014E-3</v>
      </c>
      <c r="AN86" s="53">
        <f t="shared" si="84"/>
        <v>4.5000000000000014E-3</v>
      </c>
      <c r="AO86" s="53">
        <f t="shared" si="84"/>
        <v>4.5000000000000014E-3</v>
      </c>
      <c r="AP86" s="53">
        <f t="shared" si="84"/>
        <v>4.5000000000000014E-3</v>
      </c>
      <c r="AQ86" s="53">
        <f t="shared" si="84"/>
        <v>4.5000000000000014E-3</v>
      </c>
    </row>
    <row r="87" spans="1:43" s="16" customFormat="1" hidden="1" outlineLevel="4">
      <c r="A87" s="53"/>
      <c r="B87" s="53"/>
      <c r="C87" s="53"/>
      <c r="D87" s="53"/>
      <c r="E87" s="53" t="s">
        <v>393</v>
      </c>
      <c r="F87" s="53"/>
      <c r="G87" s="53"/>
      <c r="H87" s="53">
        <f t="shared" ref="H87:AQ87" si="85">western_private_net_price_per_dose_positive*(1+western_private_net_price_per_dose_positive_growth)^((COLUMN()-8)/12)</f>
        <v>107100</v>
      </c>
      <c r="I87" s="53">
        <f t="shared" si="85"/>
        <v>107407.47325281311</v>
      </c>
      <c r="J87" s="53">
        <f t="shared" si="85"/>
        <v>107715.82923019386</v>
      </c>
      <c r="K87" s="53">
        <f t="shared" si="85"/>
        <v>108025.07046635512</v>
      </c>
      <c r="L87" s="53">
        <f t="shared" si="85"/>
        <v>108335.19950278512</v>
      </c>
      <c r="M87" s="53">
        <f t="shared" si="85"/>
        <v>108646.21888826857</v>
      </c>
      <c r="N87" s="53">
        <f t="shared" si="85"/>
        <v>108958.13117890744</v>
      </c>
      <c r="O87" s="53">
        <f t="shared" si="85"/>
        <v>109270.93893814195</v>
      </c>
      <c r="P87" s="53">
        <f t="shared" si="85"/>
        <v>109584.64473677175</v>
      </c>
      <c r="Q87" s="53">
        <f t="shared" si="85"/>
        <v>109899.25115297703</v>
      </c>
      <c r="R87" s="53">
        <f t="shared" si="85"/>
        <v>110214.76077233958</v>
      </c>
      <c r="S87" s="53">
        <f t="shared" si="85"/>
        <v>110531.17618786421</v>
      </c>
      <c r="T87" s="53">
        <f t="shared" si="85"/>
        <v>110848.49999999999</v>
      </c>
      <c r="U87" s="53">
        <f t="shared" si="85"/>
        <v>111166.73481666156</v>
      </c>
      <c r="V87" s="53">
        <f t="shared" si="85"/>
        <v>111485.88325325065</v>
      </c>
      <c r="W87" s="53">
        <f t="shared" si="85"/>
        <v>111805.94793267752</v>
      </c>
      <c r="X87" s="53">
        <f t="shared" si="85"/>
        <v>112126.93148538259</v>
      </c>
      <c r="Y87" s="53">
        <f t="shared" si="85"/>
        <v>112448.83654935798</v>
      </c>
      <c r="Z87" s="53">
        <f t="shared" si="85"/>
        <v>112771.66577016919</v>
      </c>
      <c r="AA87" s="53">
        <f t="shared" si="85"/>
        <v>113095.4218009769</v>
      </c>
      <c r="AB87" s="53">
        <f t="shared" si="85"/>
        <v>113420.10730255874</v>
      </c>
      <c r="AC87" s="53">
        <f t="shared" si="85"/>
        <v>113745.72494333121</v>
      </c>
      <c r="AD87" s="53">
        <f t="shared" si="85"/>
        <v>114072.27739937144</v>
      </c>
      <c r="AE87" s="53">
        <f t="shared" si="85"/>
        <v>114399.76735443946</v>
      </c>
      <c r="AF87" s="53">
        <f t="shared" si="85"/>
        <v>114728.19749999998</v>
      </c>
      <c r="AG87" s="53">
        <f t="shared" si="85"/>
        <v>115057.5705352447</v>
      </c>
      <c r="AH87" s="53">
        <f t="shared" si="85"/>
        <v>115387.88916711439</v>
      </c>
      <c r="AI87" s="53">
        <f t="shared" si="85"/>
        <v>115719.15611032124</v>
      </c>
      <c r="AJ87" s="53">
        <f t="shared" si="85"/>
        <v>116051.37408737099</v>
      </c>
      <c r="AK87" s="53">
        <f t="shared" si="85"/>
        <v>116384.54582858548</v>
      </c>
      <c r="AL87" s="53">
        <f t="shared" si="85"/>
        <v>116718.67407212508</v>
      </c>
      <c r="AM87" s="53">
        <f t="shared" si="85"/>
        <v>117053.76156401107</v>
      </c>
      <c r="AN87" s="53">
        <f t="shared" si="85"/>
        <v>117389.81105814829</v>
      </c>
      <c r="AO87" s="53">
        <f t="shared" si="85"/>
        <v>117726.82531634779</v>
      </c>
      <c r="AP87" s="53">
        <f t="shared" si="85"/>
        <v>118064.80710834944</v>
      </c>
      <c r="AQ87" s="53">
        <f t="shared" si="85"/>
        <v>118403.75921184482</v>
      </c>
    </row>
    <row r="88" spans="1:43" s="16" customFormat="1" hidden="1" outlineLevel="3" collapsed="1">
      <c r="A88" s="53"/>
      <c r="B88" s="53"/>
      <c r="C88" s="53"/>
      <c r="D88" s="53" t="s">
        <v>394</v>
      </c>
      <c r="E88" s="53"/>
      <c r="F88" s="53"/>
      <c r="G88" s="53"/>
      <c r="H88" s="53">
        <f t="shared" ref="H88:AQ88" si="86">(H89*H98)</f>
        <v>476853.91756131483</v>
      </c>
      <c r="I88" s="53">
        <f t="shared" si="86"/>
        <v>599096.9219915705</v>
      </c>
      <c r="J88" s="53">
        <f t="shared" si="86"/>
        <v>726443.67531129962</v>
      </c>
      <c r="K88" s="53">
        <f t="shared" si="86"/>
        <v>859058.54205147445</v>
      </c>
      <c r="L88" s="53">
        <f t="shared" si="86"/>
        <v>997110.62535155425</v>
      </c>
      <c r="M88" s="53">
        <f t="shared" si="86"/>
        <v>1140773.8954019141</v>
      </c>
      <c r="N88" s="53">
        <f t="shared" si="86"/>
        <v>1290227.3212336132</v>
      </c>
      <c r="O88" s="53">
        <f t="shared" si="86"/>
        <v>1445655.0059403905</v>
      </c>
      <c r="P88" s="53">
        <f t="shared" si="86"/>
        <v>1607246.3254199231</v>
      </c>
      <c r="Q88" s="53">
        <f t="shared" si="86"/>
        <v>1775196.0707234761</v>
      </c>
      <c r="R88" s="53">
        <f t="shared" si="86"/>
        <v>1949704.5941053776</v>
      </c>
      <c r="S88" s="53">
        <f t="shared" si="86"/>
        <v>2130977.9588659345</v>
      </c>
      <c r="T88" s="53">
        <f t="shared" si="86"/>
        <v>2319228.093083798</v>
      </c>
      <c r="U88" s="53">
        <f t="shared" si="86"/>
        <v>2514672.9473361382</v>
      </c>
      <c r="V88" s="53">
        <f t="shared" si="86"/>
        <v>2717536.6565074171</v>
      </c>
      <c r="W88" s="53">
        <f t="shared" si="86"/>
        <v>2928049.7057900862</v>
      </c>
      <c r="X88" s="53">
        <f t="shared" si="86"/>
        <v>3146449.1009830646</v>
      </c>
      <c r="Y88" s="53">
        <f t="shared" si="86"/>
        <v>3372978.5431964863</v>
      </c>
      <c r="Z88" s="53">
        <f t="shared" si="86"/>
        <v>3607888.6080739014</v>
      </c>
      <c r="AA88" s="53">
        <f t="shared" si="86"/>
        <v>3851436.9296458578</v>
      </c>
      <c r="AB88" s="53">
        <f t="shared" si="86"/>
        <v>4103888.3889316316</v>
      </c>
      <c r="AC88" s="53">
        <f t="shared" si="86"/>
        <v>4365515.3074087221</v>
      </c>
      <c r="AD88" s="53">
        <f t="shared" si="86"/>
        <v>4636597.6454727408</v>
      </c>
      <c r="AE88" s="53">
        <f t="shared" si="86"/>
        <v>4917423.2060133088</v>
      </c>
      <c r="AF88" s="53">
        <f t="shared" si="86"/>
        <v>5208287.8432347476</v>
      </c>
      <c r="AG88" s="53">
        <f t="shared" si="86"/>
        <v>5509495.6768534333</v>
      </c>
      <c r="AH88" s="53">
        <f t="shared" si="86"/>
        <v>5821359.3118070159</v>
      </c>
      <c r="AI88" s="53">
        <f t="shared" si="86"/>
        <v>6144200.0636140816</v>
      </c>
      <c r="AJ88" s="53">
        <f t="shared" si="86"/>
        <v>6478348.1895261202</v>
      </c>
      <c r="AK88" s="53">
        <f t="shared" si="86"/>
        <v>6824143.1256172946</v>
      </c>
      <c r="AL88" s="53">
        <f t="shared" si="86"/>
        <v>7181933.729961074</v>
      </c>
      <c r="AM88" s="53">
        <f t="shared" si="86"/>
        <v>7552078.5320464103</v>
      </c>
      <c r="AN88" s="53">
        <f t="shared" si="86"/>
        <v>7934945.9885898763</v>
      </c>
      <c r="AO88" s="53">
        <f t="shared" si="86"/>
        <v>8330914.7459043497</v>
      </c>
      <c r="AP88" s="53">
        <f t="shared" si="86"/>
        <v>8740373.9089881498</v>
      </c>
      <c r="AQ88" s="53">
        <f t="shared" si="86"/>
        <v>9163723.3175033741</v>
      </c>
    </row>
    <row r="89" spans="1:43" s="16" customFormat="1" hidden="1" outlineLevel="4" collapsed="1">
      <c r="A89" s="53"/>
      <c r="B89" s="53"/>
      <c r="C89" s="53"/>
      <c r="D89" s="53"/>
      <c r="E89" s="53" t="s">
        <v>395</v>
      </c>
      <c r="F89" s="53"/>
      <c r="G89" s="53"/>
      <c r="H89" s="53">
        <f t="shared" ref="H89:AQ89" si="87">(((((H90*H91)*H92)*H93)*H94)*H95)</f>
        <v>5.1607566835640135</v>
      </c>
      <c r="I89" s="53">
        <f t="shared" si="87"/>
        <v>6.4651720677786981</v>
      </c>
      <c r="J89" s="53">
        <f t="shared" si="87"/>
        <v>7.8169964993769936</v>
      </c>
      <c r="K89" s="53">
        <f t="shared" si="87"/>
        <v>9.2175542415302392</v>
      </c>
      <c r="L89" s="53">
        <f t="shared" si="87"/>
        <v>10.668202638729859</v>
      </c>
      <c r="M89" s="53">
        <f t="shared" si="87"/>
        <v>12.170332893484227</v>
      </c>
      <c r="N89" s="53">
        <f t="shared" si="87"/>
        <v>13.725370860546663</v>
      </c>
      <c r="O89" s="53">
        <f t="shared" si="87"/>
        <v>15.334777859059585</v>
      </c>
      <c r="P89" s="53">
        <f t="shared" si="87"/>
        <v>17.000051503008432</v>
      </c>
      <c r="Q89" s="53">
        <f t="shared" si="87"/>
        <v>18.722726550386923</v>
      </c>
      <c r="R89" s="53">
        <f t="shared" si="87"/>
        <v>20.50437577148454</v>
      </c>
      <c r="S89" s="53">
        <f t="shared" si="87"/>
        <v>22.346610836715218</v>
      </c>
      <c r="T89" s="53">
        <f t="shared" si="87"/>
        <v>24.251083224415986</v>
      </c>
      <c r="U89" s="53">
        <f t="shared" si="87"/>
        <v>26.219485149052904</v>
      </c>
      <c r="V89" s="53">
        <f t="shared" si="87"/>
        <v>28.253550510281393</v>
      </c>
      <c r="W89" s="53">
        <f t="shared" si="87"/>
        <v>30.35505586331756</v>
      </c>
      <c r="X89" s="53">
        <f t="shared" si="87"/>
        <v>32.52582141108693</v>
      </c>
      <c r="Y89" s="53">
        <f t="shared" si="87"/>
        <v>34.76771201862708</v>
      </c>
      <c r="Z89" s="53">
        <f t="shared" si="87"/>
        <v>37.082638250230744</v>
      </c>
      <c r="AA89" s="53">
        <f t="shared" si="87"/>
        <v>39.472557429826544</v>
      </c>
      <c r="AB89" s="53">
        <f t="shared" si="87"/>
        <v>41.939474725105278</v>
      </c>
      <c r="AC89" s="53">
        <f t="shared" si="87"/>
        <v>44.485444255910203</v>
      </c>
      <c r="AD89" s="53">
        <f t="shared" si="87"/>
        <v>47.112570227421273</v>
      </c>
      <c r="AE89" s="53">
        <f t="shared" si="87"/>
        <v>49.823008088674328</v>
      </c>
      <c r="AF89" s="53">
        <f t="shared" si="87"/>
        <v>52.618965716968532</v>
      </c>
      <c r="AG89" s="53">
        <f t="shared" si="87"/>
        <v>55.502704628725873</v>
      </c>
      <c r="AH89" s="53">
        <f t="shared" si="87"/>
        <v>58.476541217379854</v>
      </c>
      <c r="AI89" s="53">
        <f t="shared" si="87"/>
        <v>61.542848018882751</v>
      </c>
      <c r="AJ89" s="53">
        <f t="shared" si="87"/>
        <v>64.704055005432494</v>
      </c>
      <c r="AK89" s="53">
        <f t="shared" si="87"/>
        <v>67.962650908033893</v>
      </c>
      <c r="AL89" s="53">
        <f t="shared" si="87"/>
        <v>71.321184568522412</v>
      </c>
      <c r="AM89" s="53">
        <f t="shared" si="87"/>
        <v>74.782266321691154</v>
      </c>
      <c r="AN89" s="53">
        <f t="shared" si="87"/>
        <v>78.348569408175194</v>
      </c>
      <c r="AO89" s="53">
        <f t="shared" si="87"/>
        <v>82.022831418764511</v>
      </c>
      <c r="AP89" s="53">
        <f t="shared" si="87"/>
        <v>85.807855770825114</v>
      </c>
      <c r="AQ89" s="53">
        <f t="shared" si="87"/>
        <v>89.70651321752959</v>
      </c>
    </row>
    <row r="90" spans="1:43" s="16" customFormat="1" hidden="1" outlineLevel="5">
      <c r="A90" s="53"/>
      <c r="B90" s="53"/>
      <c r="C90" s="53"/>
      <c r="D90" s="53"/>
      <c r="E90" s="53"/>
      <c r="F90" s="53" t="s">
        <v>351</v>
      </c>
      <c r="G90" s="53"/>
      <c r="H90" s="53">
        <f t="shared" ref="H90:AQ90" si="88">H37</f>
        <v>11484.348749999999</v>
      </c>
      <c r="I90" s="53">
        <f t="shared" si="88"/>
        <v>11510.042575199832</v>
      </c>
      <c r="J90" s="53">
        <f t="shared" si="88"/>
        <v>11535.793884952576</v>
      </c>
      <c r="K90" s="53">
        <f t="shared" si="88"/>
        <v>11561.602807867881</v>
      </c>
      <c r="L90" s="53">
        <f t="shared" si="88"/>
        <v>11587.469472843139</v>
      </c>
      <c r="M90" s="53">
        <f t="shared" si="88"/>
        <v>11613.394009064104</v>
      </c>
      <c r="N90" s="53">
        <f t="shared" si="88"/>
        <v>11639.376546005584</v>
      </c>
      <c r="O90" s="53">
        <f t="shared" si="88"/>
        <v>11665.417213432027</v>
      </c>
      <c r="P90" s="53">
        <f t="shared" si="88"/>
        <v>11691.516141398233</v>
      </c>
      <c r="Q90" s="53">
        <f t="shared" si="88"/>
        <v>11717.673460249951</v>
      </c>
      <c r="R90" s="53">
        <f t="shared" si="88"/>
        <v>11743.889300624562</v>
      </c>
      <c r="S90" s="53">
        <f t="shared" si="88"/>
        <v>11770.163793451717</v>
      </c>
      <c r="T90" s="53">
        <f t="shared" si="88"/>
        <v>11796.497069953994</v>
      </c>
      <c r="U90" s="53">
        <f t="shared" si="88"/>
        <v>11822.889261647555</v>
      </c>
      <c r="V90" s="53">
        <f t="shared" si="88"/>
        <v>11849.340500342805</v>
      </c>
      <c r="W90" s="53">
        <f t="shared" si="88"/>
        <v>11875.850918145039</v>
      </c>
      <c r="X90" s="53">
        <f t="shared" si="88"/>
        <v>11902.420647455127</v>
      </c>
      <c r="Y90" s="53">
        <f t="shared" si="88"/>
        <v>11929.049820970127</v>
      </c>
      <c r="Z90" s="53">
        <f t="shared" si="88"/>
        <v>11955.738571684016</v>
      </c>
      <c r="AA90" s="53">
        <f t="shared" si="88"/>
        <v>11982.48703288829</v>
      </c>
      <c r="AB90" s="53">
        <f t="shared" si="88"/>
        <v>12009.295338172666</v>
      </c>
      <c r="AC90" s="53">
        <f t="shared" si="88"/>
        <v>12036.163621425747</v>
      </c>
      <c r="AD90" s="53">
        <f t="shared" si="88"/>
        <v>12063.092016835672</v>
      </c>
      <c r="AE90" s="53">
        <f t="shared" si="88"/>
        <v>12090.080658890804</v>
      </c>
      <c r="AF90" s="53">
        <f t="shared" si="88"/>
        <v>12117.129682380391</v>
      </c>
      <c r="AG90" s="53">
        <f t="shared" si="88"/>
        <v>12144.239222395257</v>
      </c>
      <c r="AH90" s="53">
        <f t="shared" si="88"/>
        <v>12171.409414328442</v>
      </c>
      <c r="AI90" s="53">
        <f t="shared" si="88"/>
        <v>12198.640393875916</v>
      </c>
      <c r="AJ90" s="53">
        <f t="shared" si="88"/>
        <v>12225.932297037245</v>
      </c>
      <c r="AK90" s="53">
        <f t="shared" si="88"/>
        <v>12253.285260116236</v>
      </c>
      <c r="AL90" s="53">
        <f t="shared" si="88"/>
        <v>12280.699419721677</v>
      </c>
      <c r="AM90" s="53">
        <f t="shared" si="88"/>
        <v>12308.174912767992</v>
      </c>
      <c r="AN90" s="53">
        <f t="shared" si="88"/>
        <v>12335.711876475885</v>
      </c>
      <c r="AO90" s="53">
        <f t="shared" si="88"/>
        <v>12363.310448373108</v>
      </c>
      <c r="AP90" s="53">
        <f t="shared" si="88"/>
        <v>12390.970766295077</v>
      </c>
      <c r="AQ90" s="53">
        <f t="shared" si="88"/>
        <v>12418.692968385587</v>
      </c>
    </row>
    <row r="91" spans="1:43" s="16" customFormat="1" hidden="1" outlineLevel="5">
      <c r="A91" s="53"/>
      <c r="B91" s="53"/>
      <c r="C91" s="53"/>
      <c r="D91" s="53"/>
      <c r="E91" s="53"/>
      <c r="F91" s="53" t="s">
        <v>396</v>
      </c>
      <c r="G91" s="53"/>
      <c r="H91" s="53">
        <f t="shared" ref="H91:AQ91" si="89">eastern_private_eligibility_rate_positive*(1+eastern_private_eligibility_rate_positive_growth)^((COLUMN()-8)/12)</f>
        <v>2.2499999999999999E-2</v>
      </c>
      <c r="I91" s="53">
        <f t="shared" si="89"/>
        <v>2.2644765677475077E-2</v>
      </c>
      <c r="J91" s="53">
        <f t="shared" si="89"/>
        <v>2.2790462781677925E-2</v>
      </c>
      <c r="K91" s="53">
        <f t="shared" si="89"/>
        <v>2.2937097305436152E-2</v>
      </c>
      <c r="L91" s="53">
        <f t="shared" si="89"/>
        <v>2.3084675280135407E-2</v>
      </c>
      <c r="M91" s="53">
        <f t="shared" si="89"/>
        <v>2.3233202775967451E-2</v>
      </c>
      <c r="N91" s="53">
        <f t="shared" si="89"/>
        <v>2.3382685902179845E-2</v>
      </c>
      <c r="O91" s="53">
        <f t="shared" si="89"/>
        <v>2.3533130807327222E-2</v>
      </c>
      <c r="P91" s="53">
        <f t="shared" si="89"/>
        <v>2.3684543679524217E-2</v>
      </c>
      <c r="Q91" s="53">
        <f t="shared" si="89"/>
        <v>2.3836930746699965E-2</v>
      </c>
      <c r="R91" s="53">
        <f t="shared" si="89"/>
        <v>2.39902982768543E-2</v>
      </c>
      <c r="S91" s="53">
        <f t="shared" si="89"/>
        <v>2.4144652578315547E-2</v>
      </c>
      <c r="T91" s="53">
        <f t="shared" si="89"/>
        <v>2.4300000000000002E-2</v>
      </c>
      <c r="U91" s="53">
        <f t="shared" si="89"/>
        <v>2.4456346931673083E-2</v>
      </c>
      <c r="V91" s="53">
        <f t="shared" si="89"/>
        <v>2.4613699804212161E-2</v>
      </c>
      <c r="W91" s="53">
        <f t="shared" si="89"/>
        <v>2.4772065089871047E-2</v>
      </c>
      <c r="X91" s="53">
        <f t="shared" si="89"/>
        <v>2.4931449302546239E-2</v>
      </c>
      <c r="Y91" s="53">
        <f t="shared" si="89"/>
        <v>2.5091858998044853E-2</v>
      </c>
      <c r="Z91" s="53">
        <f t="shared" si="89"/>
        <v>2.5253300774354233E-2</v>
      </c>
      <c r="AA91" s="53">
        <f t="shared" si="89"/>
        <v>2.54157812719134E-2</v>
      </c>
      <c r="AB91" s="53">
        <f t="shared" si="89"/>
        <v>2.5579307173886155E-2</v>
      </c>
      <c r="AC91" s="53">
        <f t="shared" si="89"/>
        <v>2.5743885206435963E-2</v>
      </c>
      <c r="AD91" s="53">
        <f t="shared" si="89"/>
        <v>2.590952213900265E-2</v>
      </c>
      <c r="AE91" s="53">
        <f t="shared" si="89"/>
        <v>2.6076224784580795E-2</v>
      </c>
      <c r="AF91" s="53">
        <f t="shared" si="89"/>
        <v>2.6244E-2</v>
      </c>
      <c r="AG91" s="53">
        <f t="shared" si="89"/>
        <v>2.6412854686206935E-2</v>
      </c>
      <c r="AH91" s="53">
        <f t="shared" si="89"/>
        <v>2.6582795788549135E-2</v>
      </c>
      <c r="AI91" s="53">
        <f t="shared" si="89"/>
        <v>2.6753830297060733E-2</v>
      </c>
      <c r="AJ91" s="53">
        <f t="shared" si="89"/>
        <v>2.6925965246749946E-2</v>
      </c>
      <c r="AK91" s="53">
        <f t="shared" si="89"/>
        <v>2.7099207717888443E-2</v>
      </c>
      <c r="AL91" s="53">
        <f t="shared" si="89"/>
        <v>2.7273564836302572E-2</v>
      </c>
      <c r="AM91" s="53">
        <f t="shared" si="89"/>
        <v>2.7449043773666474E-2</v>
      </c>
      <c r="AN91" s="53">
        <f t="shared" si="89"/>
        <v>2.7625651747797048E-2</v>
      </c>
      <c r="AO91" s="53">
        <f t="shared" si="89"/>
        <v>2.7803396022950847E-2</v>
      </c>
      <c r="AP91" s="53">
        <f t="shared" si="89"/>
        <v>2.7982283910122863E-2</v>
      </c>
      <c r="AQ91" s="53">
        <f t="shared" si="89"/>
        <v>2.8162322767347255E-2</v>
      </c>
    </row>
    <row r="92" spans="1:43" s="16" customFormat="1" hidden="1" outlineLevel="5">
      <c r="A92" s="53"/>
      <c r="B92" s="53"/>
      <c r="C92" s="53"/>
      <c r="D92" s="53"/>
      <c r="E92" s="53"/>
      <c r="F92" s="53" t="s">
        <v>397</v>
      </c>
      <c r="G92" s="53"/>
      <c r="H92" s="53">
        <f t="shared" ref="H92:AQ92" si="90">eastern_private_provider_recommendation_rate_positive*(1+eastern_private_provider_recommendation_rate_positive_growth)^((COLUMN()-8)/12)</f>
        <v>0.5152000000000001</v>
      </c>
      <c r="I92" s="53">
        <f t="shared" si="90"/>
        <v>0.51729898857333578</v>
      </c>
      <c r="J92" s="53">
        <f t="shared" si="90"/>
        <v>0.51940652868593951</v>
      </c>
      <c r="K92" s="53">
        <f t="shared" si="90"/>
        <v>0.52152265517784113</v>
      </c>
      <c r="L92" s="53">
        <f t="shared" si="90"/>
        <v>0.52364740303101265</v>
      </c>
      <c r="M92" s="53">
        <f t="shared" si="90"/>
        <v>0.52578080736994692</v>
      </c>
      <c r="N92" s="53">
        <f t="shared" si="90"/>
        <v>0.52792290346223869</v>
      </c>
      <c r="O92" s="53">
        <f t="shared" si="90"/>
        <v>0.53007372671916686</v>
      </c>
      <c r="P92" s="53">
        <f t="shared" si="90"/>
        <v>0.53223331269628049</v>
      </c>
      <c r="Q92" s="53">
        <f t="shared" si="90"/>
        <v>0.53440169709398622</v>
      </c>
      <c r="R92" s="53">
        <f t="shared" si="90"/>
        <v>0.53657891575813899</v>
      </c>
      <c r="S92" s="53">
        <f t="shared" si="90"/>
        <v>0.53876500468063337</v>
      </c>
      <c r="T92" s="53">
        <f t="shared" si="90"/>
        <v>0.54096000000000011</v>
      </c>
      <c r="U92" s="53">
        <f t="shared" si="90"/>
        <v>0.54316393800200258</v>
      </c>
      <c r="V92" s="53">
        <f t="shared" si="90"/>
        <v>0.54537685512023648</v>
      </c>
      <c r="W92" s="53">
        <f t="shared" si="90"/>
        <v>0.54759878793673322</v>
      </c>
      <c r="X92" s="53">
        <f t="shared" si="90"/>
        <v>0.54982977318256321</v>
      </c>
      <c r="Y92" s="53">
        <f t="shared" si="90"/>
        <v>0.55206984773844425</v>
      </c>
      <c r="Z92" s="53">
        <f t="shared" si="90"/>
        <v>0.55431904863535053</v>
      </c>
      <c r="AA92" s="53">
        <f t="shared" si="90"/>
        <v>0.5565774130551252</v>
      </c>
      <c r="AB92" s="53">
        <f t="shared" si="90"/>
        <v>0.55884497833109448</v>
      </c>
      <c r="AC92" s="53">
        <f t="shared" si="90"/>
        <v>0.56112178194868556</v>
      </c>
      <c r="AD92" s="53">
        <f t="shared" si="90"/>
        <v>0.56340786154604594</v>
      </c>
      <c r="AE92" s="53">
        <f t="shared" si="90"/>
        <v>0.56570325491466511</v>
      </c>
      <c r="AF92" s="53">
        <f t="shared" si="90"/>
        <v>0.56800800000000018</v>
      </c>
      <c r="AG92" s="53">
        <f t="shared" si="90"/>
        <v>0.57032213490210271</v>
      </c>
      <c r="AH92" s="53">
        <f t="shared" si="90"/>
        <v>0.57264569787624842</v>
      </c>
      <c r="AI92" s="53">
        <f t="shared" si="90"/>
        <v>0.57497872733356992</v>
      </c>
      <c r="AJ92" s="53">
        <f t="shared" si="90"/>
        <v>0.57732126184169152</v>
      </c>
      <c r="AK92" s="53">
        <f t="shared" si="90"/>
        <v>0.57967334012536653</v>
      </c>
      <c r="AL92" s="53">
        <f t="shared" si="90"/>
        <v>0.58203500106711814</v>
      </c>
      <c r="AM92" s="53">
        <f t="shared" si="90"/>
        <v>0.5844062837078815</v>
      </c>
      <c r="AN92" s="53">
        <f t="shared" si="90"/>
        <v>0.5867872272476492</v>
      </c>
      <c r="AO92" s="53">
        <f t="shared" si="90"/>
        <v>0.58917787104611996</v>
      </c>
      <c r="AP92" s="53">
        <f t="shared" si="90"/>
        <v>0.59157825462334823</v>
      </c>
      <c r="AQ92" s="53">
        <f t="shared" si="90"/>
        <v>0.59398841766039834</v>
      </c>
    </row>
    <row r="93" spans="1:43" s="16" customFormat="1" hidden="1" outlineLevel="5">
      <c r="A93" s="53"/>
      <c r="B93" s="53"/>
      <c r="C93" s="53"/>
      <c r="D93" s="53"/>
      <c r="E93" s="53"/>
      <c r="F93" s="53" t="s">
        <v>398</v>
      </c>
      <c r="G93" s="53"/>
      <c r="H93" s="53">
        <f t="shared" ref="H93:AQ93" si="91">eastern_private_acceptance_rate_positive*(1+eastern_private_acceptance_rate_positive_growth)^((COLUMN()-8)/12)</f>
        <v>0.85050000000000014</v>
      </c>
      <c r="I93" s="53">
        <f t="shared" si="91"/>
        <v>0.85225189074750141</v>
      </c>
      <c r="J93" s="53">
        <f t="shared" si="91"/>
        <v>0.85400739010310533</v>
      </c>
      <c r="K93" s="53">
        <f t="shared" si="91"/>
        <v>0.85576650549995359</v>
      </c>
      <c r="L93" s="53">
        <f t="shared" si="91"/>
        <v>0.85752924438649902</v>
      </c>
      <c r="M93" s="53">
        <f t="shared" si="91"/>
        <v>0.85929561422653733</v>
      </c>
      <c r="N93" s="53">
        <f t="shared" si="91"/>
        <v>0.8610656224992379</v>
      </c>
      <c r="O93" s="53">
        <f t="shared" si="91"/>
        <v>0.8628392766991767</v>
      </c>
      <c r="P93" s="53">
        <f t="shared" si="91"/>
        <v>0.86461658433636657</v>
      </c>
      <c r="Q93" s="53">
        <f t="shared" si="91"/>
        <v>0.86639755293629028</v>
      </c>
      <c r="R93" s="53">
        <f t="shared" si="91"/>
        <v>0.86818219003993158</v>
      </c>
      <c r="S93" s="53">
        <f t="shared" si="91"/>
        <v>0.86997050320380753</v>
      </c>
      <c r="T93" s="53">
        <f t="shared" si="91"/>
        <v>0.87176250000000011</v>
      </c>
      <c r="U93" s="53">
        <f t="shared" si="91"/>
        <v>0.8735581880161889</v>
      </c>
      <c r="V93" s="53">
        <f t="shared" si="91"/>
        <v>0.87535757485568277</v>
      </c>
      <c r="W93" s="53">
        <f t="shared" si="91"/>
        <v>0.87716066813745242</v>
      </c>
      <c r="X93" s="53">
        <f t="shared" si="91"/>
        <v>0.87896747549616139</v>
      </c>
      <c r="Y93" s="53">
        <f t="shared" si="91"/>
        <v>0.88077800458220068</v>
      </c>
      <c r="Z93" s="53">
        <f t="shared" si="91"/>
        <v>0.88259226306171878</v>
      </c>
      <c r="AA93" s="53">
        <f t="shared" si="91"/>
        <v>0.88441025861665601</v>
      </c>
      <c r="AB93" s="53">
        <f t="shared" si="91"/>
        <v>0.88623199894477578</v>
      </c>
      <c r="AC93" s="53">
        <f t="shared" si="91"/>
        <v>0.8880574917596975</v>
      </c>
      <c r="AD93" s="53">
        <f t="shared" si="91"/>
        <v>0.88988674479092988</v>
      </c>
      <c r="AE93" s="53">
        <f t="shared" si="91"/>
        <v>0.89171976578390255</v>
      </c>
      <c r="AF93" s="53">
        <f t="shared" si="91"/>
        <v>0.89355656250000004</v>
      </c>
      <c r="AG93" s="53">
        <f t="shared" si="91"/>
        <v>0.89539714271659354</v>
      </c>
      <c r="AH93" s="53">
        <f t="shared" si="91"/>
        <v>0.89724151422707488</v>
      </c>
      <c r="AI93" s="53">
        <f t="shared" si="91"/>
        <v>0.89908968484088858</v>
      </c>
      <c r="AJ93" s="53">
        <f t="shared" si="91"/>
        <v>0.90094166238356532</v>
      </c>
      <c r="AK93" s="53">
        <f t="shared" si="91"/>
        <v>0.90279745469675565</v>
      </c>
      <c r="AL93" s="53">
        <f t="shared" si="91"/>
        <v>0.90465706963826176</v>
      </c>
      <c r="AM93" s="53">
        <f t="shared" si="91"/>
        <v>0.90652051508207243</v>
      </c>
      <c r="AN93" s="53">
        <f t="shared" si="91"/>
        <v>0.90838779891839505</v>
      </c>
      <c r="AO93" s="53">
        <f t="shared" si="91"/>
        <v>0.91025892905368988</v>
      </c>
      <c r="AP93" s="53">
        <f t="shared" si="91"/>
        <v>0.91213391341070305</v>
      </c>
      <c r="AQ93" s="53">
        <f t="shared" si="91"/>
        <v>0.91401275992849995</v>
      </c>
    </row>
    <row r="94" spans="1:43" s="16" customFormat="1" hidden="1" outlineLevel="5">
      <c r="A94" s="53"/>
      <c r="B94" s="53"/>
      <c r="C94" s="53"/>
      <c r="D94" s="53"/>
      <c r="E94" s="53"/>
      <c r="F94" s="53" t="s">
        <v>399</v>
      </c>
      <c r="G94" s="53"/>
      <c r="H94" s="53">
        <f t="shared" ref="H94:AQ94" si="92">eastern_private_stock_availability_rate_positive*(1+eastern_private_stock_availability_rate_positive_growth)^((COLUMN()-8)/12)</f>
        <v>0.91160000000000008</v>
      </c>
      <c r="I94" s="53">
        <f t="shared" si="92"/>
        <v>0.91310558151483057</v>
      </c>
      <c r="J94" s="53">
        <f t="shared" si="92"/>
        <v>0.91461364961993941</v>
      </c>
      <c r="K94" s="53">
        <f t="shared" si="92"/>
        <v>0.91612420842213271</v>
      </c>
      <c r="L94" s="53">
        <f t="shared" si="92"/>
        <v>0.91763726203499907</v>
      </c>
      <c r="M94" s="53">
        <f t="shared" si="92"/>
        <v>0.91915281457892117</v>
      </c>
      <c r="N94" s="53">
        <f t="shared" si="92"/>
        <v>0.92067087018108718</v>
      </c>
      <c r="O94" s="53">
        <f t="shared" si="92"/>
        <v>0.92219143297550088</v>
      </c>
      <c r="P94" s="53">
        <f t="shared" si="92"/>
        <v>0.92371450710299408</v>
      </c>
      <c r="Q94" s="53">
        <f t="shared" si="92"/>
        <v>0.92524009671123786</v>
      </c>
      <c r="R94" s="53">
        <f t="shared" si="92"/>
        <v>0.92676820595475295</v>
      </c>
      <c r="S94" s="53">
        <f t="shared" si="92"/>
        <v>0.92829883899492194</v>
      </c>
      <c r="T94" s="53">
        <f t="shared" si="92"/>
        <v>0.9298320000000001</v>
      </c>
      <c r="U94" s="53">
        <f t="shared" si="92"/>
        <v>0.93136769314512713</v>
      </c>
      <c r="V94" s="53">
        <f t="shared" si="92"/>
        <v>0.93290592261233818</v>
      </c>
      <c r="W94" s="53">
        <f t="shared" si="92"/>
        <v>0.93444669259057533</v>
      </c>
      <c r="X94" s="53">
        <f t="shared" si="92"/>
        <v>0.93599000727569903</v>
      </c>
      <c r="Y94" s="53">
        <f t="shared" si="92"/>
        <v>0.93753587087049972</v>
      </c>
      <c r="Z94" s="53">
        <f t="shared" si="92"/>
        <v>0.93908428758470885</v>
      </c>
      <c r="AA94" s="53">
        <f t="shared" si="92"/>
        <v>0.94063526163501088</v>
      </c>
      <c r="AB94" s="53">
        <f t="shared" si="92"/>
        <v>0.942188797245054</v>
      </c>
      <c r="AC94" s="53">
        <f t="shared" si="92"/>
        <v>0.94374489864546252</v>
      </c>
      <c r="AD94" s="53">
        <f t="shared" si="92"/>
        <v>0.94530357007384802</v>
      </c>
      <c r="AE94" s="53">
        <f t="shared" si="92"/>
        <v>0.9468648157748204</v>
      </c>
      <c r="AF94" s="53">
        <f t="shared" si="92"/>
        <v>0.94842864000000004</v>
      </c>
      <c r="AG94" s="53">
        <f t="shared" si="92"/>
        <v>0.94999504700802961</v>
      </c>
      <c r="AH94" s="53">
        <f t="shared" si="92"/>
        <v>0.95156404106458492</v>
      </c>
      <c r="AI94" s="53">
        <f t="shared" si="92"/>
        <v>0.95313562644238681</v>
      </c>
      <c r="AJ94" s="53">
        <f t="shared" si="92"/>
        <v>0.95470980742121303</v>
      </c>
      <c r="AK94" s="53">
        <f t="shared" si="92"/>
        <v>0.9562865882879098</v>
      </c>
      <c r="AL94" s="53">
        <f t="shared" si="92"/>
        <v>0.957865973336403</v>
      </c>
      <c r="AM94" s="53">
        <f t="shared" si="92"/>
        <v>0.95944796686771106</v>
      </c>
      <c r="AN94" s="53">
        <f t="shared" si="92"/>
        <v>0.96103257318995505</v>
      </c>
      <c r="AO94" s="53">
        <f t="shared" si="92"/>
        <v>0.96261979661837183</v>
      </c>
      <c r="AP94" s="53">
        <f t="shared" si="92"/>
        <v>0.96420964147532495</v>
      </c>
      <c r="AQ94" s="53">
        <f t="shared" si="92"/>
        <v>0.96580211209031674</v>
      </c>
    </row>
    <row r="95" spans="1:43" s="16" customFormat="1" hidden="1" outlineLevel="5" collapsed="1">
      <c r="A95" s="53"/>
      <c r="B95" s="53"/>
      <c r="C95" s="53"/>
      <c r="D95" s="53"/>
      <c r="E95" s="53"/>
      <c r="F95" s="53" t="s">
        <v>400</v>
      </c>
      <c r="G95" s="53"/>
      <c r="H95" s="53">
        <f>0.05</f>
        <v>0.05</v>
      </c>
      <c r="I95" s="53">
        <f t="shared" ref="I95:AQ95" si="93">H95+I96-I97</f>
        <v>6.1617592629601023E-2</v>
      </c>
      <c r="J95" s="53">
        <f t="shared" si="93"/>
        <v>7.3287950063386842E-2</v>
      </c>
      <c r="K95" s="53">
        <f t="shared" si="93"/>
        <v>8.501124503959602E-2</v>
      </c>
      <c r="L95" s="53">
        <f t="shared" si="93"/>
        <v>9.6787650861967167E-2</v>
      </c>
      <c r="M95" s="53">
        <f t="shared" si="93"/>
        <v>0.10861734140159021</v>
      </c>
      <c r="N95" s="53">
        <f t="shared" si="93"/>
        <v>0.12050049109876382</v>
      </c>
      <c r="O95" s="53">
        <f t="shared" si="93"/>
        <v>0.1324372749648588</v>
      </c>
      <c r="P95" s="53">
        <f t="shared" si="93"/>
        <v>0.1444278685841876</v>
      </c>
      <c r="Q95" s="53">
        <f t="shared" si="93"/>
        <v>0.15647244811588007</v>
      </c>
      <c r="R95" s="53">
        <f t="shared" si="93"/>
        <v>0.1685711902957652</v>
      </c>
      <c r="S95" s="53">
        <f t="shared" si="93"/>
        <v>0.18072427243825909</v>
      </c>
      <c r="T95" s="53">
        <f t="shared" si="93"/>
        <v>0.19293187243825907</v>
      </c>
      <c r="U95" s="53">
        <f t="shared" si="93"/>
        <v>0.20519416877304414</v>
      </c>
      <c r="V95" s="53">
        <f t="shared" si="93"/>
        <v>0.21751134050418139</v>
      </c>
      <c r="W95" s="53">
        <f t="shared" si="93"/>
        <v>0.22988356727943893</v>
      </c>
      <c r="X95" s="53">
        <f t="shared" si="93"/>
        <v>0.24231102933470491</v>
      </c>
      <c r="Y95" s="53">
        <f t="shared" si="93"/>
        <v>0.25479390749591291</v>
      </c>
      <c r="Z95" s="53">
        <f t="shared" si="93"/>
        <v>0.26733238318097347</v>
      </c>
      <c r="AA95" s="53">
        <f t="shared" si="93"/>
        <v>0.27992663840171222</v>
      </c>
      <c r="AB95" s="53">
        <f t="shared" si="93"/>
        <v>0.29257685576581421</v>
      </c>
      <c r="AC95" s="53">
        <f t="shared" si="93"/>
        <v>0.30528321847877438</v>
      </c>
      <c r="AD95" s="53">
        <f t="shared" si="93"/>
        <v>0.31804591034585494</v>
      </c>
      <c r="AE95" s="53">
        <f t="shared" si="93"/>
        <v>0.33086511577404859</v>
      </c>
      <c r="AF95" s="53">
        <f t="shared" si="93"/>
        <v>0.34374101977404858</v>
      </c>
      <c r="AG95" s="53">
        <f t="shared" si="93"/>
        <v>0.35667380796222503</v>
      </c>
      <c r="AH95" s="53">
        <f t="shared" si="93"/>
        <v>0.3696636665626078</v>
      </c>
      <c r="AI95" s="53">
        <f t="shared" si="93"/>
        <v>0.38271078240887563</v>
      </c>
      <c r="AJ95" s="53">
        <f t="shared" si="93"/>
        <v>0.39581534294635223</v>
      </c>
      <c r="AK95" s="53">
        <f t="shared" si="93"/>
        <v>0.40897753623400851</v>
      </c>
      <c r="AL95" s="53">
        <f t="shared" si="93"/>
        <v>0.42219755094647149</v>
      </c>
      <c r="AM95" s="53">
        <f t="shared" si="93"/>
        <v>0.43547557637603979</v>
      </c>
      <c r="AN95" s="53">
        <f t="shared" si="93"/>
        <v>0.44881180243470581</v>
      </c>
      <c r="AO95" s="53">
        <f t="shared" si="93"/>
        <v>0.46220641965618442</v>
      </c>
      <c r="AP95" s="53">
        <f t="shared" si="93"/>
        <v>0.47565961919794819</v>
      </c>
      <c r="AQ95" s="53">
        <f t="shared" si="93"/>
        <v>0.48917159284326961</v>
      </c>
    </row>
    <row r="96" spans="1:43" s="16" customFormat="1" hidden="1" outlineLevel="6">
      <c r="A96" s="53"/>
      <c r="B96" s="53"/>
      <c r="C96" s="53"/>
      <c r="D96" s="53"/>
      <c r="E96" s="53"/>
      <c r="F96" s="53"/>
      <c r="G96" s="53" t="s">
        <v>198</v>
      </c>
      <c r="H96" s="53">
        <f t="shared" ref="H96:AQ96" si="94">eastern_private_coverage_additions_positive*(1+eastern_private_coverage_additions_positive_growth)^((COLUMN()-8)/12)</f>
        <v>1.6064999999999999E-2</v>
      </c>
      <c r="I96" s="53">
        <f t="shared" si="94"/>
        <v>1.6117592629601024E-2</v>
      </c>
      <c r="J96" s="53">
        <f t="shared" si="94"/>
        <v>1.6170357433785826E-2</v>
      </c>
      <c r="K96" s="53">
        <f t="shared" si="94"/>
        <v>1.6223294976209182E-2</v>
      </c>
      <c r="L96" s="53">
        <f t="shared" si="94"/>
        <v>1.6276405822371148E-2</v>
      </c>
      <c r="M96" s="53">
        <f t="shared" si="94"/>
        <v>1.6329690539623055E-2</v>
      </c>
      <c r="N96" s="53">
        <f t="shared" si="94"/>
        <v>1.6383149697173617E-2</v>
      </c>
      <c r="O96" s="53">
        <f t="shared" si="94"/>
        <v>1.6436783866094973E-2</v>
      </c>
      <c r="P96" s="53">
        <f t="shared" si="94"/>
        <v>1.6490593619328812E-2</v>
      </c>
      <c r="Q96" s="53">
        <f t="shared" si="94"/>
        <v>1.6544579531692482E-2</v>
      </c>
      <c r="R96" s="53">
        <f t="shared" si="94"/>
        <v>1.6598742179885141E-2</v>
      </c>
      <c r="S96" s="53">
        <f t="shared" si="94"/>
        <v>1.6653082142493895E-2</v>
      </c>
      <c r="T96" s="53">
        <f t="shared" si="94"/>
        <v>1.67076E-2</v>
      </c>
      <c r="U96" s="53">
        <f t="shared" si="94"/>
        <v>1.6762296334785067E-2</v>
      </c>
      <c r="V96" s="53">
        <f t="shared" si="94"/>
        <v>1.6817171731137257E-2</v>
      </c>
      <c r="W96" s="53">
        <f t="shared" si="94"/>
        <v>1.6872226775257553E-2</v>
      </c>
      <c r="X96" s="53">
        <f t="shared" si="94"/>
        <v>1.6927462055265994E-2</v>
      </c>
      <c r="Y96" s="53">
        <f t="shared" si="94"/>
        <v>1.6982878161207981E-2</v>
      </c>
      <c r="Z96" s="53">
        <f t="shared" si="94"/>
        <v>1.7038475685060565E-2</v>
      </c>
      <c r="AA96" s="53">
        <f t="shared" si="94"/>
        <v>1.709425522073877E-2</v>
      </c>
      <c r="AB96" s="53">
        <f t="shared" si="94"/>
        <v>1.7150217364101966E-2</v>
      </c>
      <c r="AC96" s="53">
        <f t="shared" si="94"/>
        <v>1.7206362712960183E-2</v>
      </c>
      <c r="AD96" s="53">
        <f t="shared" si="94"/>
        <v>1.7262691867080546E-2</v>
      </c>
      <c r="AE96" s="53">
        <f t="shared" si="94"/>
        <v>1.7319205428193648E-2</v>
      </c>
      <c r="AF96" s="53">
        <f t="shared" si="94"/>
        <v>1.7375904000000001E-2</v>
      </c>
      <c r="AG96" s="53">
        <f t="shared" si="94"/>
        <v>1.7432788188176469E-2</v>
      </c>
      <c r="AH96" s="53">
        <f t="shared" si="94"/>
        <v>1.7489858600382747E-2</v>
      </c>
      <c r="AI96" s="53">
        <f t="shared" si="94"/>
        <v>1.7547115846267856E-2</v>
      </c>
      <c r="AJ96" s="53">
        <f t="shared" si="94"/>
        <v>1.7604560537476634E-2</v>
      </c>
      <c r="AK96" s="53">
        <f t="shared" si="94"/>
        <v>1.7662193287656301E-2</v>
      </c>
      <c r="AL96" s="53">
        <f t="shared" si="94"/>
        <v>1.7720014712462987E-2</v>
      </c>
      <c r="AM96" s="53">
        <f t="shared" si="94"/>
        <v>1.7778025429568325E-2</v>
      </c>
      <c r="AN96" s="53">
        <f t="shared" si="94"/>
        <v>1.7836226058666044E-2</v>
      </c>
      <c r="AO96" s="53">
        <f t="shared" si="94"/>
        <v>1.789461722147859E-2</v>
      </c>
      <c r="AP96" s="53">
        <f t="shared" si="94"/>
        <v>1.7953199541763769E-2</v>
      </c>
      <c r="AQ96" s="53">
        <f t="shared" si="94"/>
        <v>1.8011973645321398E-2</v>
      </c>
    </row>
    <row r="97" spans="1:43" s="16" customFormat="1" hidden="1" outlineLevel="6">
      <c r="A97" s="53"/>
      <c r="B97" s="53"/>
      <c r="C97" s="53"/>
      <c r="D97" s="53"/>
      <c r="E97" s="53"/>
      <c r="F97" s="53"/>
      <c r="G97" s="53" t="s">
        <v>401</v>
      </c>
      <c r="H97" s="53">
        <f t="shared" ref="H97:AQ97" si="95">eastern_private_coverage_churn_positive*(1+eastern_private_coverage_churn_positive_growth)^((COLUMN()-8)/12)</f>
        <v>4.5000000000000014E-3</v>
      </c>
      <c r="I97" s="53">
        <f t="shared" si="95"/>
        <v>4.5000000000000014E-3</v>
      </c>
      <c r="J97" s="53">
        <f t="shared" si="95"/>
        <v>4.5000000000000014E-3</v>
      </c>
      <c r="K97" s="53">
        <f t="shared" si="95"/>
        <v>4.5000000000000014E-3</v>
      </c>
      <c r="L97" s="53">
        <f t="shared" si="95"/>
        <v>4.5000000000000014E-3</v>
      </c>
      <c r="M97" s="53">
        <f t="shared" si="95"/>
        <v>4.5000000000000014E-3</v>
      </c>
      <c r="N97" s="53">
        <f t="shared" si="95"/>
        <v>4.5000000000000014E-3</v>
      </c>
      <c r="O97" s="53">
        <f t="shared" si="95"/>
        <v>4.5000000000000014E-3</v>
      </c>
      <c r="P97" s="53">
        <f t="shared" si="95"/>
        <v>4.5000000000000014E-3</v>
      </c>
      <c r="Q97" s="53">
        <f t="shared" si="95"/>
        <v>4.5000000000000014E-3</v>
      </c>
      <c r="R97" s="53">
        <f t="shared" si="95"/>
        <v>4.5000000000000014E-3</v>
      </c>
      <c r="S97" s="53">
        <f t="shared" si="95"/>
        <v>4.5000000000000014E-3</v>
      </c>
      <c r="T97" s="53">
        <f t="shared" si="95"/>
        <v>4.5000000000000014E-3</v>
      </c>
      <c r="U97" s="53">
        <f t="shared" si="95"/>
        <v>4.5000000000000014E-3</v>
      </c>
      <c r="V97" s="53">
        <f t="shared" si="95"/>
        <v>4.5000000000000014E-3</v>
      </c>
      <c r="W97" s="53">
        <f t="shared" si="95"/>
        <v>4.5000000000000014E-3</v>
      </c>
      <c r="X97" s="53">
        <f t="shared" si="95"/>
        <v>4.5000000000000014E-3</v>
      </c>
      <c r="Y97" s="53">
        <f t="shared" si="95"/>
        <v>4.5000000000000014E-3</v>
      </c>
      <c r="Z97" s="53">
        <f t="shared" si="95"/>
        <v>4.5000000000000014E-3</v>
      </c>
      <c r="AA97" s="53">
        <f t="shared" si="95"/>
        <v>4.5000000000000014E-3</v>
      </c>
      <c r="AB97" s="53">
        <f t="shared" si="95"/>
        <v>4.5000000000000014E-3</v>
      </c>
      <c r="AC97" s="53">
        <f t="shared" si="95"/>
        <v>4.5000000000000014E-3</v>
      </c>
      <c r="AD97" s="53">
        <f t="shared" si="95"/>
        <v>4.5000000000000014E-3</v>
      </c>
      <c r="AE97" s="53">
        <f t="shared" si="95"/>
        <v>4.5000000000000014E-3</v>
      </c>
      <c r="AF97" s="53">
        <f t="shared" si="95"/>
        <v>4.5000000000000014E-3</v>
      </c>
      <c r="AG97" s="53">
        <f t="shared" si="95"/>
        <v>4.5000000000000014E-3</v>
      </c>
      <c r="AH97" s="53">
        <f t="shared" si="95"/>
        <v>4.5000000000000014E-3</v>
      </c>
      <c r="AI97" s="53">
        <f t="shared" si="95"/>
        <v>4.5000000000000014E-3</v>
      </c>
      <c r="AJ97" s="53">
        <f t="shared" si="95"/>
        <v>4.5000000000000014E-3</v>
      </c>
      <c r="AK97" s="53">
        <f t="shared" si="95"/>
        <v>4.5000000000000014E-3</v>
      </c>
      <c r="AL97" s="53">
        <f t="shared" si="95"/>
        <v>4.5000000000000014E-3</v>
      </c>
      <c r="AM97" s="53">
        <f t="shared" si="95"/>
        <v>4.5000000000000014E-3</v>
      </c>
      <c r="AN97" s="53">
        <f t="shared" si="95"/>
        <v>4.5000000000000014E-3</v>
      </c>
      <c r="AO97" s="53">
        <f t="shared" si="95"/>
        <v>4.5000000000000014E-3</v>
      </c>
      <c r="AP97" s="53">
        <f t="shared" si="95"/>
        <v>4.5000000000000014E-3</v>
      </c>
      <c r="AQ97" s="53">
        <f t="shared" si="95"/>
        <v>4.5000000000000014E-3</v>
      </c>
    </row>
    <row r="98" spans="1:43" s="16" customFormat="1" hidden="1" outlineLevel="4">
      <c r="A98" s="53"/>
      <c r="B98" s="53"/>
      <c r="C98" s="53"/>
      <c r="D98" s="53"/>
      <c r="E98" s="53" t="s">
        <v>402</v>
      </c>
      <c r="F98" s="53"/>
      <c r="G98" s="53"/>
      <c r="H98" s="53">
        <f t="shared" ref="H98:AQ98" si="96">eastern_private_net_price_per_dose_positive*(1+eastern_private_net_price_per_dose_positive_growth)^((COLUMN()-8)/12)</f>
        <v>92400</v>
      </c>
      <c r="I98" s="53">
        <f t="shared" si="96"/>
        <v>92665.271041642685</v>
      </c>
      <c r="J98" s="53">
        <f t="shared" si="96"/>
        <v>92931.303649579015</v>
      </c>
      <c r="K98" s="53">
        <f t="shared" si="96"/>
        <v>93198.100010188718</v>
      </c>
      <c r="L98" s="53">
        <f t="shared" si="96"/>
        <v>93465.662316128335</v>
      </c>
      <c r="M98" s="53">
        <f t="shared" si="96"/>
        <v>93733.992766349358</v>
      </c>
      <c r="N98" s="53">
        <f t="shared" si="96"/>
        <v>94003.093566116222</v>
      </c>
      <c r="O98" s="53">
        <f t="shared" si="96"/>
        <v>94272.966927024419</v>
      </c>
      <c r="P98" s="53">
        <f t="shared" si="96"/>
        <v>94543.615067018764</v>
      </c>
      <c r="Q98" s="53">
        <f t="shared" si="96"/>
        <v>94815.040210411549</v>
      </c>
      <c r="R98" s="53">
        <f t="shared" si="96"/>
        <v>95087.244587900801</v>
      </c>
      <c r="S98" s="53">
        <f t="shared" si="96"/>
        <v>95360.230436588739</v>
      </c>
      <c r="T98" s="53">
        <f t="shared" si="96"/>
        <v>95633.999999999985</v>
      </c>
      <c r="U98" s="53">
        <f t="shared" si="96"/>
        <v>95908.555528100173</v>
      </c>
      <c r="V98" s="53">
        <f t="shared" si="96"/>
        <v>96183.899277314282</v>
      </c>
      <c r="W98" s="53">
        <f t="shared" si="96"/>
        <v>96460.033510545298</v>
      </c>
      <c r="X98" s="53">
        <f t="shared" si="96"/>
        <v>96736.96049719282</v>
      </c>
      <c r="Y98" s="53">
        <f t="shared" si="96"/>
        <v>97014.682513171589</v>
      </c>
      <c r="Z98" s="53">
        <f t="shared" si="96"/>
        <v>97293.201840930284</v>
      </c>
      <c r="AA98" s="53">
        <f t="shared" si="96"/>
        <v>97572.520769470255</v>
      </c>
      <c r="AB98" s="53">
        <f t="shared" si="96"/>
        <v>97852.64159436441</v>
      </c>
      <c r="AC98" s="53">
        <f t="shared" si="96"/>
        <v>98133.566617775941</v>
      </c>
      <c r="AD98" s="53">
        <f t="shared" si="96"/>
        <v>98415.298148477319</v>
      </c>
      <c r="AE98" s="53">
        <f t="shared" si="96"/>
        <v>98697.838501869352</v>
      </c>
      <c r="AF98" s="53">
        <f t="shared" si="96"/>
        <v>98981.189999999988</v>
      </c>
      <c r="AG98" s="53">
        <f t="shared" si="96"/>
        <v>99265.354971583656</v>
      </c>
      <c r="AH98" s="53">
        <f t="shared" si="96"/>
        <v>99550.335752020255</v>
      </c>
      <c r="AI98" s="53">
        <f t="shared" si="96"/>
        <v>99836.134683414406</v>
      </c>
      <c r="AJ98" s="53">
        <f t="shared" si="96"/>
        <v>100122.75411459457</v>
      </c>
      <c r="AK98" s="53">
        <f t="shared" si="96"/>
        <v>100410.19640113258</v>
      </c>
      <c r="AL98" s="53">
        <f t="shared" si="96"/>
        <v>100698.46390536282</v>
      </c>
      <c r="AM98" s="53">
        <f t="shared" si="96"/>
        <v>100987.55899640171</v>
      </c>
      <c r="AN98" s="53">
        <f t="shared" si="96"/>
        <v>101277.48405016714</v>
      </c>
      <c r="AO98" s="53">
        <f t="shared" si="96"/>
        <v>101568.24144939809</v>
      </c>
      <c r="AP98" s="53">
        <f t="shared" si="96"/>
        <v>101859.83358367403</v>
      </c>
      <c r="AQ98" s="53">
        <f t="shared" si="96"/>
        <v>102152.26284943474</v>
      </c>
    </row>
    <row r="99" spans="1:43" s="16" customFormat="1" hidden="1" outlineLevel="3" collapsed="1">
      <c r="A99" s="53"/>
      <c r="B99" s="53"/>
      <c r="C99" s="53"/>
      <c r="D99" s="53" t="s">
        <v>403</v>
      </c>
      <c r="E99" s="53"/>
      <c r="F99" s="53"/>
      <c r="G99" s="53"/>
      <c r="H99" s="53">
        <f t="shared" ref="H99:AQ99" si="97">(H100*H109)</f>
        <v>131400.66456797827</v>
      </c>
      <c r="I99" s="53">
        <f t="shared" si="97"/>
        <v>155832.31088096258</v>
      </c>
      <c r="J99" s="53">
        <f t="shared" si="97"/>
        <v>181279.0145631026</v>
      </c>
      <c r="K99" s="53">
        <f t="shared" si="97"/>
        <v>207773.63020827086</v>
      </c>
      <c r="L99" s="53">
        <f t="shared" si="97"/>
        <v>235349.96607192492</v>
      </c>
      <c r="M99" s="53">
        <f t="shared" si="97"/>
        <v>264042.81010043359</v>
      </c>
      <c r="N99" s="53">
        <f t="shared" si="97"/>
        <v>293887.95664323319</v>
      </c>
      <c r="O99" s="53">
        <f t="shared" si="97"/>
        <v>324922.23386523552</v>
      </c>
      <c r="P99" s="53">
        <f t="shared" si="97"/>
        <v>357183.53187735303</v>
      </c>
      <c r="Q99" s="53">
        <f t="shared" si="97"/>
        <v>390710.83160344092</v>
      </c>
      <c r="R99" s="53">
        <f t="shared" si="97"/>
        <v>425544.23440242378</v>
      </c>
      <c r="S99" s="53">
        <f t="shared" si="97"/>
        <v>461724.99246483709</v>
      </c>
      <c r="T99" s="53">
        <f t="shared" si="97"/>
        <v>499295.54000349663</v>
      </c>
      <c r="U99" s="53">
        <f t="shared" si="97"/>
        <v>538299.52525849943</v>
      </c>
      <c r="V99" s="53">
        <f t="shared" si="97"/>
        <v>578781.84333726589</v>
      </c>
      <c r="W99" s="53">
        <f t="shared" si="97"/>
        <v>620788.66991084372</v>
      </c>
      <c r="X99" s="53">
        <f t="shared" si="97"/>
        <v>664367.49578823312</v>
      </c>
      <c r="Y99" s="53">
        <f t="shared" si="97"/>
        <v>709567.16239102592</v>
      </c>
      <c r="Z99" s="53">
        <f t="shared" si="97"/>
        <v>756437.898151209</v>
      </c>
      <c r="AA99" s="53">
        <f t="shared" si="97"/>
        <v>805031.35585555469</v>
      </c>
      <c r="AB99" s="53">
        <f t="shared" si="97"/>
        <v>855400.65096060256</v>
      </c>
      <c r="AC99" s="53">
        <f t="shared" si="97"/>
        <v>907600.40090282669</v>
      </c>
      <c r="AD99" s="53">
        <f t="shared" si="97"/>
        <v>961686.76542921271</v>
      </c>
      <c r="AE99" s="53">
        <f t="shared" si="97"/>
        <v>1017717.4879740691</v>
      </c>
      <c r="AF99" s="53">
        <f t="shared" si="97"/>
        <v>1075751.9381085753</v>
      </c>
      <c r="AG99" s="53">
        <f t="shared" si="97"/>
        <v>1135851.1550901809</v>
      </c>
      <c r="AH99" s="53">
        <f t="shared" si="97"/>
        <v>1198077.8925396956</v>
      </c>
      <c r="AI99" s="53">
        <f t="shared" si="97"/>
        <v>1262496.6642745594</v>
      </c>
      <c r="AJ99" s="53">
        <f t="shared" si="97"/>
        <v>1329173.7913275065</v>
      </c>
      <c r="AK99" s="53">
        <f t="shared" si="97"/>
        <v>1398177.4501805741</v>
      </c>
      <c r="AL99" s="53">
        <f t="shared" si="97"/>
        <v>1469577.7222451167</v>
      </c>
      <c r="AM99" s="53">
        <f t="shared" si="97"/>
        <v>1543446.6446192868</v>
      </c>
      <c r="AN99" s="53">
        <f t="shared" si="97"/>
        <v>1619858.262155182</v>
      </c>
      <c r="AO99" s="53">
        <f t="shared" si="97"/>
        <v>1698888.6808687046</v>
      </c>
      <c r="AP99" s="53">
        <f t="shared" si="97"/>
        <v>1780616.1227259438</v>
      </c>
      <c r="AQ99" s="53">
        <f t="shared" si="97"/>
        <v>1865120.9818407726</v>
      </c>
    </row>
    <row r="100" spans="1:43" s="16" customFormat="1" hidden="1" outlineLevel="4" collapsed="1">
      <c r="A100" s="53"/>
      <c r="B100" s="53"/>
      <c r="C100" s="53"/>
      <c r="D100" s="53"/>
      <c r="E100" s="53" t="s">
        <v>404</v>
      </c>
      <c r="F100" s="53"/>
      <c r="G100" s="53"/>
      <c r="H100" s="53">
        <f t="shared" ref="H100:AQ100" si="98">(((((H101*H102)*H103)*H104)*H105)*H106)</f>
        <v>1.6466248692729106</v>
      </c>
      <c r="I100" s="53">
        <f t="shared" si="98"/>
        <v>1.9471956491437103</v>
      </c>
      <c r="J100" s="53">
        <f t="shared" si="98"/>
        <v>2.2586793536656766</v>
      </c>
      <c r="K100" s="53">
        <f t="shared" si="98"/>
        <v>2.5813830201091408</v>
      </c>
      <c r="L100" s="53">
        <f t="shared" si="98"/>
        <v>2.9156214194357211</v>
      </c>
      <c r="M100" s="53">
        <f t="shared" si="98"/>
        <v>3.2617172393199323</v>
      </c>
      <c r="N100" s="53">
        <f t="shared" si="98"/>
        <v>3.6200012713319882</v>
      </c>
      <c r="O100" s="53">
        <f t="shared" si="98"/>
        <v>3.990812602373782</v>
      </c>
      <c r="P100" s="53">
        <f t="shared" si="98"/>
        <v>4.3744988104621125</v>
      </c>
      <c r="Q100" s="53">
        <f t="shared" si="98"/>
        <v>4.7714161649551086</v>
      </c>
      <c r="R100" s="53">
        <f t="shared" si="98"/>
        <v>5.1819298313200557</v>
      </c>
      <c r="S100" s="53">
        <f t="shared" si="98"/>
        <v>5.606414080542784</v>
      </c>
      <c r="T100" s="53">
        <f t="shared" si="98"/>
        <v>6.0452525032811089</v>
      </c>
      <c r="U100" s="53">
        <f t="shared" si="98"/>
        <v>6.4988382288668909</v>
      </c>
      <c r="V100" s="53">
        <f t="shared" si="98"/>
        <v>6.9675741492636334</v>
      </c>
      <c r="W100" s="53">
        <f t="shared" si="98"/>
        <v>7.4518731480887856</v>
      </c>
      <c r="X100" s="53">
        <f t="shared" si="98"/>
        <v>7.9521583348123466</v>
      </c>
      <c r="Y100" s="53">
        <f t="shared" si="98"/>
        <v>8.4688632842457423</v>
      </c>
      <c r="Z100" s="53">
        <f t="shared" si="98"/>
        <v>9.0024322814373381</v>
      </c>
      <c r="AA100" s="53">
        <f t="shared" si="98"/>
        <v>9.5533205720936039</v>
      </c>
      <c r="AB100" s="53">
        <f t="shared" si="98"/>
        <v>10.121994618647433</v>
      </c>
      <c r="AC100" s="53">
        <f t="shared" si="98"/>
        <v>10.708932362097663</v>
      </c>
      <c r="AD100" s="53">
        <f t="shared" si="98"/>
        <v>11.314623489746774</v>
      </c>
      <c r="AE100" s="53">
        <f t="shared" si="98"/>
        <v>11.939569708966058</v>
      </c>
      <c r="AF100" s="53">
        <f t="shared" si="98"/>
        <v>12.584285027120947</v>
      </c>
      <c r="AG100" s="53">
        <f t="shared" si="98"/>
        <v>13.249296037791259</v>
      </c>
      <c r="AH100" s="53">
        <f t="shared" si="98"/>
        <v>13.935142213424854</v>
      </c>
      <c r="AI100" s="53">
        <f t="shared" si="98"/>
        <v>14.642376204565531</v>
      </c>
      <c r="AJ100" s="53">
        <f t="shared" si="98"/>
        <v>15.371564145799352</v>
      </c>
      <c r="AK100" s="53">
        <f t="shared" si="98"/>
        <v>16.123285968566641</v>
      </c>
      <c r="AL100" s="53">
        <f t="shared" si="98"/>
        <v>16.898135720989963</v>
      </c>
      <c r="AM100" s="53">
        <f t="shared" si="98"/>
        <v>17.696721894871796</v>
      </c>
      <c r="AN100" s="53">
        <f t="shared" si="98"/>
        <v>18.519667760018656</v>
      </c>
      <c r="AO100" s="53">
        <f t="shared" si="98"/>
        <v>19.367611706052212</v>
      </c>
      <c r="AP100" s="53">
        <f t="shared" si="98"/>
        <v>20.241207591870875</v>
      </c>
      <c r="AQ100" s="53">
        <f t="shared" si="98"/>
        <v>21.141125102929234</v>
      </c>
    </row>
    <row r="101" spans="1:43" s="16" customFormat="1" hidden="1" outlineLevel="5">
      <c r="A101" s="53"/>
      <c r="B101" s="53"/>
      <c r="C101" s="53"/>
      <c r="D101" s="53"/>
      <c r="E101" s="53"/>
      <c r="F101" s="53" t="s">
        <v>364</v>
      </c>
      <c r="G101" s="53"/>
      <c r="H101" s="53">
        <f t="shared" ref="H101:AQ101" si="99">H52</f>
        <v>8373.7308599999997</v>
      </c>
      <c r="I101" s="53">
        <f t="shared" si="99"/>
        <v>8392.4653291171344</v>
      </c>
      <c r="J101" s="53">
        <f t="shared" si="99"/>
        <v>8411.2417126854198</v>
      </c>
      <c r="K101" s="53">
        <f t="shared" si="99"/>
        <v>8430.0601044796676</v>
      </c>
      <c r="L101" s="53">
        <f t="shared" si="99"/>
        <v>8448.920598484483</v>
      </c>
      <c r="M101" s="53">
        <f t="shared" si="99"/>
        <v>8467.8232888947423</v>
      </c>
      <c r="N101" s="53">
        <f t="shared" si="99"/>
        <v>8486.768270116072</v>
      </c>
      <c r="O101" s="53">
        <f t="shared" si="99"/>
        <v>8505.7556367652942</v>
      </c>
      <c r="P101" s="53">
        <f t="shared" si="99"/>
        <v>8524.7854836709394</v>
      </c>
      <c r="Q101" s="53">
        <f t="shared" si="99"/>
        <v>8543.8579058736777</v>
      </c>
      <c r="R101" s="53">
        <f t="shared" si="99"/>
        <v>8562.972998626823</v>
      </c>
      <c r="S101" s="53">
        <f t="shared" si="99"/>
        <v>8582.1308573967945</v>
      </c>
      <c r="T101" s="53">
        <f t="shared" si="99"/>
        <v>8601.331577863597</v>
      </c>
      <c r="U101" s="53">
        <f t="shared" si="99"/>
        <v>8620.5752559213015</v>
      </c>
      <c r="V101" s="53">
        <f t="shared" si="99"/>
        <v>8639.8619876785233</v>
      </c>
      <c r="W101" s="53">
        <f t="shared" si="99"/>
        <v>8659.1918694588985</v>
      </c>
      <c r="X101" s="53">
        <f t="shared" si="99"/>
        <v>8678.5649978015645</v>
      </c>
      <c r="Y101" s="53">
        <f t="shared" si="99"/>
        <v>8697.9814694616471</v>
      </c>
      <c r="Z101" s="53">
        <f t="shared" si="99"/>
        <v>8717.4413814107447</v>
      </c>
      <c r="AA101" s="53">
        <f t="shared" si="99"/>
        <v>8736.9448308374012</v>
      </c>
      <c r="AB101" s="53">
        <f t="shared" si="99"/>
        <v>8756.4919151476133</v>
      </c>
      <c r="AC101" s="53">
        <f t="shared" si="99"/>
        <v>8776.0827319652872</v>
      </c>
      <c r="AD101" s="53">
        <f t="shared" si="99"/>
        <v>8795.717379132755</v>
      </c>
      <c r="AE101" s="53">
        <f t="shared" si="99"/>
        <v>8815.3959547112354</v>
      </c>
      <c r="AF101" s="53">
        <f t="shared" si="99"/>
        <v>8835.1185569813606</v>
      </c>
      <c r="AG101" s="53">
        <f t="shared" si="99"/>
        <v>8854.885284443626</v>
      </c>
      <c r="AH101" s="53">
        <f t="shared" si="99"/>
        <v>8874.6962358189085</v>
      </c>
      <c r="AI101" s="53">
        <f t="shared" si="99"/>
        <v>8894.5515100489556</v>
      </c>
      <c r="AJ101" s="53">
        <f t="shared" si="99"/>
        <v>8914.4512062968697</v>
      </c>
      <c r="AK101" s="53">
        <f t="shared" si="99"/>
        <v>8934.3954239476097</v>
      </c>
      <c r="AL101" s="53">
        <f t="shared" si="99"/>
        <v>8954.3842626084916</v>
      </c>
      <c r="AM101" s="53">
        <f t="shared" si="99"/>
        <v>8974.4178221096881</v>
      </c>
      <c r="AN101" s="53">
        <f t="shared" si="99"/>
        <v>8994.4962025047025</v>
      </c>
      <c r="AO101" s="53">
        <f t="shared" si="99"/>
        <v>9014.6195040709063</v>
      </c>
      <c r="AP101" s="53">
        <f t="shared" si="99"/>
        <v>9034.7878273100123</v>
      </c>
      <c r="AQ101" s="53">
        <f t="shared" si="99"/>
        <v>9055.0012729485788</v>
      </c>
    </row>
    <row r="102" spans="1:43" s="16" customFormat="1" hidden="1" outlineLevel="5">
      <c r="A102" s="53"/>
      <c r="B102" s="53"/>
      <c r="C102" s="53"/>
      <c r="D102" s="53"/>
      <c r="E102" s="53"/>
      <c r="F102" s="53" t="s">
        <v>405</v>
      </c>
      <c r="G102" s="53"/>
      <c r="H102" s="53">
        <f t="shared" ref="H102:AQ102" si="100">northern_private_eligibility_rate_positive*(1+northern_private_eligibility_rate_positive_growth)^((COLUMN()-8)/12)</f>
        <v>1.2500000000000001E-2</v>
      </c>
      <c r="I102" s="53">
        <f t="shared" si="100"/>
        <v>1.2580425376375043E-2</v>
      </c>
      <c r="J102" s="53">
        <f t="shared" si="100"/>
        <v>1.2661368212043292E-2</v>
      </c>
      <c r="K102" s="53">
        <f t="shared" si="100"/>
        <v>1.274283183635342E-2</v>
      </c>
      <c r="L102" s="53">
        <f t="shared" si="100"/>
        <v>1.2824819600075227E-2</v>
      </c>
      <c r="M102" s="53">
        <f t="shared" si="100"/>
        <v>1.2907334875537475E-2</v>
      </c>
      <c r="N102" s="53">
        <f t="shared" si="100"/>
        <v>1.2990381056766582E-2</v>
      </c>
      <c r="O102" s="53">
        <f t="shared" si="100"/>
        <v>1.3073961559626236E-2</v>
      </c>
      <c r="P102" s="53">
        <f t="shared" si="100"/>
        <v>1.3158079821957901E-2</v>
      </c>
      <c r="Q102" s="53">
        <f t="shared" si="100"/>
        <v>1.3242739303722204E-2</v>
      </c>
      <c r="R102" s="53">
        <f t="shared" si="100"/>
        <v>1.3327943487141279E-2</v>
      </c>
      <c r="S102" s="53">
        <f t="shared" si="100"/>
        <v>1.3413695876841972E-2</v>
      </c>
      <c r="T102" s="53">
        <f t="shared" si="100"/>
        <v>1.3500000000000002E-2</v>
      </c>
      <c r="U102" s="53">
        <f t="shared" si="100"/>
        <v>1.3586859406485047E-2</v>
      </c>
      <c r="V102" s="53">
        <f t="shared" si="100"/>
        <v>1.3674277669006758E-2</v>
      </c>
      <c r="W102" s="53">
        <f t="shared" si="100"/>
        <v>1.3762258383261694E-2</v>
      </c>
      <c r="X102" s="53">
        <f t="shared" si="100"/>
        <v>1.3850805168081246E-2</v>
      </c>
      <c r="Y102" s="53">
        <f t="shared" si="100"/>
        <v>1.3939921665580474E-2</v>
      </c>
      <c r="Z102" s="53">
        <f t="shared" si="100"/>
        <v>1.4029611541307907E-2</v>
      </c>
      <c r="AA102" s="53">
        <f t="shared" si="100"/>
        <v>1.4119878484396334E-2</v>
      </c>
      <c r="AB102" s="53">
        <f t="shared" si="100"/>
        <v>1.4210726207714531E-2</v>
      </c>
      <c r="AC102" s="53">
        <f t="shared" si="100"/>
        <v>1.4302158448019981E-2</v>
      </c>
      <c r="AD102" s="53">
        <f t="shared" si="100"/>
        <v>1.4394178966112585E-2</v>
      </c>
      <c r="AE102" s="53">
        <f t="shared" si="100"/>
        <v>1.4486791546989331E-2</v>
      </c>
      <c r="AF102" s="53">
        <f t="shared" si="100"/>
        <v>1.4580000000000003E-2</v>
      </c>
      <c r="AG102" s="53">
        <f t="shared" si="100"/>
        <v>1.4673808159003855E-2</v>
      </c>
      <c r="AH102" s="53">
        <f t="shared" si="100"/>
        <v>1.4768219882527299E-2</v>
      </c>
      <c r="AI102" s="53">
        <f t="shared" si="100"/>
        <v>1.4863239053922631E-2</v>
      </c>
      <c r="AJ102" s="53">
        <f t="shared" si="100"/>
        <v>1.4958869581527749E-2</v>
      </c>
      <c r="AK102" s="53">
        <f t="shared" si="100"/>
        <v>1.5055115398826913E-2</v>
      </c>
      <c r="AL102" s="53">
        <f t="shared" si="100"/>
        <v>1.5151980464612542E-2</v>
      </c>
      <c r="AM102" s="53">
        <f t="shared" si="100"/>
        <v>1.5249468763148042E-2</v>
      </c>
      <c r="AN102" s="53">
        <f t="shared" si="100"/>
        <v>1.5347584304331694E-2</v>
      </c>
      <c r="AO102" s="53">
        <f t="shared" si="100"/>
        <v>1.5446331123861581E-2</v>
      </c>
      <c r="AP102" s="53">
        <f t="shared" si="100"/>
        <v>1.5545713283401591E-2</v>
      </c>
      <c r="AQ102" s="53">
        <f t="shared" si="100"/>
        <v>1.5645734870748478E-2</v>
      </c>
    </row>
    <row r="103" spans="1:43" s="16" customFormat="1" hidden="1" outlineLevel="5">
      <c r="A103" s="53"/>
      <c r="B103" s="53"/>
      <c r="C103" s="53"/>
      <c r="D103" s="53"/>
      <c r="E103" s="53"/>
      <c r="F103" s="53" t="s">
        <v>406</v>
      </c>
      <c r="G103" s="53"/>
      <c r="H103" s="53">
        <f t="shared" ref="H103:AQ103" si="101">northern_private_provider_recommendation_rate_positive*(1+northern_private_provider_recommendation_rate_positive_growth)^((COLUMN()-8)/12)</f>
        <v>0.42559999999999998</v>
      </c>
      <c r="I103" s="53">
        <f t="shared" si="101"/>
        <v>0.4273339470823207</v>
      </c>
      <c r="J103" s="53">
        <f t="shared" si="101"/>
        <v>0.42907495847968907</v>
      </c>
      <c r="K103" s="53">
        <f t="shared" si="101"/>
        <v>0.4308230629729991</v>
      </c>
      <c r="L103" s="53">
        <f t="shared" si="101"/>
        <v>0.43257828946040161</v>
      </c>
      <c r="M103" s="53">
        <f t="shared" si="101"/>
        <v>0.43434066695778212</v>
      </c>
      <c r="N103" s="53">
        <f t="shared" si="101"/>
        <v>0.43611022459924054</v>
      </c>
      <c r="O103" s="53">
        <f t="shared" si="101"/>
        <v>0.4378869916375725</v>
      </c>
      <c r="P103" s="53">
        <f t="shared" si="101"/>
        <v>0.4396709974447533</v>
      </c>
      <c r="Q103" s="53">
        <f t="shared" si="101"/>
        <v>0.44146227151242334</v>
      </c>
      <c r="R103" s="53">
        <f t="shared" si="101"/>
        <v>0.44326084345237554</v>
      </c>
      <c r="S103" s="53">
        <f t="shared" si="101"/>
        <v>0.44506674299704491</v>
      </c>
      <c r="T103" s="53">
        <f t="shared" si="101"/>
        <v>0.44688</v>
      </c>
      <c r="U103" s="53">
        <f t="shared" si="101"/>
        <v>0.44870064443643676</v>
      </c>
      <c r="V103" s="53">
        <f t="shared" si="101"/>
        <v>0.45052870640367354</v>
      </c>
      <c r="W103" s="53">
        <f t="shared" si="101"/>
        <v>0.45236421612164907</v>
      </c>
      <c r="X103" s="53">
        <f t="shared" si="101"/>
        <v>0.45420720393342168</v>
      </c>
      <c r="Y103" s="53">
        <f t="shared" si="101"/>
        <v>0.45605770030567122</v>
      </c>
      <c r="Z103" s="53">
        <f t="shared" si="101"/>
        <v>0.45791573582920253</v>
      </c>
      <c r="AA103" s="53">
        <f t="shared" si="101"/>
        <v>0.45978134121945113</v>
      </c>
      <c r="AB103" s="53">
        <f t="shared" si="101"/>
        <v>0.46165454731699102</v>
      </c>
      <c r="AC103" s="53">
        <f t="shared" si="101"/>
        <v>0.46353538508804448</v>
      </c>
      <c r="AD103" s="53">
        <f t="shared" si="101"/>
        <v>0.46542388562499432</v>
      </c>
      <c r="AE103" s="53">
        <f t="shared" si="101"/>
        <v>0.46732008014689713</v>
      </c>
      <c r="AF103" s="53">
        <f t="shared" si="101"/>
        <v>0.46922399999999997</v>
      </c>
      <c r="AG103" s="53">
        <f t="shared" si="101"/>
        <v>0.47113567665825862</v>
      </c>
      <c r="AH103" s="53">
        <f t="shared" si="101"/>
        <v>0.47305514172385726</v>
      </c>
      <c r="AI103" s="53">
        <f t="shared" si="101"/>
        <v>0.47498242692773157</v>
      </c>
      <c r="AJ103" s="53">
        <f t="shared" si="101"/>
        <v>0.47691756413009284</v>
      </c>
      <c r="AK103" s="53">
        <f t="shared" si="101"/>
        <v>0.47886058532095482</v>
      </c>
      <c r="AL103" s="53">
        <f t="shared" si="101"/>
        <v>0.48081152262066273</v>
      </c>
      <c r="AM103" s="53">
        <f t="shared" si="101"/>
        <v>0.48277040828042372</v>
      </c>
      <c r="AN103" s="53">
        <f t="shared" si="101"/>
        <v>0.48473727468284056</v>
      </c>
      <c r="AO103" s="53">
        <f t="shared" si="101"/>
        <v>0.4867121543424468</v>
      </c>
      <c r="AP103" s="53">
        <f t="shared" si="101"/>
        <v>0.48869507990624406</v>
      </c>
      <c r="AQ103" s="53">
        <f t="shared" si="101"/>
        <v>0.49068608415424197</v>
      </c>
    </row>
    <row r="104" spans="1:43" s="16" customFormat="1" hidden="1" outlineLevel="5">
      <c r="A104" s="53"/>
      <c r="B104" s="53"/>
      <c r="C104" s="53"/>
      <c r="D104" s="53"/>
      <c r="E104" s="53"/>
      <c r="F104" s="53" t="s">
        <v>407</v>
      </c>
      <c r="G104" s="53"/>
      <c r="H104" s="53">
        <f t="shared" ref="H104:AQ104" si="102">northern_private_acceptance_rate_positive*(1+northern_private_acceptance_rate_positive_growth)^((COLUMN()-8)/12)</f>
        <v>0.85050000000000014</v>
      </c>
      <c r="I104" s="53">
        <f t="shared" si="102"/>
        <v>0.85225189074750141</v>
      </c>
      <c r="J104" s="53">
        <f t="shared" si="102"/>
        <v>0.85400739010310533</v>
      </c>
      <c r="K104" s="53">
        <f t="shared" si="102"/>
        <v>0.85576650549995359</v>
      </c>
      <c r="L104" s="53">
        <f t="shared" si="102"/>
        <v>0.85752924438649902</v>
      </c>
      <c r="M104" s="53">
        <f t="shared" si="102"/>
        <v>0.85929561422653733</v>
      </c>
      <c r="N104" s="53">
        <f t="shared" si="102"/>
        <v>0.8610656224992379</v>
      </c>
      <c r="O104" s="53">
        <f t="shared" si="102"/>
        <v>0.8628392766991767</v>
      </c>
      <c r="P104" s="53">
        <f t="shared" si="102"/>
        <v>0.86461658433636657</v>
      </c>
      <c r="Q104" s="53">
        <f t="shared" si="102"/>
        <v>0.86639755293629028</v>
      </c>
      <c r="R104" s="53">
        <f t="shared" si="102"/>
        <v>0.86818219003993158</v>
      </c>
      <c r="S104" s="53">
        <f t="shared" si="102"/>
        <v>0.86997050320380753</v>
      </c>
      <c r="T104" s="53">
        <f t="shared" si="102"/>
        <v>0.87176250000000011</v>
      </c>
      <c r="U104" s="53">
        <f t="shared" si="102"/>
        <v>0.8735581880161889</v>
      </c>
      <c r="V104" s="53">
        <f t="shared" si="102"/>
        <v>0.87535757485568277</v>
      </c>
      <c r="W104" s="53">
        <f t="shared" si="102"/>
        <v>0.87716066813745242</v>
      </c>
      <c r="X104" s="53">
        <f t="shared" si="102"/>
        <v>0.87896747549616139</v>
      </c>
      <c r="Y104" s="53">
        <f t="shared" si="102"/>
        <v>0.88077800458220068</v>
      </c>
      <c r="Z104" s="53">
        <f t="shared" si="102"/>
        <v>0.88259226306171878</v>
      </c>
      <c r="AA104" s="53">
        <f t="shared" si="102"/>
        <v>0.88441025861665601</v>
      </c>
      <c r="AB104" s="53">
        <f t="shared" si="102"/>
        <v>0.88623199894477578</v>
      </c>
      <c r="AC104" s="53">
        <f t="shared" si="102"/>
        <v>0.8880574917596975</v>
      </c>
      <c r="AD104" s="53">
        <f t="shared" si="102"/>
        <v>0.88988674479092988</v>
      </c>
      <c r="AE104" s="53">
        <f t="shared" si="102"/>
        <v>0.89171976578390255</v>
      </c>
      <c r="AF104" s="53">
        <f t="shared" si="102"/>
        <v>0.89355656250000004</v>
      </c>
      <c r="AG104" s="53">
        <f t="shared" si="102"/>
        <v>0.89539714271659354</v>
      </c>
      <c r="AH104" s="53">
        <f t="shared" si="102"/>
        <v>0.89724151422707488</v>
      </c>
      <c r="AI104" s="53">
        <f t="shared" si="102"/>
        <v>0.89908968484088858</v>
      </c>
      <c r="AJ104" s="53">
        <f t="shared" si="102"/>
        <v>0.90094166238356532</v>
      </c>
      <c r="AK104" s="53">
        <f t="shared" si="102"/>
        <v>0.90279745469675565</v>
      </c>
      <c r="AL104" s="53">
        <f t="shared" si="102"/>
        <v>0.90465706963826176</v>
      </c>
      <c r="AM104" s="53">
        <f t="shared" si="102"/>
        <v>0.90652051508207243</v>
      </c>
      <c r="AN104" s="53">
        <f t="shared" si="102"/>
        <v>0.90838779891839505</v>
      </c>
      <c r="AO104" s="53">
        <f t="shared" si="102"/>
        <v>0.91025892905368988</v>
      </c>
      <c r="AP104" s="53">
        <f t="shared" si="102"/>
        <v>0.91213391341070305</v>
      </c>
      <c r="AQ104" s="53">
        <f t="shared" si="102"/>
        <v>0.91401275992849995</v>
      </c>
    </row>
    <row r="105" spans="1:43" s="16" customFormat="1" hidden="1" outlineLevel="5">
      <c r="A105" s="53"/>
      <c r="B105" s="53"/>
      <c r="C105" s="53"/>
      <c r="D105" s="53"/>
      <c r="E105" s="53"/>
      <c r="F105" s="53" t="s">
        <v>408</v>
      </c>
      <c r="G105" s="53"/>
      <c r="H105" s="53">
        <f t="shared" ref="H105:AQ105" si="103">northern_private_stock_availability_rate_positive*(1+northern_private_stock_availability_rate_positive_growth)^((COLUMN()-8)/12)</f>
        <v>0.86919999999999997</v>
      </c>
      <c r="I105" s="53">
        <f t="shared" si="103"/>
        <v>0.87063555446762908</v>
      </c>
      <c r="J105" s="53">
        <f t="shared" si="103"/>
        <v>0.87207347987017469</v>
      </c>
      <c r="K105" s="53">
        <f t="shared" si="103"/>
        <v>0.87351378012342873</v>
      </c>
      <c r="L105" s="53">
        <f t="shared" si="103"/>
        <v>0.87495645914965026</v>
      </c>
      <c r="M105" s="53">
        <f t="shared" si="103"/>
        <v>0.87640152087757595</v>
      </c>
      <c r="N105" s="53">
        <f t="shared" si="103"/>
        <v>0.87784896924243183</v>
      </c>
      <c r="O105" s="53">
        <f t="shared" si="103"/>
        <v>0.87929880818594253</v>
      </c>
      <c r="P105" s="53">
        <f t="shared" si="103"/>
        <v>0.8807510416563431</v>
      </c>
      <c r="Q105" s="53">
        <f t="shared" si="103"/>
        <v>0.88220567360838942</v>
      </c>
      <c r="R105" s="53">
        <f t="shared" si="103"/>
        <v>0.88366270800336899</v>
      </c>
      <c r="S105" s="53">
        <f t="shared" si="103"/>
        <v>0.88512214880911144</v>
      </c>
      <c r="T105" s="53">
        <f t="shared" si="103"/>
        <v>0.88658400000000004</v>
      </c>
      <c r="U105" s="53">
        <f t="shared" si="103"/>
        <v>0.88804826555698158</v>
      </c>
      <c r="V105" s="53">
        <f t="shared" si="103"/>
        <v>0.88951494946757814</v>
      </c>
      <c r="W105" s="53">
        <f t="shared" si="103"/>
        <v>0.89098405572589734</v>
      </c>
      <c r="X105" s="53">
        <f t="shared" si="103"/>
        <v>0.89245558833264316</v>
      </c>
      <c r="Y105" s="53">
        <f t="shared" si="103"/>
        <v>0.89392955129512752</v>
      </c>
      <c r="Z105" s="53">
        <f t="shared" si="103"/>
        <v>0.89540594862728051</v>
      </c>
      <c r="AA105" s="53">
        <f t="shared" si="103"/>
        <v>0.89688478434966146</v>
      </c>
      <c r="AB105" s="53">
        <f t="shared" si="103"/>
        <v>0.89836606248946993</v>
      </c>
      <c r="AC105" s="53">
        <f t="shared" si="103"/>
        <v>0.89984978708055718</v>
      </c>
      <c r="AD105" s="53">
        <f t="shared" si="103"/>
        <v>0.90133596216343637</v>
      </c>
      <c r="AE105" s="53">
        <f t="shared" si="103"/>
        <v>0.90282459178529373</v>
      </c>
      <c r="AF105" s="53">
        <f t="shared" si="103"/>
        <v>0.90431567999999996</v>
      </c>
      <c r="AG105" s="53">
        <f t="shared" si="103"/>
        <v>0.90580923086812115</v>
      </c>
      <c r="AH105" s="53">
        <f t="shared" si="103"/>
        <v>0.90730524845692961</v>
      </c>
      <c r="AI105" s="53">
        <f t="shared" si="103"/>
        <v>0.90880373684041516</v>
      </c>
      <c r="AJ105" s="53">
        <f t="shared" si="103"/>
        <v>0.91030470009929598</v>
      </c>
      <c r="AK105" s="53">
        <f t="shared" si="103"/>
        <v>0.91180814232103014</v>
      </c>
      <c r="AL105" s="53">
        <f t="shared" si="103"/>
        <v>0.91331406759982603</v>
      </c>
      <c r="AM105" s="53">
        <f t="shared" si="103"/>
        <v>0.91482248003665456</v>
      </c>
      <c r="AN105" s="53">
        <f t="shared" si="103"/>
        <v>0.91633338373925932</v>
      </c>
      <c r="AO105" s="53">
        <f t="shared" si="103"/>
        <v>0.91784678282216836</v>
      </c>
      <c r="AP105" s="53">
        <f t="shared" si="103"/>
        <v>0.91936268140670507</v>
      </c>
      <c r="AQ105" s="53">
        <f t="shared" si="103"/>
        <v>0.92088108362099952</v>
      </c>
    </row>
    <row r="106" spans="1:43" s="16" customFormat="1" hidden="1" outlineLevel="5" collapsed="1">
      <c r="A106" s="53"/>
      <c r="B106" s="53"/>
      <c r="C106" s="53"/>
      <c r="D106" s="53"/>
      <c r="E106" s="53"/>
      <c r="F106" s="53" t="s">
        <v>409</v>
      </c>
      <c r="G106" s="53"/>
      <c r="H106" s="53">
        <f>0.05</f>
        <v>0.05</v>
      </c>
      <c r="I106" s="53">
        <f t="shared" ref="I106:AQ106" si="104">H106+I107-I108</f>
        <v>5.8163822780400803E-2</v>
      </c>
      <c r="J106" s="53">
        <f t="shared" si="104"/>
        <v>6.6369103621232522E-2</v>
      </c>
      <c r="K106" s="53">
        <f t="shared" si="104"/>
        <v>7.4615978245396883E-2</v>
      </c>
      <c r="L106" s="53">
        <f t="shared" si="104"/>
        <v>8.2904582820117062E-2</v>
      </c>
      <c r="M106" s="53">
        <f t="shared" si="104"/>
        <v>9.123505395839232E-2</v>
      </c>
      <c r="N106" s="53">
        <f t="shared" si="104"/>
        <v>9.9607528720457306E-2</v>
      </c>
      <c r="O106" s="53">
        <f t="shared" si="104"/>
        <v>0.1080221446152462</v>
      </c>
      <c r="P106" s="53">
        <f t="shared" si="104"/>
        <v>0.11647903960186169</v>
      </c>
      <c r="Q106" s="53">
        <f t="shared" si="104"/>
        <v>0.12497835209104863</v>
      </c>
      <c r="R106" s="53">
        <f t="shared" si="104"/>
        <v>0.13352022094667265</v>
      </c>
      <c r="S106" s="53">
        <f t="shared" si="104"/>
        <v>0.14210478548720357</v>
      </c>
      <c r="T106" s="53">
        <f t="shared" si="104"/>
        <v>0.15073218548720357</v>
      </c>
      <c r="U106" s="53">
        <f t="shared" si="104"/>
        <v>0.1594025611788204</v>
      </c>
      <c r="V106" s="53">
        <f t="shared" si="104"/>
        <v>0.16811605325328538</v>
      </c>
      <c r="W106" s="53">
        <f t="shared" si="104"/>
        <v>0.1768728028624163</v>
      </c>
      <c r="X106" s="53">
        <f t="shared" si="104"/>
        <v>0.18567295162012529</v>
      </c>
      <c r="Y106" s="53">
        <f t="shared" si="104"/>
        <v>0.19451664160393156</v>
      </c>
      <c r="Z106" s="53">
        <f t="shared" si="104"/>
        <v>0.20340401535647915</v>
      </c>
      <c r="AA106" s="53">
        <f t="shared" si="104"/>
        <v>0.21233521588705961</v>
      </c>
      <c r="AB106" s="53">
        <f t="shared" si="104"/>
        <v>0.22131038667313974</v>
      </c>
      <c r="AC106" s="53">
        <f t="shared" si="104"/>
        <v>0.23032967166189416</v>
      </c>
      <c r="AD106" s="53">
        <f t="shared" si="104"/>
        <v>0.23939321527174318</v>
      </c>
      <c r="AE106" s="53">
        <f t="shared" si="104"/>
        <v>0.2485011623938953</v>
      </c>
      <c r="AF106" s="53">
        <f t="shared" si="104"/>
        <v>0.25765365839389531</v>
      </c>
      <c r="AG106" s="53">
        <f t="shared" si="104"/>
        <v>0.2668508491131768</v>
      </c>
      <c r="AH106" s="53">
        <f t="shared" si="104"/>
        <v>0.27609288087062039</v>
      </c>
      <c r="AI106" s="53">
        <f t="shared" si="104"/>
        <v>0.28537990046411654</v>
      </c>
      <c r="AJ106" s="53">
        <f t="shared" si="104"/>
        <v>0.29471205517213389</v>
      </c>
      <c r="AK106" s="53">
        <f t="shared" si="104"/>
        <v>0.3040894927552924</v>
      </c>
      <c r="AL106" s="53">
        <f t="shared" si="104"/>
        <v>0.31351236145794187</v>
      </c>
      <c r="AM106" s="53">
        <f t="shared" si="104"/>
        <v>0.32298081000974554</v>
      </c>
      <c r="AN106" s="53">
        <f t="shared" si="104"/>
        <v>0.33249498762726887</v>
      </c>
      <c r="AO106" s="53">
        <f t="shared" si="104"/>
        <v>0.34205504401557346</v>
      </c>
      <c r="AP106" s="53">
        <f t="shared" si="104"/>
        <v>0.35166112936981642</v>
      </c>
      <c r="AQ106" s="53">
        <f t="shared" si="104"/>
        <v>0.36131339437685467</v>
      </c>
    </row>
    <row r="107" spans="1:43" s="16" customFormat="1" hidden="1" outlineLevel="6">
      <c r="A107" s="53"/>
      <c r="B107" s="53"/>
      <c r="C107" s="53"/>
      <c r="D107" s="53"/>
      <c r="E107" s="53"/>
      <c r="F107" s="53"/>
      <c r="G107" s="53" t="s">
        <v>212</v>
      </c>
      <c r="H107" s="53">
        <f t="shared" ref="H107:AQ107" si="105">northern_private_coverage_additions_positive*(1+northern_private_coverage_additions_positive_growth)^((COLUMN()-8)/12)</f>
        <v>1.26225E-2</v>
      </c>
      <c r="I107" s="53">
        <f t="shared" si="105"/>
        <v>1.2663822780400806E-2</v>
      </c>
      <c r="J107" s="53">
        <f t="shared" si="105"/>
        <v>1.270528084083172E-2</v>
      </c>
      <c r="K107" s="53">
        <f t="shared" si="105"/>
        <v>1.2746874624164359E-2</v>
      </c>
      <c r="L107" s="53">
        <f t="shared" si="105"/>
        <v>1.2788604574720187E-2</v>
      </c>
      <c r="M107" s="53">
        <f t="shared" si="105"/>
        <v>1.2830471138275259E-2</v>
      </c>
      <c r="N107" s="53">
        <f t="shared" si="105"/>
        <v>1.2872474762064986E-2</v>
      </c>
      <c r="O107" s="53">
        <f t="shared" si="105"/>
        <v>1.2914615894788907E-2</v>
      </c>
      <c r="P107" s="53">
        <f t="shared" si="105"/>
        <v>1.2956894986615496E-2</v>
      </c>
      <c r="Q107" s="53">
        <f t="shared" si="105"/>
        <v>1.2999312489186952E-2</v>
      </c>
      <c r="R107" s="53">
        <f t="shared" si="105"/>
        <v>1.304186885562404E-2</v>
      </c>
      <c r="S107" s="53">
        <f t="shared" si="105"/>
        <v>1.3084564540530917E-2</v>
      </c>
      <c r="T107" s="53">
        <f t="shared" si="105"/>
        <v>1.3127400000000001E-2</v>
      </c>
      <c r="U107" s="53">
        <f t="shared" si="105"/>
        <v>1.317037569161684E-2</v>
      </c>
      <c r="V107" s="53">
        <f t="shared" si="105"/>
        <v>1.3213492074464988E-2</v>
      </c>
      <c r="W107" s="53">
        <f t="shared" si="105"/>
        <v>1.3256749609130935E-2</v>
      </c>
      <c r="X107" s="53">
        <f t="shared" si="105"/>
        <v>1.3300148757708996E-2</v>
      </c>
      <c r="Y107" s="53">
        <f t="shared" si="105"/>
        <v>1.3343689983806271E-2</v>
      </c>
      <c r="Z107" s="53">
        <f t="shared" si="105"/>
        <v>1.3387373752547586E-2</v>
      </c>
      <c r="AA107" s="53">
        <f t="shared" si="105"/>
        <v>1.3431200530580464E-2</v>
      </c>
      <c r="AB107" s="53">
        <f t="shared" si="105"/>
        <v>1.3475170786080118E-2</v>
      </c>
      <c r="AC107" s="53">
        <f t="shared" si="105"/>
        <v>1.351928498875443E-2</v>
      </c>
      <c r="AD107" s="53">
        <f t="shared" si="105"/>
        <v>1.3563543609849002E-2</v>
      </c>
      <c r="AE107" s="53">
        <f t="shared" si="105"/>
        <v>1.3607947122152153E-2</v>
      </c>
      <c r="AF107" s="53">
        <f t="shared" si="105"/>
        <v>1.3652496000000002E-2</v>
      </c>
      <c r="AG107" s="53">
        <f t="shared" si="105"/>
        <v>1.3697190719281511E-2</v>
      </c>
      <c r="AH107" s="53">
        <f t="shared" si="105"/>
        <v>1.3742031757443589E-2</v>
      </c>
      <c r="AI107" s="53">
        <f t="shared" si="105"/>
        <v>1.3787019593496172E-2</v>
      </c>
      <c r="AJ107" s="53">
        <f t="shared" si="105"/>
        <v>1.3832154708017356E-2</v>
      </c>
      <c r="AK107" s="53">
        <f t="shared" si="105"/>
        <v>1.3877437583158523E-2</v>
      </c>
      <c r="AL107" s="53">
        <f t="shared" si="105"/>
        <v>1.392286870264949E-2</v>
      </c>
      <c r="AM107" s="53">
        <f t="shared" si="105"/>
        <v>1.3968448551803684E-2</v>
      </c>
      <c r="AN107" s="53">
        <f t="shared" si="105"/>
        <v>1.4014177617523322E-2</v>
      </c>
      <c r="AO107" s="53">
        <f t="shared" si="105"/>
        <v>1.4060056388304609E-2</v>
      </c>
      <c r="AP107" s="53">
        <f t="shared" si="105"/>
        <v>1.410608535424296E-2</v>
      </c>
      <c r="AQ107" s="53">
        <f t="shared" si="105"/>
        <v>1.415226500703824E-2</v>
      </c>
    </row>
    <row r="108" spans="1:43" s="16" customFormat="1" hidden="1" outlineLevel="6">
      <c r="A108" s="53"/>
      <c r="B108" s="53"/>
      <c r="C108" s="53"/>
      <c r="D108" s="53"/>
      <c r="E108" s="53"/>
      <c r="F108" s="53"/>
      <c r="G108" s="53" t="s">
        <v>410</v>
      </c>
      <c r="H108" s="53">
        <f t="shared" ref="H108:AQ108" si="106">northern_private_coverage_churn_positive*(1+northern_private_coverage_churn_positive_growth)^((COLUMN()-8)/12)</f>
        <v>4.5000000000000014E-3</v>
      </c>
      <c r="I108" s="53">
        <f t="shared" si="106"/>
        <v>4.5000000000000014E-3</v>
      </c>
      <c r="J108" s="53">
        <f t="shared" si="106"/>
        <v>4.5000000000000014E-3</v>
      </c>
      <c r="K108" s="53">
        <f t="shared" si="106"/>
        <v>4.5000000000000014E-3</v>
      </c>
      <c r="L108" s="53">
        <f t="shared" si="106"/>
        <v>4.5000000000000014E-3</v>
      </c>
      <c r="M108" s="53">
        <f t="shared" si="106"/>
        <v>4.5000000000000014E-3</v>
      </c>
      <c r="N108" s="53">
        <f t="shared" si="106"/>
        <v>4.5000000000000014E-3</v>
      </c>
      <c r="O108" s="53">
        <f t="shared" si="106"/>
        <v>4.5000000000000014E-3</v>
      </c>
      <c r="P108" s="53">
        <f t="shared" si="106"/>
        <v>4.5000000000000014E-3</v>
      </c>
      <c r="Q108" s="53">
        <f t="shared" si="106"/>
        <v>4.5000000000000014E-3</v>
      </c>
      <c r="R108" s="53">
        <f t="shared" si="106"/>
        <v>4.5000000000000014E-3</v>
      </c>
      <c r="S108" s="53">
        <f t="shared" si="106"/>
        <v>4.5000000000000014E-3</v>
      </c>
      <c r="T108" s="53">
        <f t="shared" si="106"/>
        <v>4.5000000000000014E-3</v>
      </c>
      <c r="U108" s="53">
        <f t="shared" si="106"/>
        <v>4.5000000000000014E-3</v>
      </c>
      <c r="V108" s="53">
        <f t="shared" si="106"/>
        <v>4.5000000000000014E-3</v>
      </c>
      <c r="W108" s="53">
        <f t="shared" si="106"/>
        <v>4.5000000000000014E-3</v>
      </c>
      <c r="X108" s="53">
        <f t="shared" si="106"/>
        <v>4.5000000000000014E-3</v>
      </c>
      <c r="Y108" s="53">
        <f t="shared" si="106"/>
        <v>4.5000000000000014E-3</v>
      </c>
      <c r="Z108" s="53">
        <f t="shared" si="106"/>
        <v>4.5000000000000014E-3</v>
      </c>
      <c r="AA108" s="53">
        <f t="shared" si="106"/>
        <v>4.5000000000000014E-3</v>
      </c>
      <c r="AB108" s="53">
        <f t="shared" si="106"/>
        <v>4.5000000000000014E-3</v>
      </c>
      <c r="AC108" s="53">
        <f t="shared" si="106"/>
        <v>4.5000000000000014E-3</v>
      </c>
      <c r="AD108" s="53">
        <f t="shared" si="106"/>
        <v>4.5000000000000014E-3</v>
      </c>
      <c r="AE108" s="53">
        <f t="shared" si="106"/>
        <v>4.5000000000000014E-3</v>
      </c>
      <c r="AF108" s="53">
        <f t="shared" si="106"/>
        <v>4.5000000000000014E-3</v>
      </c>
      <c r="AG108" s="53">
        <f t="shared" si="106"/>
        <v>4.5000000000000014E-3</v>
      </c>
      <c r="AH108" s="53">
        <f t="shared" si="106"/>
        <v>4.5000000000000014E-3</v>
      </c>
      <c r="AI108" s="53">
        <f t="shared" si="106"/>
        <v>4.5000000000000014E-3</v>
      </c>
      <c r="AJ108" s="53">
        <f t="shared" si="106"/>
        <v>4.5000000000000014E-3</v>
      </c>
      <c r="AK108" s="53">
        <f t="shared" si="106"/>
        <v>4.5000000000000014E-3</v>
      </c>
      <c r="AL108" s="53">
        <f t="shared" si="106"/>
        <v>4.5000000000000014E-3</v>
      </c>
      <c r="AM108" s="53">
        <f t="shared" si="106"/>
        <v>4.5000000000000014E-3</v>
      </c>
      <c r="AN108" s="53">
        <f t="shared" si="106"/>
        <v>4.5000000000000014E-3</v>
      </c>
      <c r="AO108" s="53">
        <f t="shared" si="106"/>
        <v>4.5000000000000014E-3</v>
      </c>
      <c r="AP108" s="53">
        <f t="shared" si="106"/>
        <v>4.5000000000000014E-3</v>
      </c>
      <c r="AQ108" s="53">
        <f t="shared" si="106"/>
        <v>4.5000000000000014E-3</v>
      </c>
    </row>
    <row r="109" spans="1:43" s="16" customFormat="1" hidden="1" outlineLevel="4">
      <c r="A109" s="53"/>
      <c r="B109" s="53"/>
      <c r="C109" s="53"/>
      <c r="D109" s="53"/>
      <c r="E109" s="53" t="s">
        <v>411</v>
      </c>
      <c r="F109" s="53"/>
      <c r="G109" s="53"/>
      <c r="H109" s="53">
        <f t="shared" ref="H109:AQ109" si="107">northern_private_net_price_per_dose_positive*(1+northern_private_net_price_per_dose_positive_growth)^((COLUMN()-8)/12)</f>
        <v>79800</v>
      </c>
      <c r="I109" s="53">
        <f t="shared" si="107"/>
        <v>80029.097717782322</v>
      </c>
      <c r="J109" s="53">
        <f t="shared" si="107"/>
        <v>80258.853151909148</v>
      </c>
      <c r="K109" s="53">
        <f t="shared" si="107"/>
        <v>80489.268190617528</v>
      </c>
      <c r="L109" s="53">
        <f t="shared" si="107"/>
        <v>80720.344727565389</v>
      </c>
      <c r="M109" s="53">
        <f t="shared" si="107"/>
        <v>80952.08466184717</v>
      </c>
      <c r="N109" s="53">
        <f t="shared" si="107"/>
        <v>81184.489898009459</v>
      </c>
      <c r="O109" s="53">
        <f t="shared" si="107"/>
        <v>81417.562346066552</v>
      </c>
      <c r="P109" s="53">
        <f t="shared" si="107"/>
        <v>81651.303921516199</v>
      </c>
      <c r="Q109" s="53">
        <f t="shared" si="107"/>
        <v>81885.716545355433</v>
      </c>
      <c r="R109" s="53">
        <f t="shared" si="107"/>
        <v>82120.802144096146</v>
      </c>
      <c r="S109" s="53">
        <f t="shared" si="107"/>
        <v>82356.562649781175</v>
      </c>
      <c r="T109" s="53">
        <f t="shared" si="107"/>
        <v>82593</v>
      </c>
      <c r="U109" s="53">
        <f t="shared" si="107"/>
        <v>82830.116137904697</v>
      </c>
      <c r="V109" s="53">
        <f t="shared" si="107"/>
        <v>83067.913012225967</v>
      </c>
      <c r="W109" s="53">
        <f t="shared" si="107"/>
        <v>83306.392577289123</v>
      </c>
      <c r="X109" s="53">
        <f t="shared" si="107"/>
        <v>83545.556793030162</v>
      </c>
      <c r="Y109" s="53">
        <f t="shared" si="107"/>
        <v>83785.407625011823</v>
      </c>
      <c r="Z109" s="53">
        <f t="shared" si="107"/>
        <v>84025.947044439788</v>
      </c>
      <c r="AA109" s="53">
        <f t="shared" si="107"/>
        <v>84267.177028178863</v>
      </c>
      <c r="AB109" s="53">
        <f t="shared" si="107"/>
        <v>84509.09955876926</v>
      </c>
      <c r="AC109" s="53">
        <f t="shared" si="107"/>
        <v>84751.716624442866</v>
      </c>
      <c r="AD109" s="53">
        <f t="shared" si="107"/>
        <v>84995.030219139502</v>
      </c>
      <c r="AE109" s="53">
        <f t="shared" si="107"/>
        <v>85239.04234252352</v>
      </c>
      <c r="AF109" s="53">
        <f t="shared" si="107"/>
        <v>85483.75499999999</v>
      </c>
      <c r="AG109" s="53">
        <f t="shared" si="107"/>
        <v>85729.170202731344</v>
      </c>
      <c r="AH109" s="53">
        <f t="shared" si="107"/>
        <v>85975.289967653865</v>
      </c>
      <c r="AI109" s="53">
        <f t="shared" si="107"/>
        <v>86222.116317494263</v>
      </c>
      <c r="AJ109" s="53">
        <f t="shared" si="107"/>
        <v>86469.651280786216</v>
      </c>
      <c r="AK109" s="53">
        <f t="shared" si="107"/>
        <v>86717.896891887227</v>
      </c>
      <c r="AL109" s="53">
        <f t="shared" si="107"/>
        <v>86966.855190995164</v>
      </c>
      <c r="AM109" s="53">
        <f t="shared" si="107"/>
        <v>87216.528224165115</v>
      </c>
      <c r="AN109" s="53">
        <f t="shared" si="107"/>
        <v>87466.918043326179</v>
      </c>
      <c r="AO109" s="53">
        <f t="shared" si="107"/>
        <v>87718.026706298348</v>
      </c>
      <c r="AP109" s="53">
        <f t="shared" si="107"/>
        <v>87969.856276809383</v>
      </c>
      <c r="AQ109" s="53">
        <f t="shared" si="107"/>
        <v>88222.408824511833</v>
      </c>
    </row>
    <row r="110" spans="1:43" s="16" customFormat="1" outlineLevel="1">
      <c r="A110" s="51"/>
      <c r="B110" s="51" t="s">
        <v>412</v>
      </c>
      <c r="C110" s="51"/>
      <c r="D110" s="51"/>
      <c r="E110" s="51"/>
      <c r="F110" s="51"/>
      <c r="G110" s="51"/>
      <c r="H110" s="51">
        <f t="shared" ref="H110:AQ110" si="108">(H111+H260)</f>
        <v>119523211.93121669</v>
      </c>
      <c r="I110" s="51">
        <f t="shared" si="108"/>
        <v>124896861.73695643</v>
      </c>
      <c r="J110" s="51">
        <f t="shared" si="108"/>
        <v>130492290.01493059</v>
      </c>
      <c r="K110" s="51">
        <f t="shared" si="108"/>
        <v>136316943.94013554</v>
      </c>
      <c r="L110" s="51">
        <f t="shared" si="108"/>
        <v>142378495.65119493</v>
      </c>
      <c r="M110" s="51">
        <f t="shared" si="108"/>
        <v>148684848.65072581</v>
      </c>
      <c r="N110" s="51">
        <f t="shared" si="108"/>
        <v>155244144.38105127</v>
      </c>
      <c r="O110" s="51">
        <f t="shared" si="108"/>
        <v>162064768.9799411</v>
      </c>
      <c r="P110" s="51">
        <f t="shared" si="108"/>
        <v>169155360.22118637</v>
      </c>
      <c r="Q110" s="51">
        <f t="shared" si="108"/>
        <v>176524814.64493793</v>
      </c>
      <c r="R110" s="51">
        <f t="shared" si="108"/>
        <v>184182294.88286906</v>
      </c>
      <c r="S110" s="51">
        <f t="shared" si="108"/>
        <v>192137237.18335488</v>
      </c>
      <c r="T110" s="51">
        <f t="shared" si="108"/>
        <v>200399359.14199656</v>
      </c>
      <c r="U110" s="51">
        <f t="shared" si="108"/>
        <v>208978667.64295879</v>
      </c>
      <c r="V110" s="51">
        <f t="shared" si="108"/>
        <v>217885467.01673073</v>
      </c>
      <c r="W110" s="51">
        <f t="shared" si="108"/>
        <v>227130367.42006859</v>
      </c>
      <c r="X110" s="51">
        <f t="shared" si="108"/>
        <v>236724293.44402799</v>
      </c>
      <c r="Y110" s="51">
        <f t="shared" si="108"/>
        <v>246678492.95614851</v>
      </c>
      <c r="Z110" s="51">
        <f t="shared" si="108"/>
        <v>257004546.18301123</v>
      </c>
      <c r="AA110" s="51">
        <f t="shared" si="108"/>
        <v>267714375.03955406</v>
      </c>
      <c r="AB110" s="51">
        <f t="shared" si="108"/>
        <v>278820252.71169263</v>
      </c>
      <c r="AC110" s="51">
        <f t="shared" si="108"/>
        <v>290334813.49897063</v>
      </c>
      <c r="AD110" s="51">
        <f t="shared" si="108"/>
        <v>302271062.92413384</v>
      </c>
      <c r="AE110" s="51">
        <f t="shared" si="108"/>
        <v>314642388.11670554</v>
      </c>
      <c r="AF110" s="51">
        <f t="shared" si="108"/>
        <v>327462568.47782439</v>
      </c>
      <c r="AG110" s="51">
        <f t="shared" si="108"/>
        <v>340745786.63379413</v>
      </c>
      <c r="AH110" s="51">
        <f t="shared" si="108"/>
        <v>354506639.68598998</v>
      </c>
      <c r="AI110" s="51">
        <f t="shared" si="108"/>
        <v>368760150.76496553</v>
      </c>
      <c r="AJ110" s="51">
        <f t="shared" si="108"/>
        <v>383521780.89680737</v>
      </c>
      <c r="AK110" s="51">
        <f t="shared" si="108"/>
        <v>398807441.18999577</v>
      </c>
      <c r="AL110" s="51">
        <f t="shared" si="108"/>
        <v>414633505.35124284</v>
      </c>
      <c r="AM110" s="51">
        <f t="shared" si="108"/>
        <v>431016822.53900242</v>
      </c>
      <c r="AN110" s="51">
        <f t="shared" si="108"/>
        <v>447974730.56356621</v>
      </c>
      <c r="AO110" s="51">
        <f t="shared" si="108"/>
        <v>465525069.44290614</v>
      </c>
      <c r="AP110" s="51">
        <f t="shared" si="108"/>
        <v>483686195.32363886</v>
      </c>
      <c r="AQ110" s="51">
        <f t="shared" si="108"/>
        <v>502476994.77675879</v>
      </c>
    </row>
    <row r="111" spans="1:43" s="16" customFormat="1" outlineLevel="2">
      <c r="A111" s="52"/>
      <c r="B111" s="52"/>
      <c r="C111" s="52" t="s">
        <v>413</v>
      </c>
      <c r="D111" s="52"/>
      <c r="E111" s="52"/>
      <c r="F111" s="52"/>
      <c r="G111" s="52"/>
      <c r="H111" s="52">
        <f t="shared" ref="H111:AQ111" si="109">(((((((H112+H137)+H162)+H187)+H200)+H213)+H230)+H247)</f>
        <v>14394211.931216681</v>
      </c>
      <c r="I111" s="52">
        <f t="shared" si="109"/>
        <v>19412542.017957255</v>
      </c>
      <c r="J111" s="52">
        <f t="shared" si="109"/>
        <v>24651403.444927663</v>
      </c>
      <c r="K111" s="52">
        <f t="shared" si="109"/>
        <v>30118238.867630631</v>
      </c>
      <c r="L111" s="52">
        <f t="shared" si="109"/>
        <v>35820715.888387471</v>
      </c>
      <c r="M111" s="52">
        <f t="shared" si="109"/>
        <v>41766733.456640236</v>
      </c>
      <c r="N111" s="52">
        <f t="shared" si="109"/>
        <v>47964428.444600351</v>
      </c>
      <c r="O111" s="52">
        <f t="shared" si="109"/>
        <v>54422182.402925022</v>
      </c>
      <c r="P111" s="52">
        <f t="shared" si="109"/>
        <v>61148628.50122726</v>
      </c>
      <c r="Q111" s="52">
        <f t="shared" si="109"/>
        <v>68152658.658349484</v>
      </c>
      <c r="R111" s="52">
        <f t="shared" si="109"/>
        <v>75443430.867461294</v>
      </c>
      <c r="S111" s="52">
        <f t="shared" si="109"/>
        <v>83030376.721173465</v>
      </c>
      <c r="T111" s="52">
        <f t="shared" si="109"/>
        <v>90923209.141996562</v>
      </c>
      <c r="U111" s="52">
        <f t="shared" si="109"/>
        <v>99131930.323612764</v>
      </c>
      <c r="V111" s="52">
        <f t="shared" si="109"/>
        <v>107666839.88857064</v>
      </c>
      <c r="W111" s="52">
        <f t="shared" si="109"/>
        <v>116538543.26816148</v>
      </c>
      <c r="X111" s="52">
        <f t="shared" si="109"/>
        <v>125757960.31038502</v>
      </c>
      <c r="Y111" s="52">
        <f t="shared" si="109"/>
        <v>135336334.12206718</v>
      </c>
      <c r="Z111" s="52">
        <f t="shared" si="109"/>
        <v>145285240.15135071</v>
      </c>
      <c r="AA111" s="52">
        <f t="shared" si="109"/>
        <v>155616595.51694283</v>
      </c>
      <c r="AB111" s="52">
        <f t="shared" si="109"/>
        <v>166342668.5906688</v>
      </c>
      <c r="AC111" s="52">
        <f t="shared" si="109"/>
        <v>177476088.84005433</v>
      </c>
      <c r="AD111" s="52">
        <f t="shared" si="109"/>
        <v>189029856.9378314</v>
      </c>
      <c r="AE111" s="52">
        <f t="shared" si="109"/>
        <v>201017355.14544541</v>
      </c>
      <c r="AF111" s="52">
        <f t="shared" si="109"/>
        <v>213452357.97782439</v>
      </c>
      <c r="AG111" s="52">
        <f t="shared" si="109"/>
        <v>226349043.15685961</v>
      </c>
      <c r="AH111" s="52">
        <f t="shared" si="109"/>
        <v>239722002.86124307</v>
      </c>
      <c r="AI111" s="52">
        <f t="shared" si="109"/>
        <v>253586255.2805047</v>
      </c>
      <c r="AJ111" s="52">
        <f t="shared" si="109"/>
        <v>267957256.48129749</v>
      </c>
      <c r="AK111" s="52">
        <f t="shared" si="109"/>
        <v>282850912.59418803</v>
      </c>
      <c r="AL111" s="52">
        <f t="shared" si="109"/>
        <v>298283592.32942444</v>
      </c>
      <c r="AM111" s="52">
        <f t="shared" si="109"/>
        <v>314272139.83037573</v>
      </c>
      <c r="AN111" s="52">
        <f t="shared" si="109"/>
        <v>330833887.87355733</v>
      </c>
      <c r="AO111" s="52">
        <f t="shared" si="109"/>
        <v>347986671.42440188</v>
      </c>
      <c r="AP111" s="52">
        <f t="shared" si="109"/>
        <v>365748841.55815309</v>
      </c>
      <c r="AQ111" s="52">
        <f t="shared" si="109"/>
        <v>384139279.75552654</v>
      </c>
    </row>
    <row r="112" spans="1:43" s="16" customFormat="1" outlineLevel="3">
      <c r="A112" s="53"/>
      <c r="B112" s="53"/>
      <c r="C112" s="53"/>
      <c r="D112" s="53" t="s">
        <v>414</v>
      </c>
      <c r="E112" s="53"/>
      <c r="F112" s="53"/>
      <c r="G112" s="53"/>
      <c r="H112" s="53">
        <f t="shared" ref="H112:AQ112" si="110">(((((((H113+H116)+H119)+H122)+H125)+H128)+H131)+H134)</f>
        <v>10938106.081258386</v>
      </c>
      <c r="I112" s="53">
        <f t="shared" si="110"/>
        <v>14763215.509620657</v>
      </c>
      <c r="J112" s="53">
        <f t="shared" si="110"/>
        <v>18756199.769566637</v>
      </c>
      <c r="K112" s="53">
        <f t="shared" si="110"/>
        <v>22922715.588477731</v>
      </c>
      <c r="L112" s="53">
        <f t="shared" si="110"/>
        <v>27268590.366040606</v>
      </c>
      <c r="M112" s="53">
        <f t="shared" si="110"/>
        <v>31799827.021121338</v>
      </c>
      <c r="N112" s="53">
        <f t="shared" si="110"/>
        <v>36522608.971156783</v>
      </c>
      <c r="O112" s="53">
        <f t="shared" si="110"/>
        <v>41443305.247593679</v>
      </c>
      <c r="P112" s="53">
        <f t="shared" si="110"/>
        <v>46568475.750998966</v>
      </c>
      <c r="Q112" s="53">
        <f t="shared" si="110"/>
        <v>51904876.649558872</v>
      </c>
      <c r="R112" s="53">
        <f t="shared" si="110"/>
        <v>57459465.924782142</v>
      </c>
      <c r="S112" s="53">
        <f t="shared" si="110"/>
        <v>63239409.06832172</v>
      </c>
      <c r="T112" s="53">
        <f t="shared" si="110"/>
        <v>69252084.933932304</v>
      </c>
      <c r="U112" s="53">
        <f t="shared" si="110"/>
        <v>75505091.74868542</v>
      </c>
      <c r="V112" s="53">
        <f t="shared" si="110"/>
        <v>82006253.287671313</v>
      </c>
      <c r="W112" s="53">
        <f t="shared" si="110"/>
        <v>88763625.216527835</v>
      </c>
      <c r="X112" s="53">
        <f t="shared" si="110"/>
        <v>95785501.6062489</v>
      </c>
      <c r="Y112" s="53">
        <f t="shared" si="110"/>
        <v>103080421.62484203</v>
      </c>
      <c r="Z112" s="53">
        <f t="shared" si="110"/>
        <v>110657176.41052277</v>
      </c>
      <c r="AA112" s="53">
        <f t="shared" si="110"/>
        <v>118524816.13125697</v>
      </c>
      <c r="AB112" s="53">
        <f t="shared" si="110"/>
        <v>126692657.23558584</v>
      </c>
      <c r="AC112" s="53">
        <f t="shared" si="110"/>
        <v>135170289.89979866</v>
      </c>
      <c r="AD112" s="53">
        <f t="shared" si="110"/>
        <v>143967585.67664883</v>
      </c>
      <c r="AE112" s="53">
        <f t="shared" si="110"/>
        <v>153094705.35094452</v>
      </c>
      <c r="AF112" s="53">
        <f t="shared" si="110"/>
        <v>162562107.0074845</v>
      </c>
      <c r="AG112" s="53">
        <f t="shared" si="110"/>
        <v>172380554.31695023</v>
      </c>
      <c r="AH112" s="53">
        <f t="shared" si="110"/>
        <v>182561125.04551369</v>
      </c>
      <c r="AI112" s="53">
        <f t="shared" si="110"/>
        <v>193115219.79406765</v>
      </c>
      <c r="AJ112" s="53">
        <f t="shared" si="110"/>
        <v>204054570.97314036</v>
      </c>
      <c r="AK112" s="53">
        <f t="shared" si="110"/>
        <v>215391252.01971301</v>
      </c>
      <c r="AL112" s="53">
        <f t="shared" si="110"/>
        <v>227137686.86232111</v>
      </c>
      <c r="AM112" s="53">
        <f t="shared" si="110"/>
        <v>239306659.64098468</v>
      </c>
      <c r="AN112" s="53">
        <f t="shared" si="110"/>
        <v>251911324.68868205</v>
      </c>
      <c r="AO112" s="53">
        <f t="shared" si="110"/>
        <v>264965216.78126183</v>
      </c>
      <c r="AP112" s="53">
        <f t="shared" si="110"/>
        <v>278482261.66285414</v>
      </c>
      <c r="AQ112" s="53">
        <f t="shared" si="110"/>
        <v>292476786.85404128</v>
      </c>
    </row>
    <row r="113" spans="1:43" s="16" customFormat="1" outlineLevel="4">
      <c r="A113" s="53"/>
      <c r="B113" s="53"/>
      <c r="C113" s="53"/>
      <c r="D113" s="53"/>
      <c r="E113" s="53" t="s">
        <v>415</v>
      </c>
      <c r="F113" s="53"/>
      <c r="G113" s="53"/>
      <c r="H113" s="53">
        <f t="shared" ref="H113:AQ113" si="111">(H114*H115)</f>
        <v>4870929.5814428115</v>
      </c>
      <c r="I113" s="53">
        <f t="shared" si="111"/>
        <v>6891912.2851802167</v>
      </c>
      <c r="J113" s="53">
        <f t="shared" si="111"/>
        <v>9002802.8789703771</v>
      </c>
      <c r="K113" s="53">
        <f t="shared" si="111"/>
        <v>11206661.197953066</v>
      </c>
      <c r="L113" s="53">
        <f t="shared" si="111"/>
        <v>13506640.2071885</v>
      </c>
      <c r="M113" s="53">
        <f t="shared" si="111"/>
        <v>15905988.667752637</v>
      </c>
      <c r="N113" s="53">
        <f t="shared" si="111"/>
        <v>18408053.876274735</v>
      </c>
      <c r="O113" s="53">
        <f t="shared" si="111"/>
        <v>21016284.479887638</v>
      </c>
      <c r="P113" s="53">
        <f t="shared" si="111"/>
        <v>23734233.368613511</v>
      </c>
      <c r="Q113" s="53">
        <f t="shared" si="111"/>
        <v>26565560.647260793</v>
      </c>
      <c r="R113" s="53">
        <f t="shared" si="111"/>
        <v>29514036.688962672</v>
      </c>
      <c r="S113" s="53">
        <f t="shared" si="111"/>
        <v>32583545.272543617</v>
      </c>
      <c r="T113" s="53">
        <f t="shared" si="111"/>
        <v>35778086.805957861</v>
      </c>
      <c r="U113" s="53">
        <f t="shared" si="111"/>
        <v>39101781.6381028</v>
      </c>
      <c r="V113" s="53">
        <f t="shared" si="111"/>
        <v>42558873.461370602</v>
      </c>
      <c r="W113" s="53">
        <f t="shared" si="111"/>
        <v>46153732.807363629</v>
      </c>
      <c r="X113" s="53">
        <f t="shared" si="111"/>
        <v>49890860.638262697</v>
      </c>
      <c r="Y113" s="53">
        <f t="shared" si="111"/>
        <v>53774892.036402985</v>
      </c>
      <c r="Z113" s="53">
        <f t="shared" si="111"/>
        <v>57810599.994678602</v>
      </c>
      <c r="AA113" s="53">
        <f t="shared" si="111"/>
        <v>62002899.310466737</v>
      </c>
      <c r="AB113" s="53">
        <f t="shared" si="111"/>
        <v>66356850.585831597</v>
      </c>
      <c r="AC113" s="53">
        <f t="shared" si="111"/>
        <v>70877664.336841956</v>
      </c>
      <c r="AD113" s="53">
        <f t="shared" si="111"/>
        <v>75570705.214908913</v>
      </c>
      <c r="AE113" s="53">
        <f t="shared" si="111"/>
        <v>80441496.343128443</v>
      </c>
      <c r="AF113" s="53">
        <f t="shared" si="111"/>
        <v>85495723.770689785</v>
      </c>
      <c r="AG113" s="53">
        <f t="shared" si="111"/>
        <v>90739241.048491552</v>
      </c>
      <c r="AH113" s="53">
        <f t="shared" si="111"/>
        <v>96178073.929189861</v>
      </c>
      <c r="AI113" s="53">
        <f t="shared" si="111"/>
        <v>101818425.19498709</v>
      </c>
      <c r="AJ113" s="53">
        <f t="shared" si="111"/>
        <v>107666679.61655547</v>
      </c>
      <c r="AK113" s="53">
        <f t="shared" si="111"/>
        <v>113729409.04657993</v>
      </c>
      <c r="AL113" s="53">
        <f t="shared" si="111"/>
        <v>120013377.65149483</v>
      </c>
      <c r="AM113" s="53">
        <f t="shared" si="111"/>
        <v>126525547.28508265</v>
      </c>
      <c r="AN113" s="53">
        <f t="shared" si="111"/>
        <v>133273083.00769733</v>
      </c>
      <c r="AO113" s="53">
        <f t="shared" si="111"/>
        <v>140263358.75497794</v>
      </c>
      <c r="AP113" s="53">
        <f t="shared" si="111"/>
        <v>147503963.16001078</v>
      </c>
      <c r="AQ113" s="53">
        <f t="shared" si="111"/>
        <v>155002705.53301114</v>
      </c>
    </row>
    <row r="114" spans="1:43" s="16" customFormat="1" outlineLevel="5">
      <c r="A114" s="53"/>
      <c r="B114" s="53"/>
      <c r="C114" s="53"/>
      <c r="D114" s="53"/>
      <c r="E114" s="53"/>
      <c r="F114" s="53" t="s">
        <v>324</v>
      </c>
      <c r="G114" s="53"/>
      <c r="H114" s="53">
        <f t="shared" ref="H114:AQ114" si="112">H6</f>
        <v>250.11191689051665</v>
      </c>
      <c r="I114" s="53">
        <f t="shared" si="112"/>
        <v>352.8720382012383</v>
      </c>
      <c r="J114" s="53">
        <f t="shared" si="112"/>
        <v>459.63195708956715</v>
      </c>
      <c r="K114" s="53">
        <f t="shared" si="112"/>
        <v>570.51056151812998</v>
      </c>
      <c r="L114" s="53">
        <f t="shared" si="112"/>
        <v>685.62989926971431</v>
      </c>
      <c r="M114" s="53">
        <f t="shared" si="112"/>
        <v>805.11525695386615</v>
      </c>
      <c r="N114" s="53">
        <f t="shared" si="112"/>
        <v>929.09524091491096</v>
      </c>
      <c r="O114" s="53">
        <f t="shared" si="112"/>
        <v>1057.7018600859767</v>
      </c>
      <c r="P114" s="53">
        <f t="shared" si="112"/>
        <v>1191.0706108346458</v>
      </c>
      <c r="Q114" s="53">
        <f t="shared" si="112"/>
        <v>1329.3405638468985</v>
      </c>
      <c r="R114" s="53">
        <f t="shared" si="112"/>
        <v>1472.6544530970873</v>
      </c>
      <c r="S114" s="53">
        <f t="shared" si="112"/>
        <v>1621.158766952778</v>
      </c>
      <c r="T114" s="53">
        <f t="shared" si="112"/>
        <v>1775.0038414644248</v>
      </c>
      <c r="U114" s="53">
        <f t="shared" si="112"/>
        <v>1934.3439558909834</v>
      </c>
      <c r="V114" s="53">
        <f t="shared" si="112"/>
        <v>2099.3374305137468</v>
      </c>
      <c r="W114" s="53">
        <f t="shared" si="112"/>
        <v>2270.1467267918879</v>
      </c>
      <c r="X114" s="53">
        <f t="shared" si="112"/>
        <v>2446.9385499144205</v>
      </c>
      <c r="Y114" s="53">
        <f t="shared" si="112"/>
        <v>2629.8839538045586</v>
      </c>
      <c r="Z114" s="53">
        <f t="shared" si="112"/>
        <v>2819.1584486337038</v>
      </c>
      <c r="AA114" s="53">
        <f t="shared" si="112"/>
        <v>3014.9421109036552</v>
      </c>
      <c r="AB114" s="53">
        <f t="shared" si="112"/>
        <v>3217.4196961569273</v>
      </c>
      <c r="AC114" s="53">
        <f t="shared" si="112"/>
        <v>3426.7807543764911</v>
      </c>
      <c r="AD114" s="53">
        <f t="shared" si="112"/>
        <v>3643.2197481375802</v>
      </c>
      <c r="AE114" s="53">
        <f t="shared" si="112"/>
        <v>3866.9361735757352</v>
      </c>
      <c r="AF114" s="53">
        <f t="shared" si="112"/>
        <v>4098.1346842366702</v>
      </c>
      <c r="AG114" s="53">
        <f t="shared" si="112"/>
        <v>4337.0252178750234</v>
      </c>
      <c r="AH114" s="53">
        <f t="shared" si="112"/>
        <v>4583.8231262706695</v>
      </c>
      <c r="AI114" s="53">
        <f t="shared" si="112"/>
        <v>4838.7493081327902</v>
      </c>
      <c r="AJ114" s="53">
        <f t="shared" si="112"/>
        <v>5102.0303451634863</v>
      </c>
      <c r="AK114" s="53">
        <f t="shared" si="112"/>
        <v>5373.8986413544153</v>
      </c>
      <c r="AL114" s="53">
        <f t="shared" si="112"/>
        <v>5654.5925655915862</v>
      </c>
      <c r="AM114" s="53">
        <f t="shared" si="112"/>
        <v>5944.3565976451646</v>
      </c>
      <c r="AN114" s="53">
        <f t="shared" si="112"/>
        <v>6243.4414776228405</v>
      </c>
      <c r="AO114" s="53">
        <f t="shared" si="112"/>
        <v>6552.1043589673127</v>
      </c>
      <c r="AP114" s="53">
        <f t="shared" si="112"/>
        <v>6870.6089650799277</v>
      </c>
      <c r="AQ114" s="53">
        <f t="shared" si="112"/>
        <v>7199.2257496547818</v>
      </c>
    </row>
    <row r="115" spans="1:43" s="16" customFormat="1" outlineLevel="5">
      <c r="A115" s="53"/>
      <c r="B115" s="53"/>
      <c r="C115" s="53"/>
      <c r="D115" s="53"/>
      <c r="E115" s="53"/>
      <c r="F115" s="53" t="s">
        <v>416</v>
      </c>
      <c r="G115" s="53"/>
      <c r="H115" s="53">
        <f t="shared" ref="H115:AQ115" si="113">landed_vaccine_cost_per_dose_positive*(1+landed_vaccine_cost_per_dose_positive_growth)^((COLUMN()-8)/12)</f>
        <v>19475</v>
      </c>
      <c r="I115" s="53">
        <f t="shared" si="113"/>
        <v>19530.910752554017</v>
      </c>
      <c r="J115" s="53">
        <f t="shared" si="113"/>
        <v>19586.982019215924</v>
      </c>
      <c r="K115" s="53">
        <f t="shared" si="113"/>
        <v>19643.214260805467</v>
      </c>
      <c r="L115" s="53">
        <f t="shared" si="113"/>
        <v>19699.607939465361</v>
      </c>
      <c r="M115" s="53">
        <f t="shared" si="113"/>
        <v>19756.163518665086</v>
      </c>
      <c r="N115" s="53">
        <f t="shared" si="113"/>
        <v>19812.881463204689</v>
      </c>
      <c r="O115" s="53">
        <f t="shared" si="113"/>
        <v>19869.76223921862</v>
      </c>
      <c r="P115" s="53">
        <f t="shared" si="113"/>
        <v>19926.80631417955</v>
      </c>
      <c r="Q115" s="53">
        <f t="shared" si="113"/>
        <v>19984.014156902216</v>
      </c>
      <c r="R115" s="53">
        <f t="shared" si="113"/>
        <v>20041.386237547275</v>
      </c>
      <c r="S115" s="53">
        <f t="shared" si="113"/>
        <v>20098.923027625169</v>
      </c>
      <c r="T115" s="53">
        <f t="shared" si="113"/>
        <v>20156.625</v>
      </c>
      <c r="U115" s="53">
        <f t="shared" si="113"/>
        <v>20214.492628893408</v>
      </c>
      <c r="V115" s="53">
        <f t="shared" si="113"/>
        <v>20272.52638988848</v>
      </c>
      <c r="W115" s="53">
        <f t="shared" si="113"/>
        <v>20330.726759933656</v>
      </c>
      <c r="X115" s="53">
        <f t="shared" si="113"/>
        <v>20389.094217346646</v>
      </c>
      <c r="Y115" s="53">
        <f t="shared" si="113"/>
        <v>20447.629241818362</v>
      </c>
      <c r="Z115" s="53">
        <f t="shared" si="113"/>
        <v>20506.332314416853</v>
      </c>
      <c r="AA115" s="53">
        <f t="shared" si="113"/>
        <v>20565.203917591269</v>
      </c>
      <c r="AB115" s="53">
        <f t="shared" si="113"/>
        <v>20624.244535175832</v>
      </c>
      <c r="AC115" s="53">
        <f t="shared" si="113"/>
        <v>20683.454652393793</v>
      </c>
      <c r="AD115" s="53">
        <f t="shared" si="113"/>
        <v>20742.834755861426</v>
      </c>
      <c r="AE115" s="53">
        <f t="shared" si="113"/>
        <v>20802.38533359205</v>
      </c>
      <c r="AF115" s="53">
        <f t="shared" si="113"/>
        <v>20862.106874999998</v>
      </c>
      <c r="AG115" s="53">
        <f t="shared" si="113"/>
        <v>20921.999870904674</v>
      </c>
      <c r="AH115" s="53">
        <f t="shared" si="113"/>
        <v>20982.064813534573</v>
      </c>
      <c r="AI115" s="53">
        <f t="shared" si="113"/>
        <v>21042.302196531335</v>
      </c>
      <c r="AJ115" s="53">
        <f t="shared" si="113"/>
        <v>21102.712514953782</v>
      </c>
      <c r="AK115" s="53">
        <f t="shared" si="113"/>
        <v>21163.296265282002</v>
      </c>
      <c r="AL115" s="53">
        <f t="shared" si="113"/>
        <v>21224.053945421438</v>
      </c>
      <c r="AM115" s="53">
        <f t="shared" si="113"/>
        <v>21284.986054706962</v>
      </c>
      <c r="AN115" s="53">
        <f t="shared" si="113"/>
        <v>21346.093093906984</v>
      </c>
      <c r="AO115" s="53">
        <f t="shared" si="113"/>
        <v>21407.375565227576</v>
      </c>
      <c r="AP115" s="53">
        <f t="shared" si="113"/>
        <v>21468.833972316577</v>
      </c>
      <c r="AQ115" s="53">
        <f t="shared" si="113"/>
        <v>21530.468820267768</v>
      </c>
    </row>
    <row r="116" spans="1:43" s="16" customFormat="1" outlineLevel="4" collapsed="1">
      <c r="A116" s="53"/>
      <c r="B116" s="53"/>
      <c r="C116" s="53"/>
      <c r="D116" s="53"/>
      <c r="E116" s="53" t="s">
        <v>417</v>
      </c>
      <c r="F116" s="53"/>
      <c r="G116" s="53"/>
      <c r="H116" s="53">
        <f t="shared" ref="H116:AQ116" si="114">(H117*H118)</f>
        <v>971374.65998758911</v>
      </c>
      <c r="I116" s="53">
        <f t="shared" si="114"/>
        <v>1471207.5576255699</v>
      </c>
      <c r="J116" s="53">
        <f t="shared" si="114"/>
        <v>1992044.0112251202</v>
      </c>
      <c r="K116" s="53">
        <f t="shared" si="114"/>
        <v>2534555.9605953177</v>
      </c>
      <c r="L116" s="53">
        <f t="shared" si="114"/>
        <v>3099434.5421692729</v>
      </c>
      <c r="M116" s="53">
        <f t="shared" si="114"/>
        <v>3687390.6044639247</v>
      </c>
      <c r="N116" s="53">
        <f t="shared" si="114"/>
        <v>4299155.2368518459</v>
      </c>
      <c r="O116" s="53">
        <f t="shared" si="114"/>
        <v>4935480.3119797474</v>
      </c>
      <c r="P116" s="53">
        <f t="shared" si="114"/>
        <v>5597139.0421767794</v>
      </c>
      <c r="Q116" s="53">
        <f t="shared" si="114"/>
        <v>6284926.5502040517</v>
      </c>
      <c r="R116" s="53">
        <f t="shared" si="114"/>
        <v>6999660.4547055606</v>
      </c>
      <c r="S116" s="53">
        <f t="shared" si="114"/>
        <v>7742181.4707295205</v>
      </c>
      <c r="T116" s="53">
        <f t="shared" si="114"/>
        <v>8513354.0256982017</v>
      </c>
      <c r="U116" s="53">
        <f t="shared" si="114"/>
        <v>9314066.8912137654</v>
      </c>
      <c r="V116" s="53">
        <f t="shared" si="114"/>
        <v>10145233.831096966</v>
      </c>
      <c r="W116" s="53">
        <f t="shared" si="114"/>
        <v>11007794.266065512</v>
      </c>
      <c r="X116" s="53">
        <f t="shared" si="114"/>
        <v>11902713.95546882</v>
      </c>
      <c r="Y116" s="53">
        <f t="shared" si="114"/>
        <v>12830985.69650615</v>
      </c>
      <c r="Z116" s="53">
        <f t="shared" si="114"/>
        <v>13793630.04136559</v>
      </c>
      <c r="AA116" s="53">
        <f t="shared" si="114"/>
        <v>14791696.032732164</v>
      </c>
      <c r="AB116" s="53">
        <f t="shared" si="114"/>
        <v>15826261.958124274</v>
      </c>
      <c r="AC116" s="53">
        <f t="shared" si="114"/>
        <v>16898436.123529095</v>
      </c>
      <c r="AD116" s="53">
        <f t="shared" si="114"/>
        <v>18009357.646818884</v>
      </c>
      <c r="AE116" s="53">
        <f t="shared" si="114"/>
        <v>19160197.271442238</v>
      </c>
      <c r="AF116" s="53">
        <f t="shared" si="114"/>
        <v>20352158.200896364</v>
      </c>
      <c r="AG116" s="53">
        <f t="shared" si="114"/>
        <v>21586476.954498675</v>
      </c>
      <c r="AH116" s="53">
        <f t="shared" si="114"/>
        <v>22864424.244989015</v>
      </c>
      <c r="AI116" s="53">
        <f t="shared" si="114"/>
        <v>24187305.878506731</v>
      </c>
      <c r="AJ116" s="53">
        <f t="shared" si="114"/>
        <v>25556463.677499961</v>
      </c>
      <c r="AK116" s="53">
        <f t="shared" si="114"/>
        <v>26973276.427138563</v>
      </c>
      <c r="AL116" s="53">
        <f t="shared" si="114"/>
        <v>28439160.845815688</v>
      </c>
      <c r="AM116" s="53">
        <f t="shared" si="114"/>
        <v>29955572.580337644</v>
      </c>
      <c r="AN116" s="53">
        <f t="shared" si="114"/>
        <v>31524007.22641604</v>
      </c>
      <c r="AO116" s="53">
        <f t="shared" si="114"/>
        <v>33146001.375091862</v>
      </c>
      <c r="AP116" s="53">
        <f t="shared" si="114"/>
        <v>34823133.685735419</v>
      </c>
      <c r="AQ116" s="53">
        <f t="shared" si="114"/>
        <v>36557025.986283354</v>
      </c>
    </row>
    <row r="117" spans="1:43" s="16" customFormat="1" hidden="1" outlineLevel="5">
      <c r="A117" s="53"/>
      <c r="B117" s="53"/>
      <c r="C117" s="53"/>
      <c r="D117" s="53"/>
      <c r="E117" s="53"/>
      <c r="F117" s="53" t="s">
        <v>377</v>
      </c>
      <c r="G117" s="53"/>
      <c r="H117" s="53">
        <f t="shared" ref="H117:AQ117" si="115">H67</f>
        <v>49.878031321570688</v>
      </c>
      <c r="I117" s="53">
        <f t="shared" si="115"/>
        <v>75.32713534278902</v>
      </c>
      <c r="J117" s="53">
        <f t="shared" si="115"/>
        <v>101.70244753739058</v>
      </c>
      <c r="K117" s="53">
        <f t="shared" si="115"/>
        <v>129.02959398312791</v>
      </c>
      <c r="L117" s="53">
        <f t="shared" si="115"/>
        <v>157.33483385524627</v>
      </c>
      <c r="M117" s="53">
        <f t="shared" si="115"/>
        <v>186.64507412991284</v>
      </c>
      <c r="N117" s="53">
        <f t="shared" si="115"/>
        <v>216.98788461617673</v>
      </c>
      <c r="O117" s="53">
        <f t="shared" si="115"/>
        <v>248.39151332360558</v>
      </c>
      <c r="P117" s="53">
        <f t="shared" si="115"/>
        <v>280.88490217290655</v>
      </c>
      <c r="Q117" s="53">
        <f t="shared" si="115"/>
        <v>314.49770305698672</v>
      </c>
      <c r="R117" s="53">
        <f t="shared" si="115"/>
        <v>349.26029426007409</v>
      </c>
      <c r="S117" s="53">
        <f t="shared" si="115"/>
        <v>385.20379724267815</v>
      </c>
      <c r="T117" s="53">
        <f t="shared" si="115"/>
        <v>422.36009380033619</v>
      </c>
      <c r="U117" s="53">
        <f t="shared" si="115"/>
        <v>460.76184360426566</v>
      </c>
      <c r="V117" s="53">
        <f t="shared" si="115"/>
        <v>500.4425021322059</v>
      </c>
      <c r="W117" s="53">
        <f t="shared" si="115"/>
        <v>541.43633899791951</v>
      </c>
      <c r="X117" s="53">
        <f t="shared" si="115"/>
        <v>583.77845668799853</v>
      </c>
      <c r="Y117" s="53">
        <f t="shared" si="115"/>
        <v>627.50480971480681</v>
      </c>
      <c r="Z117" s="53">
        <f t="shared" si="115"/>
        <v>672.6522241945753</v>
      </c>
      <c r="AA117" s="53">
        <f t="shared" si="115"/>
        <v>719.25841785986358</v>
      </c>
      <c r="AB117" s="53">
        <f t="shared" si="115"/>
        <v>767.36202051579039</v>
      </c>
      <c r="AC117" s="53">
        <f t="shared" si="115"/>
        <v>817.0025949496478</v>
      </c>
      <c r="AD117" s="53">
        <f t="shared" si="115"/>
        <v>868.22065830370047</v>
      </c>
      <c r="AE117" s="53">
        <f t="shared" si="115"/>
        <v>921.05770392119518</v>
      </c>
      <c r="AF117" s="53">
        <f t="shared" si="115"/>
        <v>975.55622367582009</v>
      </c>
      <c r="AG117" s="53">
        <f t="shared" si="115"/>
        <v>1031.7597307950498</v>
      </c>
      <c r="AH117" s="53">
        <f t="shared" si="115"/>
        <v>1089.7127831880596</v>
      </c>
      <c r="AI117" s="53">
        <f t="shared" si="115"/>
        <v>1149.4610072891087</v>
      </c>
      <c r="AJ117" s="53">
        <f t="shared" si="115"/>
        <v>1211.0511224275158</v>
      </c>
      <c r="AK117" s="53">
        <f t="shared" si="115"/>
        <v>1274.5309657356036</v>
      </c>
      <c r="AL117" s="53">
        <f t="shared" si="115"/>
        <v>1339.9495176062126</v>
      </c>
      <c r="AM117" s="53">
        <f t="shared" si="115"/>
        <v>1407.3569277116471</v>
      </c>
      <c r="AN117" s="53">
        <f t="shared" si="115"/>
        <v>1476.8045415961496</v>
      </c>
      <c r="AO117" s="53">
        <f t="shared" si="115"/>
        <v>1548.3449278542844</v>
      </c>
      <c r="AP117" s="53">
        <f t="shared" si="115"/>
        <v>1622.0319059078297</v>
      </c>
      <c r="AQ117" s="53">
        <f t="shared" si="115"/>
        <v>1697.920574394102</v>
      </c>
    </row>
    <row r="118" spans="1:43" s="16" customFormat="1" hidden="1" outlineLevel="5">
      <c r="A118" s="53"/>
      <c r="B118" s="53"/>
      <c r="C118" s="53"/>
      <c r="D118" s="53"/>
      <c r="E118" s="53"/>
      <c r="F118" s="53" t="s">
        <v>416</v>
      </c>
      <c r="G118" s="53"/>
      <c r="H118" s="53">
        <f t="shared" ref="H118:AQ118" si="116">H115</f>
        <v>19475</v>
      </c>
      <c r="I118" s="53">
        <f t="shared" si="116"/>
        <v>19530.910752554017</v>
      </c>
      <c r="J118" s="53">
        <f t="shared" si="116"/>
        <v>19586.982019215924</v>
      </c>
      <c r="K118" s="53">
        <f t="shared" si="116"/>
        <v>19643.214260805467</v>
      </c>
      <c r="L118" s="53">
        <f t="shared" si="116"/>
        <v>19699.607939465361</v>
      </c>
      <c r="M118" s="53">
        <f t="shared" si="116"/>
        <v>19756.163518665086</v>
      </c>
      <c r="N118" s="53">
        <f t="shared" si="116"/>
        <v>19812.881463204689</v>
      </c>
      <c r="O118" s="53">
        <f t="shared" si="116"/>
        <v>19869.76223921862</v>
      </c>
      <c r="P118" s="53">
        <f t="shared" si="116"/>
        <v>19926.80631417955</v>
      </c>
      <c r="Q118" s="53">
        <f t="shared" si="116"/>
        <v>19984.014156902216</v>
      </c>
      <c r="R118" s="53">
        <f t="shared" si="116"/>
        <v>20041.386237547275</v>
      </c>
      <c r="S118" s="53">
        <f t="shared" si="116"/>
        <v>20098.923027625169</v>
      </c>
      <c r="T118" s="53">
        <f t="shared" si="116"/>
        <v>20156.625</v>
      </c>
      <c r="U118" s="53">
        <f t="shared" si="116"/>
        <v>20214.492628893408</v>
      </c>
      <c r="V118" s="53">
        <f t="shared" si="116"/>
        <v>20272.52638988848</v>
      </c>
      <c r="W118" s="53">
        <f t="shared" si="116"/>
        <v>20330.726759933656</v>
      </c>
      <c r="X118" s="53">
        <f t="shared" si="116"/>
        <v>20389.094217346646</v>
      </c>
      <c r="Y118" s="53">
        <f t="shared" si="116"/>
        <v>20447.629241818362</v>
      </c>
      <c r="Z118" s="53">
        <f t="shared" si="116"/>
        <v>20506.332314416853</v>
      </c>
      <c r="AA118" s="53">
        <f t="shared" si="116"/>
        <v>20565.203917591269</v>
      </c>
      <c r="AB118" s="53">
        <f t="shared" si="116"/>
        <v>20624.244535175832</v>
      </c>
      <c r="AC118" s="53">
        <f t="shared" si="116"/>
        <v>20683.454652393793</v>
      </c>
      <c r="AD118" s="53">
        <f t="shared" si="116"/>
        <v>20742.834755861426</v>
      </c>
      <c r="AE118" s="53">
        <f t="shared" si="116"/>
        <v>20802.38533359205</v>
      </c>
      <c r="AF118" s="53">
        <f t="shared" si="116"/>
        <v>20862.106874999998</v>
      </c>
      <c r="AG118" s="53">
        <f t="shared" si="116"/>
        <v>20921.999870904674</v>
      </c>
      <c r="AH118" s="53">
        <f t="shared" si="116"/>
        <v>20982.064813534573</v>
      </c>
      <c r="AI118" s="53">
        <f t="shared" si="116"/>
        <v>21042.302196531335</v>
      </c>
      <c r="AJ118" s="53">
        <f t="shared" si="116"/>
        <v>21102.712514953782</v>
      </c>
      <c r="AK118" s="53">
        <f t="shared" si="116"/>
        <v>21163.296265282002</v>
      </c>
      <c r="AL118" s="53">
        <f t="shared" si="116"/>
        <v>21224.053945421438</v>
      </c>
      <c r="AM118" s="53">
        <f t="shared" si="116"/>
        <v>21284.986054706962</v>
      </c>
      <c r="AN118" s="53">
        <f t="shared" si="116"/>
        <v>21346.093093906984</v>
      </c>
      <c r="AO118" s="53">
        <f t="shared" si="116"/>
        <v>21407.375565227576</v>
      </c>
      <c r="AP118" s="53">
        <f t="shared" si="116"/>
        <v>21468.833972316577</v>
      </c>
      <c r="AQ118" s="53">
        <f t="shared" si="116"/>
        <v>21530.468820267768</v>
      </c>
    </row>
    <row r="119" spans="1:43" s="16" customFormat="1" outlineLevel="4" collapsed="1">
      <c r="A119" s="53"/>
      <c r="B119" s="53"/>
      <c r="C119" s="53"/>
      <c r="D119" s="53"/>
      <c r="E119" s="53" t="s">
        <v>418</v>
      </c>
      <c r="F119" s="53"/>
      <c r="G119" s="53"/>
      <c r="H119" s="53">
        <f t="shared" ref="H119:AQ119" si="117">(H120*H121)</f>
        <v>2365539.7450200645</v>
      </c>
      <c r="I119" s="53">
        <f t="shared" si="117"/>
        <v>3060777.2035657149</v>
      </c>
      <c r="J119" s="53">
        <f t="shared" si="117"/>
        <v>3786678.336116774</v>
      </c>
      <c r="K119" s="53">
        <f t="shared" si="117"/>
        <v>4544285.5549576646</v>
      </c>
      <c r="L119" s="53">
        <f t="shared" si="117"/>
        <v>5334673.0219425885</v>
      </c>
      <c r="M119" s="53">
        <f t="shared" si="117"/>
        <v>6158947.5586307188</v>
      </c>
      <c r="N119" s="53">
        <f t="shared" si="117"/>
        <v>7018249.5815320341</v>
      </c>
      <c r="O119" s="53">
        <f t="shared" si="117"/>
        <v>7913754.0631387103</v>
      </c>
      <c r="P119" s="53">
        <f t="shared" si="117"/>
        <v>8846671.5194348097</v>
      </c>
      <c r="Q119" s="53">
        <f t="shared" si="117"/>
        <v>9818249.0245951507</v>
      </c>
      <c r="R119" s="53">
        <f t="shared" si="117"/>
        <v>10829771.253603071</v>
      </c>
      <c r="S119" s="53">
        <f t="shared" si="117"/>
        <v>11882561.55353605</v>
      </c>
      <c r="T119" s="53">
        <f t="shared" si="117"/>
        <v>12977983.044287754</v>
      </c>
      <c r="U119" s="53">
        <f t="shared" si="117"/>
        <v>14117439.74951545</v>
      </c>
      <c r="V119" s="53">
        <f t="shared" si="117"/>
        <v>15302377.758622373</v>
      </c>
      <c r="W119" s="53">
        <f t="shared" si="117"/>
        <v>16534286.420605978</v>
      </c>
      <c r="X119" s="53">
        <f t="shared" si="117"/>
        <v>17814699.570624873</v>
      </c>
      <c r="Y119" s="53">
        <f t="shared" si="117"/>
        <v>19145196.790159706</v>
      </c>
      <c r="Z119" s="53">
        <f t="shared" si="117"/>
        <v>20527404.701666042</v>
      </c>
      <c r="AA119" s="53">
        <f t="shared" si="117"/>
        <v>21962998.298641212</v>
      </c>
      <c r="AB119" s="53">
        <f t="shared" si="117"/>
        <v>23453702.312051058</v>
      </c>
      <c r="AC119" s="53">
        <f t="shared" si="117"/>
        <v>25001292.614087392</v>
      </c>
      <c r="AD119" s="53">
        <f t="shared" si="117"/>
        <v>26607597.660252512</v>
      </c>
      <c r="AE119" s="53">
        <f t="shared" si="117"/>
        <v>28274499.970793288</v>
      </c>
      <c r="AF119" s="53">
        <f t="shared" si="117"/>
        <v>30003937.652534116</v>
      </c>
      <c r="AG119" s="53">
        <f t="shared" si="117"/>
        <v>31797905.96218532</v>
      </c>
      <c r="AH119" s="53">
        <f t="shared" si="117"/>
        <v>33658458.912232339</v>
      </c>
      <c r="AI119" s="53">
        <f t="shared" si="117"/>
        <v>35587710.920539387</v>
      </c>
      <c r="AJ119" s="53">
        <f t="shared" si="117"/>
        <v>37587838.504831403</v>
      </c>
      <c r="AK119" s="53">
        <f t="shared" si="117"/>
        <v>39661082.023248322</v>
      </c>
      <c r="AL119" s="53">
        <f t="shared" si="117"/>
        <v>41809747.462197274</v>
      </c>
      <c r="AM119" s="53">
        <f t="shared" si="117"/>
        <v>44036208.272759937</v>
      </c>
      <c r="AN119" s="53">
        <f t="shared" si="117"/>
        <v>46342907.256945312</v>
      </c>
      <c r="AO119" s="53">
        <f t="shared" si="117"/>
        <v>48732358.505112648</v>
      </c>
      <c r="AP119" s="53">
        <f t="shared" si="117"/>
        <v>51207149.385922231</v>
      </c>
      <c r="AQ119" s="53">
        <f t="shared" si="117"/>
        <v>53769942.590209246</v>
      </c>
    </row>
    <row r="120" spans="1:43" s="16" customFormat="1" hidden="1" outlineLevel="5">
      <c r="A120" s="53"/>
      <c r="B120" s="53"/>
      <c r="C120" s="53"/>
      <c r="D120" s="53"/>
      <c r="E120" s="53"/>
      <c r="F120" s="53" t="s">
        <v>337</v>
      </c>
      <c r="G120" s="53"/>
      <c r="H120" s="53">
        <f t="shared" ref="H120:AQ120" si="118">H21</f>
        <v>121.46545545674272</v>
      </c>
      <c r="I120" s="53">
        <f t="shared" si="118"/>
        <v>156.71451487050922</v>
      </c>
      <c r="J120" s="53">
        <f t="shared" si="118"/>
        <v>193.326278259807</v>
      </c>
      <c r="K120" s="53">
        <f t="shared" si="118"/>
        <v>231.34124052319564</v>
      </c>
      <c r="L120" s="53">
        <f t="shared" si="118"/>
        <v>270.80097422930589</v>
      </c>
      <c r="M120" s="53">
        <f t="shared" si="118"/>
        <v>311.74815661005806</v>
      </c>
      <c r="N120" s="53">
        <f t="shared" si="118"/>
        <v>354.22659720474843</v>
      </c>
      <c r="O120" s="53">
        <f t="shared" si="118"/>
        <v>398.28126617029511</v>
      </c>
      <c r="P120" s="53">
        <f t="shared" si="118"/>
        <v>443.95832327329242</v>
      </c>
      <c r="Q120" s="53">
        <f t="shared" si="118"/>
        <v>491.30514757987481</v>
      </c>
      <c r="R120" s="53">
        <f t="shared" si="118"/>
        <v>540.37036785976591</v>
      </c>
      <c r="S120" s="53">
        <f t="shared" si="118"/>
        <v>591.20389372126772</v>
      </c>
      <c r="T120" s="53">
        <f t="shared" si="118"/>
        <v>643.85694749432275</v>
      </c>
      <c r="U120" s="53">
        <f t="shared" si="118"/>
        <v>698.38209687918709</v>
      </c>
      <c r="V120" s="53">
        <f t="shared" si="118"/>
        <v>754.83328837864451</v>
      </c>
      <c r="W120" s="53">
        <f t="shared" si="118"/>
        <v>813.26588153211367</v>
      </c>
      <c r="X120" s="53">
        <f t="shared" si="118"/>
        <v>873.73668397041752</v>
      </c>
      <c r="Y120" s="53">
        <f t="shared" si="118"/>
        <v>936.30398731042158</v>
      </c>
      <c r="Z120" s="53">
        <f t="shared" si="118"/>
        <v>1001.0276039091775</v>
      </c>
      <c r="AA120" s="53">
        <f t="shared" si="118"/>
        <v>1067.9689044976735</v>
      </c>
      <c r="AB120" s="53">
        <f t="shared" si="118"/>
        <v>1137.1908567147477</v>
      </c>
      <c r="AC120" s="53">
        <f t="shared" si="118"/>
        <v>1208.7580645621922</v>
      </c>
      <c r="AD120" s="53">
        <f t="shared" si="118"/>
        <v>1282.7368088025598</v>
      </c>
      <c r="AE120" s="53">
        <f t="shared" si="118"/>
        <v>1359.1950883216809</v>
      </c>
      <c r="AF120" s="53">
        <f t="shared" si="118"/>
        <v>1438.2026624784089</v>
      </c>
      <c r="AG120" s="53">
        <f t="shared" si="118"/>
        <v>1519.8310944646023</v>
      </c>
      <c r="AH120" s="53">
        <f t="shared" si="118"/>
        <v>1604.153795698925</v>
      </c>
      <c r="AI120" s="53">
        <f t="shared" si="118"/>
        <v>1691.2460712785389</v>
      </c>
      <c r="AJ120" s="53">
        <f t="shared" si="118"/>
        <v>1781.1851665133545</v>
      </c>
      <c r="AK120" s="53">
        <f t="shared" si="118"/>
        <v>1874.0503145680382</v>
      </c>
      <c r="AL120" s="53">
        <f t="shared" si="118"/>
        <v>1969.9227852375814</v>
      </c>
      <c r="AM120" s="53">
        <f t="shared" si="118"/>
        <v>2068.8859348828078</v>
      </c>
      <c r="AN120" s="53">
        <f t="shared" si="118"/>
        <v>2171.0252575527934</v>
      </c>
      <c r="AO120" s="53">
        <f t="shared" si="118"/>
        <v>2276.4284373218352</v>
      </c>
      <c r="AP120" s="53">
        <f t="shared" si="118"/>
        <v>2385.185401869162</v>
      </c>
      <c r="AQ120" s="53">
        <f t="shared" si="118"/>
        <v>2497.388377330305</v>
      </c>
    </row>
    <row r="121" spans="1:43" s="16" customFormat="1" hidden="1" outlineLevel="5">
      <c r="A121" s="53"/>
      <c r="B121" s="53"/>
      <c r="C121" s="53"/>
      <c r="D121" s="53"/>
      <c r="E121" s="53"/>
      <c r="F121" s="53" t="s">
        <v>416</v>
      </c>
      <c r="G121" s="53"/>
      <c r="H121" s="53">
        <f t="shared" ref="H121:AQ121" si="119">H115</f>
        <v>19475</v>
      </c>
      <c r="I121" s="53">
        <f t="shared" si="119"/>
        <v>19530.910752554017</v>
      </c>
      <c r="J121" s="53">
        <f t="shared" si="119"/>
        <v>19586.982019215924</v>
      </c>
      <c r="K121" s="53">
        <f t="shared" si="119"/>
        <v>19643.214260805467</v>
      </c>
      <c r="L121" s="53">
        <f t="shared" si="119"/>
        <v>19699.607939465361</v>
      </c>
      <c r="M121" s="53">
        <f t="shared" si="119"/>
        <v>19756.163518665086</v>
      </c>
      <c r="N121" s="53">
        <f t="shared" si="119"/>
        <v>19812.881463204689</v>
      </c>
      <c r="O121" s="53">
        <f t="shared" si="119"/>
        <v>19869.76223921862</v>
      </c>
      <c r="P121" s="53">
        <f t="shared" si="119"/>
        <v>19926.80631417955</v>
      </c>
      <c r="Q121" s="53">
        <f t="shared" si="119"/>
        <v>19984.014156902216</v>
      </c>
      <c r="R121" s="53">
        <f t="shared" si="119"/>
        <v>20041.386237547275</v>
      </c>
      <c r="S121" s="53">
        <f t="shared" si="119"/>
        <v>20098.923027625169</v>
      </c>
      <c r="T121" s="53">
        <f t="shared" si="119"/>
        <v>20156.625</v>
      </c>
      <c r="U121" s="53">
        <f t="shared" si="119"/>
        <v>20214.492628893408</v>
      </c>
      <c r="V121" s="53">
        <f t="shared" si="119"/>
        <v>20272.52638988848</v>
      </c>
      <c r="W121" s="53">
        <f t="shared" si="119"/>
        <v>20330.726759933656</v>
      </c>
      <c r="X121" s="53">
        <f t="shared" si="119"/>
        <v>20389.094217346646</v>
      </c>
      <c r="Y121" s="53">
        <f t="shared" si="119"/>
        <v>20447.629241818362</v>
      </c>
      <c r="Z121" s="53">
        <f t="shared" si="119"/>
        <v>20506.332314416853</v>
      </c>
      <c r="AA121" s="53">
        <f t="shared" si="119"/>
        <v>20565.203917591269</v>
      </c>
      <c r="AB121" s="53">
        <f t="shared" si="119"/>
        <v>20624.244535175832</v>
      </c>
      <c r="AC121" s="53">
        <f t="shared" si="119"/>
        <v>20683.454652393793</v>
      </c>
      <c r="AD121" s="53">
        <f t="shared" si="119"/>
        <v>20742.834755861426</v>
      </c>
      <c r="AE121" s="53">
        <f t="shared" si="119"/>
        <v>20802.38533359205</v>
      </c>
      <c r="AF121" s="53">
        <f t="shared" si="119"/>
        <v>20862.106874999998</v>
      </c>
      <c r="AG121" s="53">
        <f t="shared" si="119"/>
        <v>20921.999870904674</v>
      </c>
      <c r="AH121" s="53">
        <f t="shared" si="119"/>
        <v>20982.064813534573</v>
      </c>
      <c r="AI121" s="53">
        <f t="shared" si="119"/>
        <v>21042.302196531335</v>
      </c>
      <c r="AJ121" s="53">
        <f t="shared" si="119"/>
        <v>21102.712514953782</v>
      </c>
      <c r="AK121" s="53">
        <f t="shared" si="119"/>
        <v>21163.296265282002</v>
      </c>
      <c r="AL121" s="53">
        <f t="shared" si="119"/>
        <v>21224.053945421438</v>
      </c>
      <c r="AM121" s="53">
        <f t="shared" si="119"/>
        <v>21284.986054706962</v>
      </c>
      <c r="AN121" s="53">
        <f t="shared" si="119"/>
        <v>21346.093093906984</v>
      </c>
      <c r="AO121" s="53">
        <f t="shared" si="119"/>
        <v>21407.375565227576</v>
      </c>
      <c r="AP121" s="53">
        <f t="shared" si="119"/>
        <v>21468.833972316577</v>
      </c>
      <c r="AQ121" s="53">
        <f t="shared" si="119"/>
        <v>21530.468820267768</v>
      </c>
    </row>
    <row r="122" spans="1:43" s="16" customFormat="1" outlineLevel="4" collapsed="1">
      <c r="A122" s="53"/>
      <c r="B122" s="53"/>
      <c r="C122" s="53"/>
      <c r="D122" s="53"/>
      <c r="E122" s="53" t="s">
        <v>419</v>
      </c>
      <c r="F122" s="53"/>
      <c r="G122" s="53"/>
      <c r="H122" s="53">
        <f t="shared" ref="H122:AQ122" si="120">(H123*H124)</f>
        <v>286917.28594981646</v>
      </c>
      <c r="I122" s="53">
        <f t="shared" si="120"/>
        <v>387409.32839657919</v>
      </c>
      <c r="J122" s="53">
        <f t="shared" si="120"/>
        <v>492111.51052140218</v>
      </c>
      <c r="K122" s="53">
        <f t="shared" si="120"/>
        <v>601158.93806347821</v>
      </c>
      <c r="L122" s="53">
        <f t="shared" si="120"/>
        <v>714690.59301298275</v>
      </c>
      <c r="M122" s="53">
        <f t="shared" si="120"/>
        <v>832849.43815528322</v>
      </c>
      <c r="N122" s="53">
        <f t="shared" si="120"/>
        <v>955782.52432664053</v>
      </c>
      <c r="O122" s="53">
        <f t="shared" si="120"/>
        <v>1083641.1004498482</v>
      </c>
      <c r="P122" s="53">
        <f t="shared" si="120"/>
        <v>1216580.7264199897</v>
      </c>
      <c r="Q122" s="53">
        <f t="shared" si="120"/>
        <v>1354761.3889121881</v>
      </c>
      <c r="R122" s="53">
        <f t="shared" si="120"/>
        <v>1498347.6201850364</v>
      </c>
      <c r="S122" s="53">
        <f t="shared" si="120"/>
        <v>1647508.6199551963</v>
      </c>
      <c r="T122" s="53">
        <f t="shared" si="120"/>
        <v>1802418.3804205277</v>
      </c>
      <c r="U122" s="53">
        <f t="shared" si="120"/>
        <v>1963255.8145110421</v>
      </c>
      <c r="V122" s="53">
        <f t="shared" si="120"/>
        <v>2130204.8874488864</v>
      </c>
      <c r="W122" s="53">
        <f t="shared" si="120"/>
        <v>2303454.7517006202</v>
      </c>
      <c r="X122" s="53">
        <f t="shared" si="120"/>
        <v>2483199.8854070711</v>
      </c>
      <c r="Y122" s="53">
        <f t="shared" si="120"/>
        <v>2669640.2343781833</v>
      </c>
      <c r="Z122" s="53">
        <f t="shared" si="120"/>
        <v>2862981.3577424032</v>
      </c>
      <c r="AA122" s="53">
        <f t="shared" si="120"/>
        <v>3063434.5773423808</v>
      </c>
      <c r="AB122" s="53">
        <f t="shared" si="120"/>
        <v>3271217.1309710201</v>
      </c>
      <c r="AC122" s="53">
        <f t="shared" si="120"/>
        <v>3486552.3295442169</v>
      </c>
      <c r="AD122" s="53">
        <f t="shared" si="120"/>
        <v>3709669.7183090206</v>
      </c>
      <c r="AE122" s="53">
        <f t="shared" si="120"/>
        <v>3940805.2421883745</v>
      </c>
      <c r="AF122" s="53">
        <f t="shared" si="120"/>
        <v>4180201.4153660755</v>
      </c>
      <c r="AG122" s="53">
        <f t="shared" si="120"/>
        <v>4428107.4952181652</v>
      </c>
      <c r="AH122" s="53">
        <f t="shared" si="120"/>
        <v>4684779.6606995501</v>
      </c>
      <c r="AI122" s="53">
        <f t="shared" si="120"/>
        <v>4950481.1952973623</v>
      </c>
      <c r="AJ122" s="53">
        <f t="shared" si="120"/>
        <v>5225482.674665276</v>
      </c>
      <c r="AK122" s="53">
        <f t="shared" si="120"/>
        <v>5510062.1590558337</v>
      </c>
      <c r="AL122" s="53">
        <f t="shared" si="120"/>
        <v>5804505.3906707028</v>
      </c>
      <c r="AM122" s="53">
        <f t="shared" si="120"/>
        <v>6109105.9960517408</v>
      </c>
      <c r="AN122" s="53">
        <f t="shared" si="120"/>
        <v>6424165.6936386805</v>
      </c>
      <c r="AO122" s="53">
        <f t="shared" si="120"/>
        <v>6749994.5066225724</v>
      </c>
      <c r="AP122" s="53">
        <f t="shared" si="120"/>
        <v>7086910.9812269239</v>
      </c>
      <c r="AQ122" s="53">
        <f t="shared" si="120"/>
        <v>7435242.4105520984</v>
      </c>
    </row>
    <row r="123" spans="1:43" s="16" customFormat="1" hidden="1" outlineLevel="5">
      <c r="A123" s="53"/>
      <c r="B123" s="53"/>
      <c r="C123" s="53"/>
      <c r="D123" s="53"/>
      <c r="E123" s="53"/>
      <c r="F123" s="53" t="s">
        <v>386</v>
      </c>
      <c r="G123" s="53"/>
      <c r="H123" s="53">
        <f t="shared" ref="H123:AQ123" si="121">H78</f>
        <v>14.732594913982874</v>
      </c>
      <c r="I123" s="53">
        <f t="shared" si="121"/>
        <v>19.835702149523083</v>
      </c>
      <c r="J123" s="53">
        <f t="shared" si="121"/>
        <v>25.1244173318081</v>
      </c>
      <c r="K123" s="53">
        <f t="shared" si="121"/>
        <v>30.60389863297392</v>
      </c>
      <c r="L123" s="53">
        <f t="shared" si="121"/>
        <v>36.279432322163217</v>
      </c>
      <c r="M123" s="53">
        <f t="shared" si="121"/>
        <v>42.156435755779697</v>
      </c>
      <c r="N123" s="53">
        <f t="shared" si="121"/>
        <v>48.240460434877342</v>
      </c>
      <c r="O123" s="53">
        <f t="shared" si="121"/>
        <v>54.537195131151321</v>
      </c>
      <c r="P123" s="53">
        <f t="shared" si="121"/>
        <v>61.052469083030793</v>
      </c>
      <c r="Q123" s="53">
        <f t="shared" si="121"/>
        <v>67.792255263403689</v>
      </c>
      <c r="R123" s="53">
        <f t="shared" si="121"/>
        <v>74.762673720538444</v>
      </c>
      <c r="S123" s="53">
        <f t="shared" si="121"/>
        <v>81.969994993799489</v>
      </c>
      <c r="T123" s="53">
        <f t="shared" si="121"/>
        <v>89.420643605788555</v>
      </c>
      <c r="U123" s="53">
        <f t="shared" si="121"/>
        <v>97.121201632579172</v>
      </c>
      <c r="V123" s="53">
        <f t="shared" si="121"/>
        <v>105.07841235374535</v>
      </c>
      <c r="W123" s="53">
        <f t="shared" si="121"/>
        <v>113.29918398392449</v>
      </c>
      <c r="X123" s="53">
        <f t="shared" si="121"/>
        <v>121.79059348768973</v>
      </c>
      <c r="Y123" s="53">
        <f t="shared" si="121"/>
        <v>130.55989047954677</v>
      </c>
      <c r="Z123" s="53">
        <f t="shared" si="121"/>
        <v>139.61450121090652</v>
      </c>
      <c r="AA123" s="53">
        <f t="shared" si="121"/>
        <v>148.96203264592722</v>
      </c>
      <c r="AB123" s="53">
        <f t="shared" si="121"/>
        <v>158.61027662815826</v>
      </c>
      <c r="AC123" s="53">
        <f t="shared" si="121"/>
        <v>168.56721413996002</v>
      </c>
      <c r="AD123" s="53">
        <f t="shared" si="121"/>
        <v>178.84101965671579</v>
      </c>
      <c r="AE123" s="53">
        <f t="shared" si="121"/>
        <v>189.44006559789537</v>
      </c>
      <c r="AF123" s="53">
        <f t="shared" si="121"/>
        <v>200.37292687707392</v>
      </c>
      <c r="AG123" s="53">
        <f t="shared" si="121"/>
        <v>211.64838555305337</v>
      </c>
      <c r="AH123" s="53">
        <f t="shared" si="121"/>
        <v>223.27543558428113</v>
      </c>
      <c r="AI123" s="53">
        <f t="shared" si="121"/>
        <v>235.2632876888068</v>
      </c>
      <c r="AJ123" s="53">
        <f t="shared" si="121"/>
        <v>247.62137431206531</v>
      </c>
      <c r="AK123" s="53">
        <f t="shared" si="121"/>
        <v>260.359354704824</v>
      </c>
      <c r="AL123" s="53">
        <f t="shared" si="121"/>
        <v>273.48712011368031</v>
      </c>
      <c r="AM123" s="53">
        <f t="shared" si="121"/>
        <v>287.01479908655017</v>
      </c>
      <c r="AN123" s="53">
        <f t="shared" si="121"/>
        <v>300.95276289563219</v>
      </c>
      <c r="AO123" s="53">
        <f t="shared" si="121"/>
        <v>315.3116310803984</v>
      </c>
      <c r="AP123" s="53">
        <f t="shared" si="121"/>
        <v>330.10227711319976</v>
      </c>
      <c r="AQ123" s="53">
        <f t="shared" si="121"/>
        <v>345.33583419014599</v>
      </c>
    </row>
    <row r="124" spans="1:43" s="16" customFormat="1" hidden="1" outlineLevel="5">
      <c r="A124" s="53"/>
      <c r="B124" s="53"/>
      <c r="C124" s="53"/>
      <c r="D124" s="53"/>
      <c r="E124" s="53"/>
      <c r="F124" s="53" t="s">
        <v>416</v>
      </c>
      <c r="G124" s="53"/>
      <c r="H124" s="53">
        <f t="shared" ref="H124:AQ124" si="122">H115</f>
        <v>19475</v>
      </c>
      <c r="I124" s="53">
        <f t="shared" si="122"/>
        <v>19530.910752554017</v>
      </c>
      <c r="J124" s="53">
        <f t="shared" si="122"/>
        <v>19586.982019215924</v>
      </c>
      <c r="K124" s="53">
        <f t="shared" si="122"/>
        <v>19643.214260805467</v>
      </c>
      <c r="L124" s="53">
        <f t="shared" si="122"/>
        <v>19699.607939465361</v>
      </c>
      <c r="M124" s="53">
        <f t="shared" si="122"/>
        <v>19756.163518665086</v>
      </c>
      <c r="N124" s="53">
        <f t="shared" si="122"/>
        <v>19812.881463204689</v>
      </c>
      <c r="O124" s="53">
        <f t="shared" si="122"/>
        <v>19869.76223921862</v>
      </c>
      <c r="P124" s="53">
        <f t="shared" si="122"/>
        <v>19926.80631417955</v>
      </c>
      <c r="Q124" s="53">
        <f t="shared" si="122"/>
        <v>19984.014156902216</v>
      </c>
      <c r="R124" s="53">
        <f t="shared" si="122"/>
        <v>20041.386237547275</v>
      </c>
      <c r="S124" s="53">
        <f t="shared" si="122"/>
        <v>20098.923027625169</v>
      </c>
      <c r="T124" s="53">
        <f t="shared" si="122"/>
        <v>20156.625</v>
      </c>
      <c r="U124" s="53">
        <f t="shared" si="122"/>
        <v>20214.492628893408</v>
      </c>
      <c r="V124" s="53">
        <f t="shared" si="122"/>
        <v>20272.52638988848</v>
      </c>
      <c r="W124" s="53">
        <f t="shared" si="122"/>
        <v>20330.726759933656</v>
      </c>
      <c r="X124" s="53">
        <f t="shared" si="122"/>
        <v>20389.094217346646</v>
      </c>
      <c r="Y124" s="53">
        <f t="shared" si="122"/>
        <v>20447.629241818362</v>
      </c>
      <c r="Z124" s="53">
        <f t="shared" si="122"/>
        <v>20506.332314416853</v>
      </c>
      <c r="AA124" s="53">
        <f t="shared" si="122"/>
        <v>20565.203917591269</v>
      </c>
      <c r="AB124" s="53">
        <f t="shared" si="122"/>
        <v>20624.244535175832</v>
      </c>
      <c r="AC124" s="53">
        <f t="shared" si="122"/>
        <v>20683.454652393793</v>
      </c>
      <c r="AD124" s="53">
        <f t="shared" si="122"/>
        <v>20742.834755861426</v>
      </c>
      <c r="AE124" s="53">
        <f t="shared" si="122"/>
        <v>20802.38533359205</v>
      </c>
      <c r="AF124" s="53">
        <f t="shared" si="122"/>
        <v>20862.106874999998</v>
      </c>
      <c r="AG124" s="53">
        <f t="shared" si="122"/>
        <v>20921.999870904674</v>
      </c>
      <c r="AH124" s="53">
        <f t="shared" si="122"/>
        <v>20982.064813534573</v>
      </c>
      <c r="AI124" s="53">
        <f t="shared" si="122"/>
        <v>21042.302196531335</v>
      </c>
      <c r="AJ124" s="53">
        <f t="shared" si="122"/>
        <v>21102.712514953782</v>
      </c>
      <c r="AK124" s="53">
        <f t="shared" si="122"/>
        <v>21163.296265282002</v>
      </c>
      <c r="AL124" s="53">
        <f t="shared" si="122"/>
        <v>21224.053945421438</v>
      </c>
      <c r="AM124" s="53">
        <f t="shared" si="122"/>
        <v>21284.986054706962</v>
      </c>
      <c r="AN124" s="53">
        <f t="shared" si="122"/>
        <v>21346.093093906984</v>
      </c>
      <c r="AO124" s="53">
        <f t="shared" si="122"/>
        <v>21407.375565227576</v>
      </c>
      <c r="AP124" s="53">
        <f t="shared" si="122"/>
        <v>21468.833972316577</v>
      </c>
      <c r="AQ124" s="53">
        <f t="shared" si="122"/>
        <v>21530.468820267768</v>
      </c>
    </row>
    <row r="125" spans="1:43" s="16" customFormat="1" outlineLevel="4" collapsed="1">
      <c r="A125" s="53"/>
      <c r="B125" s="53"/>
      <c r="C125" s="53"/>
      <c r="D125" s="53"/>
      <c r="E125" s="53" t="s">
        <v>420</v>
      </c>
      <c r="F125" s="53"/>
      <c r="G125" s="53"/>
      <c r="H125" s="53">
        <f t="shared" ref="H125:AQ125" si="123">(H126*H127)</f>
        <v>1490773.8232169524</v>
      </c>
      <c r="I125" s="53">
        <f t="shared" si="123"/>
        <v>1825835.2145065009</v>
      </c>
      <c r="J125" s="53">
        <f t="shared" si="123"/>
        <v>2175539.6197250294</v>
      </c>
      <c r="K125" s="53">
        <f t="shared" si="123"/>
        <v>2540384.2313180654</v>
      </c>
      <c r="L125" s="53">
        <f t="shared" si="123"/>
        <v>2920881.3966340213</v>
      </c>
      <c r="M125" s="53">
        <f t="shared" si="123"/>
        <v>3317559.0529804518</v>
      </c>
      <c r="N125" s="53">
        <f t="shared" si="123"/>
        <v>3730961.1747037461</v>
      </c>
      <c r="O125" s="53">
        <f t="shared" si="123"/>
        <v>4161648.2326159277</v>
      </c>
      <c r="P125" s="53">
        <f t="shared" si="123"/>
        <v>4610197.6661008922</v>
      </c>
      <c r="Q125" s="53">
        <f t="shared" si="123"/>
        <v>5077204.3682410689</v>
      </c>
      <c r="R125" s="53">
        <f t="shared" si="123"/>
        <v>5563281.184314589</v>
      </c>
      <c r="S125" s="53">
        <f t="shared" si="123"/>
        <v>6069059.4240222238</v>
      </c>
      <c r="T125" s="53">
        <f t="shared" si="123"/>
        <v>6595189.3878128631</v>
      </c>
      <c r="U125" s="53">
        <f t="shared" si="123"/>
        <v>7142340.9076860407</v>
      </c>
      <c r="V125" s="53">
        <f t="shared" si="123"/>
        <v>7711203.9028598946</v>
      </c>
      <c r="W125" s="53">
        <f t="shared" si="123"/>
        <v>8302488.9507033853</v>
      </c>
      <c r="X125" s="53">
        <f t="shared" si="123"/>
        <v>8916927.8733418379</v>
      </c>
      <c r="Y125" s="53">
        <f t="shared" si="123"/>
        <v>9555274.3403559122</v>
      </c>
      <c r="Z125" s="53">
        <f t="shared" si="123"/>
        <v>10218304.488004943</v>
      </c>
      <c r="AA125" s="53">
        <f t="shared" si="123"/>
        <v>10906817.555417072</v>
      </c>
      <c r="AB125" s="53">
        <f t="shared" si="123"/>
        <v>11621636.538200183</v>
      </c>
      <c r="AC125" s="53">
        <f t="shared" si="123"/>
        <v>12363608.859939594</v>
      </c>
      <c r="AD125" s="53">
        <f t="shared" si="123"/>
        <v>13133607.06206069</v>
      </c>
      <c r="AE125" s="53">
        <f t="shared" si="123"/>
        <v>13932529.512547292</v>
      </c>
      <c r="AF125" s="53">
        <f t="shared" si="123"/>
        <v>14761301.134019427</v>
      </c>
      <c r="AG125" s="53">
        <f t="shared" si="123"/>
        <v>15620874.151687384</v>
      </c>
      <c r="AH125" s="53">
        <f t="shared" si="123"/>
        <v>16512228.861712486</v>
      </c>
      <c r="AI125" s="53">
        <f t="shared" si="123"/>
        <v>17436374.420519069</v>
      </c>
      <c r="AJ125" s="53">
        <f t="shared" si="123"/>
        <v>18394349.655616146</v>
      </c>
      <c r="AK125" s="53">
        <f t="shared" si="123"/>
        <v>19387223.89850229</v>
      </c>
      <c r="AL125" s="53">
        <f t="shared" si="123"/>
        <v>20416097.840241965</v>
      </c>
      <c r="AM125" s="53">
        <f t="shared" si="123"/>
        <v>21482104.410317142</v>
      </c>
      <c r="AN125" s="53">
        <f t="shared" si="123"/>
        <v>22586409.679373547</v>
      </c>
      <c r="AO125" s="53">
        <f t="shared" si="123"/>
        <v>23730213.786497984</v>
      </c>
      <c r="AP125" s="53">
        <f t="shared" si="123"/>
        <v>24914751.891678389</v>
      </c>
      <c r="AQ125" s="53">
        <f t="shared" si="123"/>
        <v>26141295.154116824</v>
      </c>
    </row>
    <row r="126" spans="1:43" s="16" customFormat="1" hidden="1" outlineLevel="5">
      <c r="A126" s="53"/>
      <c r="B126" s="53"/>
      <c r="C126" s="53"/>
      <c r="D126" s="53"/>
      <c r="E126" s="53"/>
      <c r="F126" s="53" t="s">
        <v>350</v>
      </c>
      <c r="G126" s="53"/>
      <c r="H126" s="53">
        <f t="shared" ref="H126:AQ126" si="124">H36</f>
        <v>76.548078213964175</v>
      </c>
      <c r="I126" s="53">
        <f t="shared" si="124"/>
        <v>93.484386756912514</v>
      </c>
      <c r="J126" s="53">
        <f t="shared" si="124"/>
        <v>111.07069060413205</v>
      </c>
      <c r="K126" s="53">
        <f t="shared" si="124"/>
        <v>129.32630055290642</v>
      </c>
      <c r="L126" s="53">
        <f t="shared" si="124"/>
        <v>148.27104202325017</v>
      </c>
      <c r="M126" s="53">
        <f t="shared" si="124"/>
        <v>167.92526797250449</v>
      </c>
      <c r="N126" s="53">
        <f t="shared" si="124"/>
        <v>188.30987212196604</v>
      </c>
      <c r="O126" s="53">
        <f t="shared" si="124"/>
        <v>209.44630250289219</v>
      </c>
      <c r="P126" s="53">
        <f t="shared" si="124"/>
        <v>231.35657532940238</v>
      </c>
      <c r="Q126" s="53">
        <f t="shared" si="124"/>
        <v>254.0632892059611</v>
      </c>
      <c r="R126" s="53">
        <f t="shared" si="124"/>
        <v>277.58963967731205</v>
      </c>
      <c r="S126" s="53">
        <f t="shared" si="124"/>
        <v>301.95943412891046</v>
      </c>
      <c r="T126" s="53">
        <f t="shared" si="124"/>
        <v>327.19710704608849</v>
      </c>
      <c r="U126" s="53">
        <f t="shared" si="124"/>
        <v>353.32773564037905</v>
      </c>
      <c r="V126" s="53">
        <f t="shared" si="124"/>
        <v>380.37705585161228</v>
      </c>
      <c r="W126" s="53">
        <f t="shared" si="124"/>
        <v>408.37147873460862</v>
      </c>
      <c r="X126" s="53">
        <f t="shared" si="124"/>
        <v>437.33810723948142</v>
      </c>
      <c r="Y126" s="53">
        <f t="shared" si="124"/>
        <v>467.30475339478437</v>
      </c>
      <c r="Z126" s="53">
        <f t="shared" si="124"/>
        <v>498.29995590293959</v>
      </c>
      <c r="AA126" s="53">
        <f t="shared" si="124"/>
        <v>530.35299815760595</v>
      </c>
      <c r="AB126" s="53">
        <f t="shared" si="124"/>
        <v>563.49392669286942</v>
      </c>
      <c r="AC126" s="53">
        <f t="shared" si="124"/>
        <v>597.75357007436355</v>
      </c>
      <c r="AD126" s="53">
        <f t="shared" si="124"/>
        <v>633.1635582426577</v>
      </c>
      <c r="AE126" s="53">
        <f t="shared" si="124"/>
        <v>669.75634231949368</v>
      </c>
      <c r="AF126" s="53">
        <f t="shared" si="124"/>
        <v>707.56521488769476</v>
      </c>
      <c r="AG126" s="53">
        <f t="shared" si="124"/>
        <v>746.6243307558118</v>
      </c>
      <c r="AH126" s="53">
        <f t="shared" si="124"/>
        <v>786.96872821883574</v>
      </c>
      <c r="AI126" s="53">
        <f t="shared" si="124"/>
        <v>828.63435082656133</v>
      </c>
      <c r="AJ126" s="53">
        <f t="shared" si="124"/>
        <v>871.6580696714492</v>
      </c>
      <c r="AK126" s="53">
        <f t="shared" si="124"/>
        <v>916.07770620811436</v>
      </c>
      <c r="AL126" s="53">
        <f t="shared" si="124"/>
        <v>961.93205561684078</v>
      </c>
      <c r="AM126" s="53">
        <f t="shared" si="124"/>
        <v>1009.2609107238098</v>
      </c>
      <c r="AN126" s="53">
        <f t="shared" si="124"/>
        <v>1058.1050864910076</v>
      </c>
      <c r="AO126" s="53">
        <f t="shared" si="124"/>
        <v>1108.5064450891141</v>
      </c>
      <c r="AP126" s="53">
        <f t="shared" si="124"/>
        <v>1160.5079215669198</v>
      </c>
      <c r="AQ126" s="53">
        <f t="shared" si="124"/>
        <v>1214.1535501311816</v>
      </c>
    </row>
    <row r="127" spans="1:43" s="16" customFormat="1" hidden="1" outlineLevel="5">
      <c r="A127" s="53"/>
      <c r="B127" s="53"/>
      <c r="C127" s="53"/>
      <c r="D127" s="53"/>
      <c r="E127" s="53"/>
      <c r="F127" s="53" t="s">
        <v>416</v>
      </c>
      <c r="G127" s="53"/>
      <c r="H127" s="53">
        <f t="shared" ref="H127:AQ127" si="125">H115</f>
        <v>19475</v>
      </c>
      <c r="I127" s="53">
        <f t="shared" si="125"/>
        <v>19530.910752554017</v>
      </c>
      <c r="J127" s="53">
        <f t="shared" si="125"/>
        <v>19586.982019215924</v>
      </c>
      <c r="K127" s="53">
        <f t="shared" si="125"/>
        <v>19643.214260805467</v>
      </c>
      <c r="L127" s="53">
        <f t="shared" si="125"/>
        <v>19699.607939465361</v>
      </c>
      <c r="M127" s="53">
        <f t="shared" si="125"/>
        <v>19756.163518665086</v>
      </c>
      <c r="N127" s="53">
        <f t="shared" si="125"/>
        <v>19812.881463204689</v>
      </c>
      <c r="O127" s="53">
        <f t="shared" si="125"/>
        <v>19869.76223921862</v>
      </c>
      <c r="P127" s="53">
        <f t="shared" si="125"/>
        <v>19926.80631417955</v>
      </c>
      <c r="Q127" s="53">
        <f t="shared" si="125"/>
        <v>19984.014156902216</v>
      </c>
      <c r="R127" s="53">
        <f t="shared" si="125"/>
        <v>20041.386237547275</v>
      </c>
      <c r="S127" s="53">
        <f t="shared" si="125"/>
        <v>20098.923027625169</v>
      </c>
      <c r="T127" s="53">
        <f t="shared" si="125"/>
        <v>20156.625</v>
      </c>
      <c r="U127" s="53">
        <f t="shared" si="125"/>
        <v>20214.492628893408</v>
      </c>
      <c r="V127" s="53">
        <f t="shared" si="125"/>
        <v>20272.52638988848</v>
      </c>
      <c r="W127" s="53">
        <f t="shared" si="125"/>
        <v>20330.726759933656</v>
      </c>
      <c r="X127" s="53">
        <f t="shared" si="125"/>
        <v>20389.094217346646</v>
      </c>
      <c r="Y127" s="53">
        <f t="shared" si="125"/>
        <v>20447.629241818362</v>
      </c>
      <c r="Z127" s="53">
        <f t="shared" si="125"/>
        <v>20506.332314416853</v>
      </c>
      <c r="AA127" s="53">
        <f t="shared" si="125"/>
        <v>20565.203917591269</v>
      </c>
      <c r="AB127" s="53">
        <f t="shared" si="125"/>
        <v>20624.244535175832</v>
      </c>
      <c r="AC127" s="53">
        <f t="shared" si="125"/>
        <v>20683.454652393793</v>
      </c>
      <c r="AD127" s="53">
        <f t="shared" si="125"/>
        <v>20742.834755861426</v>
      </c>
      <c r="AE127" s="53">
        <f t="shared" si="125"/>
        <v>20802.38533359205</v>
      </c>
      <c r="AF127" s="53">
        <f t="shared" si="125"/>
        <v>20862.106874999998</v>
      </c>
      <c r="AG127" s="53">
        <f t="shared" si="125"/>
        <v>20921.999870904674</v>
      </c>
      <c r="AH127" s="53">
        <f t="shared" si="125"/>
        <v>20982.064813534573</v>
      </c>
      <c r="AI127" s="53">
        <f t="shared" si="125"/>
        <v>21042.302196531335</v>
      </c>
      <c r="AJ127" s="53">
        <f t="shared" si="125"/>
        <v>21102.712514953782</v>
      </c>
      <c r="AK127" s="53">
        <f t="shared" si="125"/>
        <v>21163.296265282002</v>
      </c>
      <c r="AL127" s="53">
        <f t="shared" si="125"/>
        <v>21224.053945421438</v>
      </c>
      <c r="AM127" s="53">
        <f t="shared" si="125"/>
        <v>21284.986054706962</v>
      </c>
      <c r="AN127" s="53">
        <f t="shared" si="125"/>
        <v>21346.093093906984</v>
      </c>
      <c r="AO127" s="53">
        <f t="shared" si="125"/>
        <v>21407.375565227576</v>
      </c>
      <c r="AP127" s="53">
        <f t="shared" si="125"/>
        <v>21468.833972316577</v>
      </c>
      <c r="AQ127" s="53">
        <f t="shared" si="125"/>
        <v>21530.468820267768</v>
      </c>
    </row>
    <row r="128" spans="1:43" s="16" customFormat="1" outlineLevel="4" collapsed="1">
      <c r="A128" s="53"/>
      <c r="B128" s="53"/>
      <c r="C128" s="53"/>
      <c r="D128" s="53"/>
      <c r="E128" s="53" t="s">
        <v>421</v>
      </c>
      <c r="F128" s="53"/>
      <c r="G128" s="53"/>
      <c r="H128" s="53">
        <f t="shared" ref="H128:AQ128" si="126">(H129*H130)</f>
        <v>100505.73641240917</v>
      </c>
      <c r="I128" s="53">
        <f t="shared" si="126"/>
        <v>126270.69865569087</v>
      </c>
      <c r="J128" s="53">
        <f t="shared" si="126"/>
        <v>153111.36987757101</v>
      </c>
      <c r="K128" s="53">
        <f t="shared" si="126"/>
        <v>181062.39292697472</v>
      </c>
      <c r="L128" s="53">
        <f t="shared" si="126"/>
        <v>210159.40940174804</v>
      </c>
      <c r="M128" s="53">
        <f t="shared" si="126"/>
        <v>240439.08672026277</v>
      </c>
      <c r="N128" s="53">
        <f t="shared" si="126"/>
        <v>271939.14589853474</v>
      </c>
      <c r="O128" s="53">
        <f t="shared" si="126"/>
        <v>304698.3900507479</v>
      </c>
      <c r="P128" s="53">
        <f t="shared" si="126"/>
        <v>338756.733631526</v>
      </c>
      <c r="Q128" s="53">
        <f t="shared" si="126"/>
        <v>374155.23243874125</v>
      </c>
      <c r="R128" s="53">
        <f t="shared" si="126"/>
        <v>410936.11439612805</v>
      </c>
      <c r="S128" s="53">
        <f t="shared" si="126"/>
        <v>449142.81113543367</v>
      </c>
      <c r="T128" s="53">
        <f t="shared" si="126"/>
        <v>488819.99039834389</v>
      </c>
      <c r="U128" s="53">
        <f t="shared" si="126"/>
        <v>530013.58927891008</v>
      </c>
      <c r="V128" s="53">
        <f t="shared" si="126"/>
        <v>572770.84832772671</v>
      </c>
      <c r="W128" s="53">
        <f t="shared" si="126"/>
        <v>617140.34653963137</v>
      </c>
      <c r="X128" s="53">
        <f t="shared" si="126"/>
        <v>663172.03724724229</v>
      </c>
      <c r="Y128" s="53">
        <f t="shared" si="126"/>
        <v>710917.28494319879</v>
      </c>
      <c r="Z128" s="53">
        <f t="shared" si="126"/>
        <v>760428.90305453714</v>
      </c>
      <c r="AA128" s="53">
        <f t="shared" si="126"/>
        <v>811761.19269321521</v>
      </c>
      <c r="AB128" s="53">
        <f t="shared" si="126"/>
        <v>864969.98240739747</v>
      </c>
      <c r="AC128" s="53">
        <f t="shared" si="126"/>
        <v>920112.66895871062</v>
      </c>
      <c r="AD128" s="53">
        <f t="shared" si="126"/>
        <v>977248.25915131625</v>
      </c>
      <c r="AE128" s="53">
        <f t="shared" si="126"/>
        <v>1036437.4127392769</v>
      </c>
      <c r="AF128" s="53">
        <f t="shared" si="126"/>
        <v>1097742.4864393584</v>
      </c>
      <c r="AG128" s="53">
        <f t="shared" si="126"/>
        <v>1161227.5790770629</v>
      </c>
      <c r="AH128" s="53">
        <f t="shared" si="126"/>
        <v>1226958.5778943901</v>
      </c>
      <c r="AI128" s="53">
        <f t="shared" si="126"/>
        <v>1295003.2060485305</v>
      </c>
      <c r="AJ128" s="53">
        <f t="shared" si="126"/>
        <v>1365431.0713313983</v>
      </c>
      <c r="AK128" s="53">
        <f t="shared" si="126"/>
        <v>1438313.7161406581</v>
      </c>
      <c r="AL128" s="53">
        <f t="shared" si="126"/>
        <v>1513724.6687336788</v>
      </c>
      <c r="AM128" s="53">
        <f t="shared" si="126"/>
        <v>1591739.4957965782</v>
      </c>
      <c r="AN128" s="53">
        <f t="shared" si="126"/>
        <v>1672435.8563613405</v>
      </c>
      <c r="AO128" s="53">
        <f t="shared" si="126"/>
        <v>1755893.5571048402</v>
      </c>
      <c r="AP128" s="53">
        <f t="shared" si="126"/>
        <v>1842194.6090643313</v>
      </c>
      <c r="AQ128" s="53">
        <f t="shared" si="126"/>
        <v>1931423.2858049592</v>
      </c>
    </row>
    <row r="129" spans="1:43" s="16" customFormat="1" hidden="1" outlineLevel="5">
      <c r="A129" s="53"/>
      <c r="B129" s="53"/>
      <c r="C129" s="53"/>
      <c r="D129" s="53"/>
      <c r="E129" s="53"/>
      <c r="F129" s="53" t="s">
        <v>395</v>
      </c>
      <c r="G129" s="53"/>
      <c r="H129" s="53">
        <f t="shared" ref="H129:AQ129" si="127">H89</f>
        <v>5.1607566835640135</v>
      </c>
      <c r="I129" s="53">
        <f t="shared" si="127"/>
        <v>6.4651720677786981</v>
      </c>
      <c r="J129" s="53">
        <f t="shared" si="127"/>
        <v>7.8169964993769936</v>
      </c>
      <c r="K129" s="53">
        <f t="shared" si="127"/>
        <v>9.2175542415302392</v>
      </c>
      <c r="L129" s="53">
        <f t="shared" si="127"/>
        <v>10.668202638729859</v>
      </c>
      <c r="M129" s="53">
        <f t="shared" si="127"/>
        <v>12.170332893484227</v>
      </c>
      <c r="N129" s="53">
        <f t="shared" si="127"/>
        <v>13.725370860546663</v>
      </c>
      <c r="O129" s="53">
        <f t="shared" si="127"/>
        <v>15.334777859059585</v>
      </c>
      <c r="P129" s="53">
        <f t="shared" si="127"/>
        <v>17.000051503008432</v>
      </c>
      <c r="Q129" s="53">
        <f t="shared" si="127"/>
        <v>18.722726550386923</v>
      </c>
      <c r="R129" s="53">
        <f t="shared" si="127"/>
        <v>20.50437577148454</v>
      </c>
      <c r="S129" s="53">
        <f t="shared" si="127"/>
        <v>22.346610836715218</v>
      </c>
      <c r="T129" s="53">
        <f t="shared" si="127"/>
        <v>24.251083224415986</v>
      </c>
      <c r="U129" s="53">
        <f t="shared" si="127"/>
        <v>26.219485149052904</v>
      </c>
      <c r="V129" s="53">
        <f t="shared" si="127"/>
        <v>28.253550510281393</v>
      </c>
      <c r="W129" s="53">
        <f t="shared" si="127"/>
        <v>30.35505586331756</v>
      </c>
      <c r="X129" s="53">
        <f t="shared" si="127"/>
        <v>32.52582141108693</v>
      </c>
      <c r="Y129" s="53">
        <f t="shared" si="127"/>
        <v>34.76771201862708</v>
      </c>
      <c r="Z129" s="53">
        <f t="shared" si="127"/>
        <v>37.082638250230744</v>
      </c>
      <c r="AA129" s="53">
        <f t="shared" si="127"/>
        <v>39.472557429826544</v>
      </c>
      <c r="AB129" s="53">
        <f t="shared" si="127"/>
        <v>41.939474725105278</v>
      </c>
      <c r="AC129" s="53">
        <f t="shared" si="127"/>
        <v>44.485444255910203</v>
      </c>
      <c r="AD129" s="53">
        <f t="shared" si="127"/>
        <v>47.112570227421273</v>
      </c>
      <c r="AE129" s="53">
        <f t="shared" si="127"/>
        <v>49.823008088674328</v>
      </c>
      <c r="AF129" s="53">
        <f t="shared" si="127"/>
        <v>52.618965716968532</v>
      </c>
      <c r="AG129" s="53">
        <f t="shared" si="127"/>
        <v>55.502704628725873</v>
      </c>
      <c r="AH129" s="53">
        <f t="shared" si="127"/>
        <v>58.476541217379854</v>
      </c>
      <c r="AI129" s="53">
        <f t="shared" si="127"/>
        <v>61.542848018882751</v>
      </c>
      <c r="AJ129" s="53">
        <f t="shared" si="127"/>
        <v>64.704055005432494</v>
      </c>
      <c r="AK129" s="53">
        <f t="shared" si="127"/>
        <v>67.962650908033893</v>
      </c>
      <c r="AL129" s="53">
        <f t="shared" si="127"/>
        <v>71.321184568522412</v>
      </c>
      <c r="AM129" s="53">
        <f t="shared" si="127"/>
        <v>74.782266321691154</v>
      </c>
      <c r="AN129" s="53">
        <f t="shared" si="127"/>
        <v>78.348569408175194</v>
      </c>
      <c r="AO129" s="53">
        <f t="shared" si="127"/>
        <v>82.022831418764511</v>
      </c>
      <c r="AP129" s="53">
        <f t="shared" si="127"/>
        <v>85.807855770825114</v>
      </c>
      <c r="AQ129" s="53">
        <f t="shared" si="127"/>
        <v>89.70651321752959</v>
      </c>
    </row>
    <row r="130" spans="1:43" s="16" customFormat="1" hidden="1" outlineLevel="5">
      <c r="A130" s="53"/>
      <c r="B130" s="53"/>
      <c r="C130" s="53"/>
      <c r="D130" s="53"/>
      <c r="E130" s="53"/>
      <c r="F130" s="53" t="s">
        <v>416</v>
      </c>
      <c r="G130" s="53"/>
      <c r="H130" s="53">
        <f t="shared" ref="H130:AQ130" si="128">H115</f>
        <v>19475</v>
      </c>
      <c r="I130" s="53">
        <f t="shared" si="128"/>
        <v>19530.910752554017</v>
      </c>
      <c r="J130" s="53">
        <f t="shared" si="128"/>
        <v>19586.982019215924</v>
      </c>
      <c r="K130" s="53">
        <f t="shared" si="128"/>
        <v>19643.214260805467</v>
      </c>
      <c r="L130" s="53">
        <f t="shared" si="128"/>
        <v>19699.607939465361</v>
      </c>
      <c r="M130" s="53">
        <f t="shared" si="128"/>
        <v>19756.163518665086</v>
      </c>
      <c r="N130" s="53">
        <f t="shared" si="128"/>
        <v>19812.881463204689</v>
      </c>
      <c r="O130" s="53">
        <f t="shared" si="128"/>
        <v>19869.76223921862</v>
      </c>
      <c r="P130" s="53">
        <f t="shared" si="128"/>
        <v>19926.80631417955</v>
      </c>
      <c r="Q130" s="53">
        <f t="shared" si="128"/>
        <v>19984.014156902216</v>
      </c>
      <c r="R130" s="53">
        <f t="shared" si="128"/>
        <v>20041.386237547275</v>
      </c>
      <c r="S130" s="53">
        <f t="shared" si="128"/>
        <v>20098.923027625169</v>
      </c>
      <c r="T130" s="53">
        <f t="shared" si="128"/>
        <v>20156.625</v>
      </c>
      <c r="U130" s="53">
        <f t="shared" si="128"/>
        <v>20214.492628893408</v>
      </c>
      <c r="V130" s="53">
        <f t="shared" si="128"/>
        <v>20272.52638988848</v>
      </c>
      <c r="W130" s="53">
        <f t="shared" si="128"/>
        <v>20330.726759933656</v>
      </c>
      <c r="X130" s="53">
        <f t="shared" si="128"/>
        <v>20389.094217346646</v>
      </c>
      <c r="Y130" s="53">
        <f t="shared" si="128"/>
        <v>20447.629241818362</v>
      </c>
      <c r="Z130" s="53">
        <f t="shared" si="128"/>
        <v>20506.332314416853</v>
      </c>
      <c r="AA130" s="53">
        <f t="shared" si="128"/>
        <v>20565.203917591269</v>
      </c>
      <c r="AB130" s="53">
        <f t="shared" si="128"/>
        <v>20624.244535175832</v>
      </c>
      <c r="AC130" s="53">
        <f t="shared" si="128"/>
        <v>20683.454652393793</v>
      </c>
      <c r="AD130" s="53">
        <f t="shared" si="128"/>
        <v>20742.834755861426</v>
      </c>
      <c r="AE130" s="53">
        <f t="shared" si="128"/>
        <v>20802.38533359205</v>
      </c>
      <c r="AF130" s="53">
        <f t="shared" si="128"/>
        <v>20862.106874999998</v>
      </c>
      <c r="AG130" s="53">
        <f t="shared" si="128"/>
        <v>20921.999870904674</v>
      </c>
      <c r="AH130" s="53">
        <f t="shared" si="128"/>
        <v>20982.064813534573</v>
      </c>
      <c r="AI130" s="53">
        <f t="shared" si="128"/>
        <v>21042.302196531335</v>
      </c>
      <c r="AJ130" s="53">
        <f t="shared" si="128"/>
        <v>21102.712514953782</v>
      </c>
      <c r="AK130" s="53">
        <f t="shared" si="128"/>
        <v>21163.296265282002</v>
      </c>
      <c r="AL130" s="53">
        <f t="shared" si="128"/>
        <v>21224.053945421438</v>
      </c>
      <c r="AM130" s="53">
        <f t="shared" si="128"/>
        <v>21284.986054706962</v>
      </c>
      <c r="AN130" s="53">
        <f t="shared" si="128"/>
        <v>21346.093093906984</v>
      </c>
      <c r="AO130" s="53">
        <f t="shared" si="128"/>
        <v>21407.375565227576</v>
      </c>
      <c r="AP130" s="53">
        <f t="shared" si="128"/>
        <v>21468.833972316577</v>
      </c>
      <c r="AQ130" s="53">
        <f t="shared" si="128"/>
        <v>21530.468820267768</v>
      </c>
    </row>
    <row r="131" spans="1:43" s="16" customFormat="1" outlineLevel="4" collapsed="1">
      <c r="A131" s="53"/>
      <c r="B131" s="53"/>
      <c r="C131" s="53"/>
      <c r="D131" s="53"/>
      <c r="E131" s="53" t="s">
        <v>422</v>
      </c>
      <c r="F131" s="53"/>
      <c r="G131" s="53"/>
      <c r="H131" s="53">
        <f t="shared" ref="H131:AQ131" si="129">(H132*H133)</f>
        <v>819997.22989965254</v>
      </c>
      <c r="I131" s="53">
        <f t="shared" si="129"/>
        <v>961772.71724919823</v>
      </c>
      <c r="J131" s="53">
        <f t="shared" si="129"/>
        <v>1109671.3312429402</v>
      </c>
      <c r="K131" s="53">
        <f t="shared" si="129"/>
        <v>1263900.6529099583</v>
      </c>
      <c r="L131" s="53">
        <f t="shared" si="129"/>
        <v>1424674.5968287052</v>
      </c>
      <c r="M131" s="53">
        <f t="shared" si="129"/>
        <v>1592213.5932864065</v>
      </c>
      <c r="N131" s="53">
        <f t="shared" si="129"/>
        <v>1766744.7754836972</v>
      </c>
      <c r="O131" s="53">
        <f t="shared" si="129"/>
        <v>1948502.1719206215</v>
      </c>
      <c r="P131" s="53">
        <f t="shared" si="129"/>
        <v>2137726.9041037639</v>
      </c>
      <c r="Q131" s="53">
        <f t="shared" si="129"/>
        <v>2334667.3897179454</v>
      </c>
      <c r="R131" s="53">
        <f t="shared" si="129"/>
        <v>2539579.5514097265</v>
      </c>
      <c r="S131" s="53">
        <f t="shared" si="129"/>
        <v>2752727.0313338581</v>
      </c>
      <c r="T131" s="53">
        <f t="shared" si="129"/>
        <v>2974381.4116178071</v>
      </c>
      <c r="U131" s="53">
        <f t="shared" si="129"/>
        <v>3204822.4409036012</v>
      </c>
      <c r="V131" s="53">
        <f t="shared" si="129"/>
        <v>3444338.2671304047</v>
      </c>
      <c r="W131" s="53">
        <f t="shared" si="129"/>
        <v>3693225.676725613</v>
      </c>
      <c r="X131" s="53">
        <f t="shared" si="129"/>
        <v>3951790.3403766109</v>
      </c>
      <c r="Y131" s="53">
        <f t="shared" si="129"/>
        <v>4220347.0655599823</v>
      </c>
      <c r="Z131" s="53">
        <f t="shared" si="129"/>
        <v>4499220.0560094733</v>
      </c>
      <c r="AA131" s="53">
        <f t="shared" si="129"/>
        <v>4788743.1783089843</v>
      </c>
      <c r="AB131" s="53">
        <f t="shared" si="129"/>
        <v>5089260.2358015869</v>
      </c>
      <c r="AC131" s="53">
        <f t="shared" si="129"/>
        <v>5401125.250010727</v>
      </c>
      <c r="AD131" s="53">
        <f t="shared" si="129"/>
        <v>5724702.7497749133</v>
      </c>
      <c r="AE131" s="53">
        <f t="shared" si="129"/>
        <v>6060368.0683024172</v>
      </c>
      <c r="AF131" s="53">
        <f t="shared" si="129"/>
        <v>6408507.6483580964</v>
      </c>
      <c r="AG131" s="53">
        <f t="shared" si="129"/>
        <v>6769519.3557998585</v>
      </c>
      <c r="AH131" s="53">
        <f t="shared" si="129"/>
        <v>7143812.8016881645</v>
      </c>
      <c r="AI131" s="53">
        <f t="shared" si="129"/>
        <v>7531809.6731977444</v>
      </c>
      <c r="AJ131" s="53">
        <f t="shared" si="129"/>
        <v>7933944.0735667469</v>
      </c>
      <c r="AK131" s="53">
        <f t="shared" si="129"/>
        <v>8350662.8713247888</v>
      </c>
      <c r="AL131" s="53">
        <f t="shared" si="129"/>
        <v>8782426.059047604</v>
      </c>
      <c r="AM131" s="53">
        <f t="shared" si="129"/>
        <v>9229707.1218926087</v>
      </c>
      <c r="AN131" s="53">
        <f t="shared" si="129"/>
        <v>9692993.416176239</v>
      </c>
      <c r="AO131" s="53">
        <f t="shared" si="129"/>
        <v>10172786.558261026</v>
      </c>
      <c r="AP131" s="53">
        <f t="shared" si="129"/>
        <v>10669602.824026998</v>
      </c>
      <c r="AQ131" s="53">
        <f t="shared" si="129"/>
        <v>11183973.559209637</v>
      </c>
    </row>
    <row r="132" spans="1:43" s="16" customFormat="1" hidden="1" outlineLevel="5">
      <c r="A132" s="53"/>
      <c r="B132" s="53"/>
      <c r="C132" s="53"/>
      <c r="D132" s="53"/>
      <c r="E132" s="53"/>
      <c r="F132" s="53" t="s">
        <v>363</v>
      </c>
      <c r="G132" s="53"/>
      <c r="H132" s="53">
        <f t="shared" ref="H132:AQ132" si="130">H51</f>
        <v>42.105120919109247</v>
      </c>
      <c r="I132" s="53">
        <f t="shared" si="130"/>
        <v>49.243618458674753</v>
      </c>
      <c r="J132" s="53">
        <f t="shared" si="130"/>
        <v>56.6535125296123</v>
      </c>
      <c r="K132" s="53">
        <f t="shared" si="130"/>
        <v>64.342863450400102</v>
      </c>
      <c r="L132" s="53">
        <f t="shared" si="130"/>
        <v>72.319946732268335</v>
      </c>
      <c r="M132" s="53">
        <f t="shared" si="130"/>
        <v>80.593258492830671</v>
      </c>
      <c r="N132" s="53">
        <f t="shared" si="130"/>
        <v>89.171521000859514</v>
      </c>
      <c r="O132" s="53">
        <f t="shared" si="130"/>
        <v>98.063688355298936</v>
      </c>
      <c r="P132" s="53">
        <f t="shared" si="130"/>
        <v>107.27895230168403</v>
      </c>
      <c r="Q132" s="53">
        <f t="shared" si="130"/>
        <v>116.82674818920611</v>
      </c>
      <c r="R132" s="53">
        <f t="shared" si="130"/>
        <v>126.71676107173951</v>
      </c>
      <c r="S132" s="53">
        <f t="shared" si="130"/>
        <v>136.95893195622196</v>
      </c>
      <c r="T132" s="53">
        <f t="shared" si="130"/>
        <v>147.56346420185955</v>
      </c>
      <c r="U132" s="53">
        <f t="shared" si="130"/>
        <v>158.54083007370744</v>
      </c>
      <c r="V132" s="53">
        <f t="shared" si="130"/>
        <v>169.901777454258</v>
      </c>
      <c r="W132" s="53">
        <f t="shared" si="130"/>
        <v>181.65733671675517</v>
      </c>
      <c r="X132" s="53">
        <f t="shared" si="130"/>
        <v>193.81882776403594</v>
      </c>
      <c r="Y132" s="53">
        <f t="shared" si="130"/>
        <v>206.39786723679248</v>
      </c>
      <c r="Z132" s="53">
        <f t="shared" si="130"/>
        <v>219.40637589523135</v>
      </c>
      <c r="AA132" s="53">
        <f t="shared" si="130"/>
        <v>232.85658617820664</v>
      </c>
      <c r="AB132" s="53">
        <f t="shared" si="130"/>
        <v>246.76104994399003</v>
      </c>
      <c r="AC132" s="53">
        <f t="shared" si="130"/>
        <v>261.13264639694171</v>
      </c>
      <c r="AD132" s="53">
        <f t="shared" si="130"/>
        <v>275.98459020444398</v>
      </c>
      <c r="AE132" s="53">
        <f t="shared" si="130"/>
        <v>291.33043980855552</v>
      </c>
      <c r="AF132" s="53">
        <f t="shared" si="130"/>
        <v>307.18410593695597</v>
      </c>
      <c r="AG132" s="53">
        <f t="shared" si="130"/>
        <v>323.55986031784363</v>
      </c>
      <c r="AH132" s="53">
        <f t="shared" si="130"/>
        <v>340.47234460356907</v>
      </c>
      <c r="AI132" s="53">
        <f t="shared" si="130"/>
        <v>357.93657950788798</v>
      </c>
      <c r="AJ132" s="53">
        <f t="shared" si="130"/>
        <v>375.96797416183364</v>
      </c>
      <c r="AK132" s="53">
        <f t="shared" si="130"/>
        <v>394.58233569332475</v>
      </c>
      <c r="AL132" s="53">
        <f t="shared" si="130"/>
        <v>413.79587903573878</v>
      </c>
      <c r="AM132" s="53">
        <f t="shared" si="130"/>
        <v>433.6252369708061</v>
      </c>
      <c r="AN132" s="53">
        <f t="shared" si="130"/>
        <v>454.08747041129516</v>
      </c>
      <c r="AO132" s="53">
        <f t="shared" si="130"/>
        <v>475.20007892909979</v>
      </c>
      <c r="AP132" s="53">
        <f t="shared" si="130"/>
        <v>496.98101153444725</v>
      </c>
      <c r="AQ132" s="53">
        <f t="shared" si="130"/>
        <v>519.44867771209761</v>
      </c>
    </row>
    <row r="133" spans="1:43" s="16" customFormat="1" hidden="1" outlineLevel="5">
      <c r="A133" s="53"/>
      <c r="B133" s="53"/>
      <c r="C133" s="53"/>
      <c r="D133" s="53"/>
      <c r="E133" s="53"/>
      <c r="F133" s="53" t="s">
        <v>416</v>
      </c>
      <c r="G133" s="53"/>
      <c r="H133" s="53">
        <f t="shared" ref="H133:AQ133" si="131">H115</f>
        <v>19475</v>
      </c>
      <c r="I133" s="53">
        <f t="shared" si="131"/>
        <v>19530.910752554017</v>
      </c>
      <c r="J133" s="53">
        <f t="shared" si="131"/>
        <v>19586.982019215924</v>
      </c>
      <c r="K133" s="53">
        <f t="shared" si="131"/>
        <v>19643.214260805467</v>
      </c>
      <c r="L133" s="53">
        <f t="shared" si="131"/>
        <v>19699.607939465361</v>
      </c>
      <c r="M133" s="53">
        <f t="shared" si="131"/>
        <v>19756.163518665086</v>
      </c>
      <c r="N133" s="53">
        <f t="shared" si="131"/>
        <v>19812.881463204689</v>
      </c>
      <c r="O133" s="53">
        <f t="shared" si="131"/>
        <v>19869.76223921862</v>
      </c>
      <c r="P133" s="53">
        <f t="shared" si="131"/>
        <v>19926.80631417955</v>
      </c>
      <c r="Q133" s="53">
        <f t="shared" si="131"/>
        <v>19984.014156902216</v>
      </c>
      <c r="R133" s="53">
        <f t="shared" si="131"/>
        <v>20041.386237547275</v>
      </c>
      <c r="S133" s="53">
        <f t="shared" si="131"/>
        <v>20098.923027625169</v>
      </c>
      <c r="T133" s="53">
        <f t="shared" si="131"/>
        <v>20156.625</v>
      </c>
      <c r="U133" s="53">
        <f t="shared" si="131"/>
        <v>20214.492628893408</v>
      </c>
      <c r="V133" s="53">
        <f t="shared" si="131"/>
        <v>20272.52638988848</v>
      </c>
      <c r="W133" s="53">
        <f t="shared" si="131"/>
        <v>20330.726759933656</v>
      </c>
      <c r="X133" s="53">
        <f t="shared" si="131"/>
        <v>20389.094217346646</v>
      </c>
      <c r="Y133" s="53">
        <f t="shared" si="131"/>
        <v>20447.629241818362</v>
      </c>
      <c r="Z133" s="53">
        <f t="shared" si="131"/>
        <v>20506.332314416853</v>
      </c>
      <c r="AA133" s="53">
        <f t="shared" si="131"/>
        <v>20565.203917591269</v>
      </c>
      <c r="AB133" s="53">
        <f t="shared" si="131"/>
        <v>20624.244535175832</v>
      </c>
      <c r="AC133" s="53">
        <f t="shared" si="131"/>
        <v>20683.454652393793</v>
      </c>
      <c r="AD133" s="53">
        <f t="shared" si="131"/>
        <v>20742.834755861426</v>
      </c>
      <c r="AE133" s="53">
        <f t="shared" si="131"/>
        <v>20802.38533359205</v>
      </c>
      <c r="AF133" s="53">
        <f t="shared" si="131"/>
        <v>20862.106874999998</v>
      </c>
      <c r="AG133" s="53">
        <f t="shared" si="131"/>
        <v>20921.999870904674</v>
      </c>
      <c r="AH133" s="53">
        <f t="shared" si="131"/>
        <v>20982.064813534573</v>
      </c>
      <c r="AI133" s="53">
        <f t="shared" si="131"/>
        <v>21042.302196531335</v>
      </c>
      <c r="AJ133" s="53">
        <f t="shared" si="131"/>
        <v>21102.712514953782</v>
      </c>
      <c r="AK133" s="53">
        <f t="shared" si="131"/>
        <v>21163.296265282002</v>
      </c>
      <c r="AL133" s="53">
        <f t="shared" si="131"/>
        <v>21224.053945421438</v>
      </c>
      <c r="AM133" s="53">
        <f t="shared" si="131"/>
        <v>21284.986054706962</v>
      </c>
      <c r="AN133" s="53">
        <f t="shared" si="131"/>
        <v>21346.093093906984</v>
      </c>
      <c r="AO133" s="53">
        <f t="shared" si="131"/>
        <v>21407.375565227576</v>
      </c>
      <c r="AP133" s="53">
        <f t="shared" si="131"/>
        <v>21468.833972316577</v>
      </c>
      <c r="AQ133" s="53">
        <f t="shared" si="131"/>
        <v>21530.468820267768</v>
      </c>
    </row>
    <row r="134" spans="1:43" s="16" customFormat="1" outlineLevel="4" collapsed="1">
      <c r="A134" s="53"/>
      <c r="B134" s="53"/>
      <c r="C134" s="53"/>
      <c r="D134" s="53"/>
      <c r="E134" s="53" t="s">
        <v>423</v>
      </c>
      <c r="F134" s="53"/>
      <c r="G134" s="53"/>
      <c r="H134" s="53">
        <f t="shared" ref="H134:AQ134" si="132">(H135*H136)</f>
        <v>32068.019329089933</v>
      </c>
      <c r="I134" s="53">
        <f t="shared" si="132"/>
        <v>38030.504441187288</v>
      </c>
      <c r="J134" s="53">
        <f t="shared" si="132"/>
        <v>44240.711887423851</v>
      </c>
      <c r="K134" s="53">
        <f t="shared" si="132"/>
        <v>50706.659753208958</v>
      </c>
      <c r="L134" s="53">
        <f t="shared" si="132"/>
        <v>57436.598862791194</v>
      </c>
      <c r="M134" s="53">
        <f t="shared" si="132"/>
        <v>64439.01913165344</v>
      </c>
      <c r="N134" s="53">
        <f t="shared" si="132"/>
        <v>71722.65608555096</v>
      </c>
      <c r="O134" s="53">
        <f t="shared" si="132"/>
        <v>79296.497550444372</v>
      </c>
      <c r="P134" s="53">
        <f t="shared" si="132"/>
        <v>87169.790517687361</v>
      </c>
      <c r="Q134" s="53">
        <f t="shared" si="132"/>
        <v>95352.048188934976</v>
      </c>
      <c r="R134" s="53">
        <f t="shared" si="132"/>
        <v>103853.05720535343</v>
      </c>
      <c r="S134" s="53">
        <f t="shared" si="132"/>
        <v>112682.88506582336</v>
      </c>
      <c r="T134" s="53">
        <f t="shared" si="132"/>
        <v>121851.88773894859</v>
      </c>
      <c r="U134" s="53">
        <f t="shared" si="132"/>
        <v>131370.71747380044</v>
      </c>
      <c r="V134" s="53">
        <f t="shared" si="132"/>
        <v>141250.33081445179</v>
      </c>
      <c r="W134" s="53">
        <f t="shared" si="132"/>
        <v>151501.99682347971</v>
      </c>
      <c r="X134" s="53">
        <f t="shared" si="132"/>
        <v>162137.30551974734</v>
      </c>
      <c r="Y134" s="53">
        <f t="shared" si="132"/>
        <v>173168.17653590514</v>
      </c>
      <c r="Z134" s="53">
        <f t="shared" si="132"/>
        <v>184606.86800118792</v>
      </c>
      <c r="AA134" s="53">
        <f t="shared" si="132"/>
        <v>196465.98565522465</v>
      </c>
      <c r="AB134" s="53">
        <f t="shared" si="132"/>
        <v>208758.49219871851</v>
      </c>
      <c r="AC134" s="53">
        <f t="shared" si="132"/>
        <v>221497.71688699935</v>
      </c>
      <c r="AD134" s="53">
        <f t="shared" si="132"/>
        <v>234697.36537260548</v>
      </c>
      <c r="AE134" s="53">
        <f t="shared" si="132"/>
        <v>248371.52980319542</v>
      </c>
      <c r="AF134" s="53">
        <f t="shared" si="132"/>
        <v>262534.69918125944</v>
      </c>
      <c r="AG134" s="53">
        <f t="shared" si="132"/>
        <v>277201.76999224653</v>
      </c>
      <c r="AH134" s="53">
        <f t="shared" si="132"/>
        <v>292388.0571079019</v>
      </c>
      <c r="AI134" s="53">
        <f t="shared" si="132"/>
        <v>308109.30497176741</v>
      </c>
      <c r="AJ134" s="53">
        <f t="shared" si="132"/>
        <v>324381.69907397486</v>
      </c>
      <c r="AK134" s="53">
        <f t="shared" si="132"/>
        <v>341221.87772264011</v>
      </c>
      <c r="AL134" s="53">
        <f t="shared" si="132"/>
        <v>358646.94411934394</v>
      </c>
      <c r="AM134" s="53">
        <f t="shared" si="132"/>
        <v>376674.47874637356</v>
      </c>
      <c r="AN134" s="53">
        <f t="shared" si="132"/>
        <v>395322.55207358603</v>
      </c>
      <c r="AO134" s="53">
        <f t="shared" si="132"/>
        <v>414609.73759295768</v>
      </c>
      <c r="AP134" s="53">
        <f t="shared" si="132"/>
        <v>434555.12518906966</v>
      </c>
      <c r="AQ134" s="53">
        <f t="shared" si="132"/>
        <v>455178.33485399809</v>
      </c>
    </row>
    <row r="135" spans="1:43" s="16" customFormat="1" hidden="1" outlineLevel="5">
      <c r="A135" s="53"/>
      <c r="B135" s="53"/>
      <c r="C135" s="53"/>
      <c r="D135" s="53"/>
      <c r="E135" s="53"/>
      <c r="F135" s="53" t="s">
        <v>404</v>
      </c>
      <c r="G135" s="53"/>
      <c r="H135" s="53">
        <f t="shared" ref="H135:AQ135" si="133">H100</f>
        <v>1.6466248692729106</v>
      </c>
      <c r="I135" s="53">
        <f t="shared" si="133"/>
        <v>1.9471956491437103</v>
      </c>
      <c r="J135" s="53">
        <f t="shared" si="133"/>
        <v>2.2586793536656766</v>
      </c>
      <c r="K135" s="53">
        <f t="shared" si="133"/>
        <v>2.5813830201091408</v>
      </c>
      <c r="L135" s="53">
        <f t="shared" si="133"/>
        <v>2.9156214194357211</v>
      </c>
      <c r="M135" s="53">
        <f t="shared" si="133"/>
        <v>3.2617172393199323</v>
      </c>
      <c r="N135" s="53">
        <f t="shared" si="133"/>
        <v>3.6200012713319882</v>
      </c>
      <c r="O135" s="53">
        <f t="shared" si="133"/>
        <v>3.990812602373782</v>
      </c>
      <c r="P135" s="53">
        <f t="shared" si="133"/>
        <v>4.3744988104621125</v>
      </c>
      <c r="Q135" s="53">
        <f t="shared" si="133"/>
        <v>4.7714161649551086</v>
      </c>
      <c r="R135" s="53">
        <f t="shared" si="133"/>
        <v>5.1819298313200557</v>
      </c>
      <c r="S135" s="53">
        <f t="shared" si="133"/>
        <v>5.606414080542784</v>
      </c>
      <c r="T135" s="53">
        <f t="shared" si="133"/>
        <v>6.0452525032811089</v>
      </c>
      <c r="U135" s="53">
        <f t="shared" si="133"/>
        <v>6.4988382288668909</v>
      </c>
      <c r="V135" s="53">
        <f t="shared" si="133"/>
        <v>6.9675741492636334</v>
      </c>
      <c r="W135" s="53">
        <f t="shared" si="133"/>
        <v>7.4518731480887856</v>
      </c>
      <c r="X135" s="53">
        <f t="shared" si="133"/>
        <v>7.9521583348123466</v>
      </c>
      <c r="Y135" s="53">
        <f t="shared" si="133"/>
        <v>8.4688632842457423</v>
      </c>
      <c r="Z135" s="53">
        <f t="shared" si="133"/>
        <v>9.0024322814373381</v>
      </c>
      <c r="AA135" s="53">
        <f t="shared" si="133"/>
        <v>9.5533205720936039</v>
      </c>
      <c r="AB135" s="53">
        <f t="shared" si="133"/>
        <v>10.121994618647433</v>
      </c>
      <c r="AC135" s="53">
        <f t="shared" si="133"/>
        <v>10.708932362097663</v>
      </c>
      <c r="AD135" s="53">
        <f t="shared" si="133"/>
        <v>11.314623489746774</v>
      </c>
      <c r="AE135" s="53">
        <f t="shared" si="133"/>
        <v>11.939569708966058</v>
      </c>
      <c r="AF135" s="53">
        <f t="shared" si="133"/>
        <v>12.584285027120947</v>
      </c>
      <c r="AG135" s="53">
        <f t="shared" si="133"/>
        <v>13.249296037791259</v>
      </c>
      <c r="AH135" s="53">
        <f t="shared" si="133"/>
        <v>13.935142213424854</v>
      </c>
      <c r="AI135" s="53">
        <f t="shared" si="133"/>
        <v>14.642376204565531</v>
      </c>
      <c r="AJ135" s="53">
        <f t="shared" si="133"/>
        <v>15.371564145799352</v>
      </c>
      <c r="AK135" s="53">
        <f t="shared" si="133"/>
        <v>16.123285968566641</v>
      </c>
      <c r="AL135" s="53">
        <f t="shared" si="133"/>
        <v>16.898135720989963</v>
      </c>
      <c r="AM135" s="53">
        <f t="shared" si="133"/>
        <v>17.696721894871796</v>
      </c>
      <c r="AN135" s="53">
        <f t="shared" si="133"/>
        <v>18.519667760018656</v>
      </c>
      <c r="AO135" s="53">
        <f t="shared" si="133"/>
        <v>19.367611706052212</v>
      </c>
      <c r="AP135" s="53">
        <f t="shared" si="133"/>
        <v>20.241207591870875</v>
      </c>
      <c r="AQ135" s="53">
        <f t="shared" si="133"/>
        <v>21.141125102929234</v>
      </c>
    </row>
    <row r="136" spans="1:43" s="16" customFormat="1" hidden="1" outlineLevel="5">
      <c r="A136" s="53"/>
      <c r="B136" s="53"/>
      <c r="C136" s="53"/>
      <c r="D136" s="53"/>
      <c r="E136" s="53"/>
      <c r="F136" s="53" t="s">
        <v>416</v>
      </c>
      <c r="G136" s="53"/>
      <c r="H136" s="53">
        <f t="shared" ref="H136:AQ136" si="134">H115</f>
        <v>19475</v>
      </c>
      <c r="I136" s="53">
        <f t="shared" si="134"/>
        <v>19530.910752554017</v>
      </c>
      <c r="J136" s="53">
        <f t="shared" si="134"/>
        <v>19586.982019215924</v>
      </c>
      <c r="K136" s="53">
        <f t="shared" si="134"/>
        <v>19643.214260805467</v>
      </c>
      <c r="L136" s="53">
        <f t="shared" si="134"/>
        <v>19699.607939465361</v>
      </c>
      <c r="M136" s="53">
        <f t="shared" si="134"/>
        <v>19756.163518665086</v>
      </c>
      <c r="N136" s="53">
        <f t="shared" si="134"/>
        <v>19812.881463204689</v>
      </c>
      <c r="O136" s="53">
        <f t="shared" si="134"/>
        <v>19869.76223921862</v>
      </c>
      <c r="P136" s="53">
        <f t="shared" si="134"/>
        <v>19926.80631417955</v>
      </c>
      <c r="Q136" s="53">
        <f t="shared" si="134"/>
        <v>19984.014156902216</v>
      </c>
      <c r="R136" s="53">
        <f t="shared" si="134"/>
        <v>20041.386237547275</v>
      </c>
      <c r="S136" s="53">
        <f t="shared" si="134"/>
        <v>20098.923027625169</v>
      </c>
      <c r="T136" s="53">
        <f t="shared" si="134"/>
        <v>20156.625</v>
      </c>
      <c r="U136" s="53">
        <f t="shared" si="134"/>
        <v>20214.492628893408</v>
      </c>
      <c r="V136" s="53">
        <f t="shared" si="134"/>
        <v>20272.52638988848</v>
      </c>
      <c r="W136" s="53">
        <f t="shared" si="134"/>
        <v>20330.726759933656</v>
      </c>
      <c r="X136" s="53">
        <f t="shared" si="134"/>
        <v>20389.094217346646</v>
      </c>
      <c r="Y136" s="53">
        <f t="shared" si="134"/>
        <v>20447.629241818362</v>
      </c>
      <c r="Z136" s="53">
        <f t="shared" si="134"/>
        <v>20506.332314416853</v>
      </c>
      <c r="AA136" s="53">
        <f t="shared" si="134"/>
        <v>20565.203917591269</v>
      </c>
      <c r="AB136" s="53">
        <f t="shared" si="134"/>
        <v>20624.244535175832</v>
      </c>
      <c r="AC136" s="53">
        <f t="shared" si="134"/>
        <v>20683.454652393793</v>
      </c>
      <c r="AD136" s="53">
        <f t="shared" si="134"/>
        <v>20742.834755861426</v>
      </c>
      <c r="AE136" s="53">
        <f t="shared" si="134"/>
        <v>20802.38533359205</v>
      </c>
      <c r="AF136" s="53">
        <f t="shared" si="134"/>
        <v>20862.106874999998</v>
      </c>
      <c r="AG136" s="53">
        <f t="shared" si="134"/>
        <v>20921.999870904674</v>
      </c>
      <c r="AH136" s="53">
        <f t="shared" si="134"/>
        <v>20982.064813534573</v>
      </c>
      <c r="AI136" s="53">
        <f t="shared" si="134"/>
        <v>21042.302196531335</v>
      </c>
      <c r="AJ136" s="53">
        <f t="shared" si="134"/>
        <v>21102.712514953782</v>
      </c>
      <c r="AK136" s="53">
        <f t="shared" si="134"/>
        <v>21163.296265282002</v>
      </c>
      <c r="AL136" s="53">
        <f t="shared" si="134"/>
        <v>21224.053945421438</v>
      </c>
      <c r="AM136" s="53">
        <f t="shared" si="134"/>
        <v>21284.986054706962</v>
      </c>
      <c r="AN136" s="53">
        <f t="shared" si="134"/>
        <v>21346.093093906984</v>
      </c>
      <c r="AO136" s="53">
        <f t="shared" si="134"/>
        <v>21407.375565227576</v>
      </c>
      <c r="AP136" s="53">
        <f t="shared" si="134"/>
        <v>21468.833972316577</v>
      </c>
      <c r="AQ136" s="53">
        <f t="shared" si="134"/>
        <v>21530.468820267768</v>
      </c>
    </row>
    <row r="137" spans="1:43" s="16" customFormat="1" outlineLevel="3">
      <c r="A137" s="53"/>
      <c r="B137" s="53"/>
      <c r="C137" s="53"/>
      <c r="D137" s="53" t="s">
        <v>424</v>
      </c>
      <c r="E137" s="53"/>
      <c r="F137" s="53"/>
      <c r="G137" s="53"/>
      <c r="H137" s="53">
        <f t="shared" ref="H137:AQ137" si="135">(((((((H138+H141)+H144)+H147)+H150)+H153)+H156)+H159)</f>
        <v>463079.25360706239</v>
      </c>
      <c r="I137" s="53">
        <f t="shared" si="135"/>
        <v>625271.40648124181</v>
      </c>
      <c r="J137" s="53">
        <f t="shared" si="135"/>
        <v>794706.70081300451</v>
      </c>
      <c r="K137" s="53">
        <f t="shared" si="135"/>
        <v>971633.56034770154</v>
      </c>
      <c r="L137" s="53">
        <f t="shared" si="135"/>
        <v>1156308.0382713138</v>
      </c>
      <c r="M137" s="53">
        <f t="shared" si="135"/>
        <v>1348994.0377488711</v>
      </c>
      <c r="N137" s="53">
        <f t="shared" si="135"/>
        <v>1549963.5386000809</v>
      </c>
      <c r="O137" s="53">
        <f t="shared" si="135"/>
        <v>1759496.8302785745</v>
      </c>
      <c r="P137" s="53">
        <f t="shared" si="135"/>
        <v>1977882.7513256569</v>
      </c>
      <c r="Q137" s="53">
        <f t="shared" si="135"/>
        <v>2205418.9354739385</v>
      </c>
      <c r="R137" s="53">
        <f t="shared" si="135"/>
        <v>2442412.0645809378</v>
      </c>
      <c r="S137" s="53">
        <f t="shared" si="135"/>
        <v>2689178.1285775024</v>
      </c>
      <c r="T137" s="53">
        <f t="shared" si="135"/>
        <v>2946042.6926208264</v>
      </c>
      <c r="U137" s="53">
        <f t="shared" si="135"/>
        <v>3213341.1716468893</v>
      </c>
      <c r="V137" s="53">
        <f t="shared" si="135"/>
        <v>3491419.1125222738</v>
      </c>
      <c r="W137" s="53">
        <f t="shared" si="135"/>
        <v>3780632.4840007089</v>
      </c>
      <c r="X137" s="53">
        <f t="shared" si="135"/>
        <v>4081347.9746950455</v>
      </c>
      <c r="Y137" s="53">
        <f t="shared" si="135"/>
        <v>4393943.2992810467</v>
      </c>
      <c r="Z137" s="53">
        <f t="shared" si="135"/>
        <v>4718807.5131550319</v>
      </c>
      <c r="AA137" s="53">
        <f t="shared" si="135"/>
        <v>5056341.335773401</v>
      </c>
      <c r="AB137" s="53">
        <f t="shared" si="135"/>
        <v>5406957.4829079723</v>
      </c>
      <c r="AC137" s="53">
        <f t="shared" si="135"/>
        <v>5771081.0080574574</v>
      </c>
      <c r="AD137" s="53">
        <f t="shared" si="135"/>
        <v>6149149.653261546</v>
      </c>
      <c r="AE137" s="53">
        <f t="shared" si="135"/>
        <v>6541614.2095707627</v>
      </c>
      <c r="AF137" s="53">
        <f t="shared" si="135"/>
        <v>6948938.8874319494</v>
      </c>
      <c r="AG137" s="53">
        <f t="shared" si="135"/>
        <v>7371601.6972559486</v>
      </c>
      <c r="AH137" s="53">
        <f t="shared" si="135"/>
        <v>7810094.8404413182</v>
      </c>
      <c r="AI137" s="53">
        <f t="shared" si="135"/>
        <v>8264925.1111350711</v>
      </c>
      <c r="AJ137" s="53">
        <f t="shared" si="135"/>
        <v>8736614.3090187591</v>
      </c>
      <c r="AK137" s="53">
        <f t="shared" si="135"/>
        <v>9225699.6634160187</v>
      </c>
      <c r="AL137" s="53">
        <f t="shared" si="135"/>
        <v>9732734.269025445</v>
      </c>
      <c r="AM137" s="53">
        <f t="shared" si="135"/>
        <v>10258287.533590637</v>
      </c>
      <c r="AN137" s="53">
        <f t="shared" si="135"/>
        <v>10802945.637827452</v>
      </c>
      <c r="AO137" s="53">
        <f t="shared" si="135"/>
        <v>11367312.007937331</v>
      </c>
      <c r="AP137" s="53">
        <f t="shared" si="135"/>
        <v>11952007.801043535</v>
      </c>
      <c r="AQ137" s="53">
        <f t="shared" si="135"/>
        <v>12557672.403896794</v>
      </c>
    </row>
    <row r="138" spans="1:43" s="16" customFormat="1" outlineLevel="4">
      <c r="A138" s="53"/>
      <c r="B138" s="53"/>
      <c r="C138" s="53"/>
      <c r="D138" s="53"/>
      <c r="E138" s="53" t="s">
        <v>425</v>
      </c>
      <c r="F138" s="53"/>
      <c r="G138" s="53"/>
      <c r="H138" s="53">
        <f t="shared" ref="H138:AQ138" si="136">(H139*H140)</f>
        <v>206217.27547623098</v>
      </c>
      <c r="I138" s="53">
        <f t="shared" si="136"/>
        <v>291895.46715563134</v>
      </c>
      <c r="J138" s="53">
        <f t="shared" si="136"/>
        <v>381451.88587856857</v>
      </c>
      <c r="K138" s="53">
        <f t="shared" si="136"/>
        <v>475020.8620505195</v>
      </c>
      <c r="L138" s="53">
        <f t="shared" si="136"/>
        <v>572740.88729795569</v>
      </c>
      <c r="M138" s="53">
        <f t="shared" si="136"/>
        <v>674754.73571122554</v>
      </c>
      <c r="N138" s="53">
        <f t="shared" si="136"/>
        <v>781209.58848652674</v>
      </c>
      <c r="O138" s="53">
        <f t="shared" si="136"/>
        <v>892257.1620597794</v>
      </c>
      <c r="P138" s="53">
        <f t="shared" si="136"/>
        <v>1008053.8398277188</v>
      </c>
      <c r="Q138" s="53">
        <f t="shared" si="136"/>
        <v>1128760.8075540657</v>
      </c>
      <c r="R138" s="53">
        <f t="shared" si="136"/>
        <v>1254544.1925612572</v>
      </c>
      <c r="S138" s="53">
        <f t="shared" si="136"/>
        <v>1385575.206810903</v>
      </c>
      <c r="T138" s="53">
        <f t="shared" si="136"/>
        <v>1522030.2939789151</v>
      </c>
      <c r="U138" s="53">
        <f t="shared" si="136"/>
        <v>1664091.2806340598</v>
      </c>
      <c r="V138" s="53">
        <f t="shared" si="136"/>
        <v>1811945.5316316132</v>
      </c>
      <c r="W138" s="53">
        <f t="shared" si="136"/>
        <v>1965786.10983678</v>
      </c>
      <c r="X138" s="53">
        <f t="shared" si="136"/>
        <v>2125811.9402955892</v>
      </c>
      <c r="Y138" s="53">
        <f t="shared" si="136"/>
        <v>2292227.9789741468</v>
      </c>
      <c r="Z138" s="53">
        <f t="shared" si="136"/>
        <v>2465245.3861903208</v>
      </c>
      <c r="AA138" s="53">
        <f t="shared" si="136"/>
        <v>2645081.7048652796</v>
      </c>
      <c r="AB138" s="53">
        <f t="shared" si="136"/>
        <v>2831961.0437256712</v>
      </c>
      <c r="AC138" s="53">
        <f t="shared" si="136"/>
        <v>3026114.2655907637</v>
      </c>
      <c r="AD138" s="53">
        <f t="shared" si="136"/>
        <v>3227779.1808823808</v>
      </c>
      <c r="AE138" s="53">
        <f t="shared" si="136"/>
        <v>3437200.7464992129</v>
      </c>
      <c r="AF138" s="53">
        <f t="shared" si="136"/>
        <v>3654631.2702008304</v>
      </c>
      <c r="AG138" s="53">
        <f t="shared" si="136"/>
        <v>3880330.6206505466</v>
      </c>
      <c r="AH138" s="53">
        <f t="shared" si="136"/>
        <v>4114566.4432703312</v>
      </c>
      <c r="AI138" s="53">
        <f t="shared" si="136"/>
        <v>4357614.3820650196</v>
      </c>
      <c r="AJ138" s="53">
        <f t="shared" si="136"/>
        <v>4609758.3075772068</v>
      </c>
      <c r="AK138" s="53">
        <f t="shared" si="136"/>
        <v>4871290.5511385724</v>
      </c>
      <c r="AL138" s="53">
        <f t="shared" si="136"/>
        <v>5142512.1455877637</v>
      </c>
      <c r="AM138" s="53">
        <f t="shared" si="136"/>
        <v>5423733.0726294843</v>
      </c>
      <c r="AN138" s="53">
        <f t="shared" si="136"/>
        <v>5715272.5170140192</v>
      </c>
      <c r="AO138" s="53">
        <f t="shared" si="136"/>
        <v>6017459.1277213963</v>
      </c>
      <c r="AP138" s="53">
        <f t="shared" si="136"/>
        <v>6330631.2863389235</v>
      </c>
      <c r="AQ138" s="53">
        <f t="shared" si="136"/>
        <v>6655137.3828262473</v>
      </c>
    </row>
    <row r="139" spans="1:43" s="16" customFormat="1" outlineLevel="5">
      <c r="A139" s="53"/>
      <c r="B139" s="53"/>
      <c r="C139" s="53"/>
      <c r="D139" s="53"/>
      <c r="E139" s="53"/>
      <c r="F139" s="53" t="s">
        <v>324</v>
      </c>
      <c r="G139" s="53"/>
      <c r="H139" s="53">
        <f t="shared" ref="H139:AQ139" si="137">H6</f>
        <v>250.11191689051665</v>
      </c>
      <c r="I139" s="53">
        <f t="shared" si="137"/>
        <v>352.8720382012383</v>
      </c>
      <c r="J139" s="53">
        <f t="shared" si="137"/>
        <v>459.63195708956715</v>
      </c>
      <c r="K139" s="53">
        <f t="shared" si="137"/>
        <v>570.51056151812998</v>
      </c>
      <c r="L139" s="53">
        <f t="shared" si="137"/>
        <v>685.62989926971431</v>
      </c>
      <c r="M139" s="53">
        <f t="shared" si="137"/>
        <v>805.11525695386615</v>
      </c>
      <c r="N139" s="53">
        <f t="shared" si="137"/>
        <v>929.09524091491096</v>
      </c>
      <c r="O139" s="53">
        <f t="shared" si="137"/>
        <v>1057.7018600859767</v>
      </c>
      <c r="P139" s="53">
        <f t="shared" si="137"/>
        <v>1191.0706108346458</v>
      </c>
      <c r="Q139" s="53">
        <f t="shared" si="137"/>
        <v>1329.3405638468985</v>
      </c>
      <c r="R139" s="53">
        <f t="shared" si="137"/>
        <v>1472.6544530970873</v>
      </c>
      <c r="S139" s="53">
        <f t="shared" si="137"/>
        <v>1621.158766952778</v>
      </c>
      <c r="T139" s="53">
        <f t="shared" si="137"/>
        <v>1775.0038414644248</v>
      </c>
      <c r="U139" s="53">
        <f t="shared" si="137"/>
        <v>1934.3439558909834</v>
      </c>
      <c r="V139" s="53">
        <f t="shared" si="137"/>
        <v>2099.3374305137468</v>
      </c>
      <c r="W139" s="53">
        <f t="shared" si="137"/>
        <v>2270.1467267918879</v>
      </c>
      <c r="X139" s="53">
        <f t="shared" si="137"/>
        <v>2446.9385499144205</v>
      </c>
      <c r="Y139" s="53">
        <f t="shared" si="137"/>
        <v>2629.8839538045586</v>
      </c>
      <c r="Z139" s="53">
        <f t="shared" si="137"/>
        <v>2819.1584486337038</v>
      </c>
      <c r="AA139" s="53">
        <f t="shared" si="137"/>
        <v>3014.9421109036552</v>
      </c>
      <c r="AB139" s="53">
        <f t="shared" si="137"/>
        <v>3217.4196961569273</v>
      </c>
      <c r="AC139" s="53">
        <f t="shared" si="137"/>
        <v>3426.7807543764911</v>
      </c>
      <c r="AD139" s="53">
        <f t="shared" si="137"/>
        <v>3643.2197481375802</v>
      </c>
      <c r="AE139" s="53">
        <f t="shared" si="137"/>
        <v>3866.9361735757352</v>
      </c>
      <c r="AF139" s="53">
        <f t="shared" si="137"/>
        <v>4098.1346842366702</v>
      </c>
      <c r="AG139" s="53">
        <f t="shared" si="137"/>
        <v>4337.0252178750234</v>
      </c>
      <c r="AH139" s="53">
        <f t="shared" si="137"/>
        <v>4583.8231262706695</v>
      </c>
      <c r="AI139" s="53">
        <f t="shared" si="137"/>
        <v>4838.7493081327902</v>
      </c>
      <c r="AJ139" s="53">
        <f t="shared" si="137"/>
        <v>5102.0303451634863</v>
      </c>
      <c r="AK139" s="53">
        <f t="shared" si="137"/>
        <v>5373.8986413544153</v>
      </c>
      <c r="AL139" s="53">
        <f t="shared" si="137"/>
        <v>5654.5925655915862</v>
      </c>
      <c r="AM139" s="53">
        <f t="shared" si="137"/>
        <v>5944.3565976451646</v>
      </c>
      <c r="AN139" s="53">
        <f t="shared" si="137"/>
        <v>6243.4414776228405</v>
      </c>
      <c r="AO139" s="53">
        <f t="shared" si="137"/>
        <v>6552.1043589673127</v>
      </c>
      <c r="AP139" s="53">
        <f t="shared" si="137"/>
        <v>6870.6089650799277</v>
      </c>
      <c r="AQ139" s="53">
        <f t="shared" si="137"/>
        <v>7199.2257496547818</v>
      </c>
    </row>
    <row r="140" spans="1:43" s="16" customFormat="1" outlineLevel="5">
      <c r="A140" s="53"/>
      <c r="B140" s="53"/>
      <c r="C140" s="53"/>
      <c r="D140" s="53"/>
      <c r="E140" s="53"/>
      <c r="F140" s="53" t="s">
        <v>426</v>
      </c>
      <c r="G140" s="53"/>
      <c r="H140" s="53">
        <f t="shared" ref="H140:AQ140" si="138">import_clearance_cost_per_dose_positive*(1+import_clearance_cost_per_dose_positive_growth)^((COLUMN()-8)/12)</f>
        <v>824.5</v>
      </c>
      <c r="I140" s="53">
        <f t="shared" si="138"/>
        <v>827.19919845042295</v>
      </c>
      <c r="J140" s="53">
        <f t="shared" si="138"/>
        <v>829.9072333741932</v>
      </c>
      <c r="K140" s="53">
        <f t="shared" si="138"/>
        <v>832.62413369962485</v>
      </c>
      <c r="L140" s="53">
        <f t="shared" si="138"/>
        <v>835.34992844973613</v>
      </c>
      <c r="M140" s="53">
        <f t="shared" si="138"/>
        <v>838.08464674255902</v>
      </c>
      <c r="N140" s="53">
        <f t="shared" si="138"/>
        <v>840.82831779145022</v>
      </c>
      <c r="O140" s="53">
        <f t="shared" si="138"/>
        <v>843.58097090540343</v>
      </c>
      <c r="P140" s="53">
        <f t="shared" si="138"/>
        <v>846.34263548936235</v>
      </c>
      <c r="Q140" s="53">
        <f t="shared" si="138"/>
        <v>849.11334104453488</v>
      </c>
      <c r="R140" s="53">
        <f t="shared" si="138"/>
        <v>851.89311716870839</v>
      </c>
      <c r="S140" s="53">
        <f t="shared" si="138"/>
        <v>854.68199355656498</v>
      </c>
      <c r="T140" s="53">
        <f t="shared" si="138"/>
        <v>857.48</v>
      </c>
      <c r="U140" s="53">
        <f t="shared" si="138"/>
        <v>860.28716638844003</v>
      </c>
      <c r="V140" s="53">
        <f t="shared" si="138"/>
        <v>863.10352270916087</v>
      </c>
      <c r="W140" s="53">
        <f t="shared" si="138"/>
        <v>865.92909904760984</v>
      </c>
      <c r="X140" s="53">
        <f t="shared" si="138"/>
        <v>868.76392558772568</v>
      </c>
      <c r="Y140" s="53">
        <f t="shared" si="138"/>
        <v>871.60803261226147</v>
      </c>
      <c r="Z140" s="53">
        <f t="shared" si="138"/>
        <v>874.46145050310827</v>
      </c>
      <c r="AA140" s="53">
        <f t="shared" si="138"/>
        <v>877.32420974161948</v>
      </c>
      <c r="AB140" s="53">
        <f t="shared" si="138"/>
        <v>880.19634090893692</v>
      </c>
      <c r="AC140" s="53">
        <f t="shared" si="138"/>
        <v>883.07787468631636</v>
      </c>
      <c r="AD140" s="53">
        <f t="shared" si="138"/>
        <v>885.96884185545673</v>
      </c>
      <c r="AE140" s="53">
        <f t="shared" si="138"/>
        <v>888.86927329882758</v>
      </c>
      <c r="AF140" s="53">
        <f t="shared" si="138"/>
        <v>891.77920000000006</v>
      </c>
      <c r="AG140" s="53">
        <f t="shared" si="138"/>
        <v>894.69865304397752</v>
      </c>
      <c r="AH140" s="53">
        <f t="shared" si="138"/>
        <v>897.62766361752733</v>
      </c>
      <c r="AI140" s="53">
        <f t="shared" si="138"/>
        <v>900.56626300951427</v>
      </c>
      <c r="AJ140" s="53">
        <f t="shared" si="138"/>
        <v>903.51448261123471</v>
      </c>
      <c r="AK140" s="53">
        <f t="shared" si="138"/>
        <v>906.47235391675201</v>
      </c>
      <c r="AL140" s="53">
        <f t="shared" si="138"/>
        <v>909.4399085232327</v>
      </c>
      <c r="AM140" s="53">
        <f t="shared" si="138"/>
        <v>912.41717813128446</v>
      </c>
      <c r="AN140" s="53">
        <f t="shared" si="138"/>
        <v>915.40419454529444</v>
      </c>
      <c r="AO140" s="53">
        <f t="shared" si="138"/>
        <v>918.400989673769</v>
      </c>
      <c r="AP140" s="53">
        <f t="shared" si="138"/>
        <v>921.40759552967484</v>
      </c>
      <c r="AQ140" s="53">
        <f t="shared" si="138"/>
        <v>924.42404423078074</v>
      </c>
    </row>
    <row r="141" spans="1:43" s="16" customFormat="1" outlineLevel="4" collapsed="1">
      <c r="A141" s="53"/>
      <c r="B141" s="53"/>
      <c r="C141" s="53"/>
      <c r="D141" s="53"/>
      <c r="E141" s="53" t="s">
        <v>427</v>
      </c>
      <c r="F141" s="53"/>
      <c r="G141" s="53"/>
      <c r="H141" s="53">
        <f t="shared" ref="H141:AQ141" si="139">(H142*H143)</f>
        <v>41124.436824635035</v>
      </c>
      <c r="I141" s="53">
        <f t="shared" si="139"/>
        <v>62310.545977121605</v>
      </c>
      <c r="J141" s="53">
        <f t="shared" si="139"/>
        <v>84403.596863139843</v>
      </c>
      <c r="K141" s="53">
        <f t="shared" si="139"/>
        <v>107433.1539118162</v>
      </c>
      <c r="L141" s="53">
        <f t="shared" si="139"/>
        <v>131429.64220363108</v>
      </c>
      <c r="M141" s="53">
        <f t="shared" si="139"/>
        <v>156424.37101840673</v>
      </c>
      <c r="N141" s="53">
        <f t="shared" si="139"/>
        <v>182449.55800294518</v>
      </c>
      <c r="O141" s="53">
        <f t="shared" si="139"/>
        <v>209538.35397418964</v>
      </c>
      <c r="P141" s="53">
        <f t="shared" si="139"/>
        <v>237724.86837418945</v>
      </c>
      <c r="Q141" s="53">
        <f t="shared" si="139"/>
        <v>267044.19539355004</v>
      </c>
      <c r="R141" s="53">
        <f t="shared" si="139"/>
        <v>297532.44078047486</v>
      </c>
      <c r="S141" s="53">
        <f t="shared" si="139"/>
        <v>329226.74935293099</v>
      </c>
      <c r="T141" s="53">
        <f t="shared" si="139"/>
        <v>362165.33323191229</v>
      </c>
      <c r="U141" s="53">
        <f t="shared" si="139"/>
        <v>396387.50081422727</v>
      </c>
      <c r="V141" s="53">
        <f t="shared" si="139"/>
        <v>431933.68650369364</v>
      </c>
      <c r="W141" s="53">
        <f t="shared" si="139"/>
        <v>468845.48122010467</v>
      </c>
      <c r="X141" s="53">
        <f t="shared" si="139"/>
        <v>507165.66370580968</v>
      </c>
      <c r="Y141" s="53">
        <f t="shared" si="139"/>
        <v>546938.23265025427</v>
      </c>
      <c r="Z141" s="53">
        <f t="shared" si="139"/>
        <v>588208.43965333025</v>
      </c>
      <c r="AA141" s="53">
        <f t="shared" si="139"/>
        <v>631022.82304891234</v>
      </c>
      <c r="AB141" s="53">
        <f t="shared" si="139"/>
        <v>675429.24261048727</v>
      </c>
      <c r="AC141" s="53">
        <f t="shared" si="139"/>
        <v>721476.91516134038</v>
      </c>
      <c r="AD141" s="53">
        <f t="shared" si="139"/>
        <v>769216.4511123118</v>
      </c>
      <c r="AE141" s="53">
        <f t="shared" si="139"/>
        <v>818699.89195071941</v>
      </c>
      <c r="AF141" s="53">
        <f t="shared" si="139"/>
        <v>869980.74870464392</v>
      </c>
      <c r="AG141" s="53">
        <f t="shared" si="139"/>
        <v>923114.04140734789</v>
      </c>
      <c r="AH141" s="53">
        <f t="shared" si="139"/>
        <v>978156.33958725107</v>
      </c>
      <c r="AI141" s="53">
        <f t="shared" si="139"/>
        <v>1035165.8038095046</v>
      </c>
      <c r="AJ141" s="53">
        <f t="shared" si="139"/>
        <v>1094202.228295852</v>
      </c>
      <c r="AK141" s="53">
        <f t="shared" si="139"/>
        <v>1155327.0846501437</v>
      </c>
      <c r="AL141" s="53">
        <f t="shared" si="139"/>
        <v>1218603.5667175436</v>
      </c>
      <c r="AM141" s="53">
        <f t="shared" si="139"/>
        <v>1284096.6366061752</v>
      </c>
      <c r="AN141" s="53">
        <f t="shared" si="139"/>
        <v>1351873.0719006562</v>
      </c>
      <c r="AO141" s="53">
        <f t="shared" si="139"/>
        <v>1422001.5140977353</v>
      </c>
      <c r="AP141" s="53">
        <f t="shared" si="139"/>
        <v>1494552.5182949491</v>
      </c>
      <c r="AQ141" s="53">
        <f t="shared" si="139"/>
        <v>1569598.604164046</v>
      </c>
    </row>
    <row r="142" spans="1:43" s="16" customFormat="1" hidden="1" outlineLevel="5">
      <c r="A142" s="53"/>
      <c r="B142" s="53"/>
      <c r="C142" s="53"/>
      <c r="D142" s="53"/>
      <c r="E142" s="53"/>
      <c r="F142" s="53" t="s">
        <v>377</v>
      </c>
      <c r="G142" s="53"/>
      <c r="H142" s="53">
        <f t="shared" ref="H142:AQ142" si="140">H67</f>
        <v>49.878031321570688</v>
      </c>
      <c r="I142" s="53">
        <f t="shared" si="140"/>
        <v>75.32713534278902</v>
      </c>
      <c r="J142" s="53">
        <f t="shared" si="140"/>
        <v>101.70244753739058</v>
      </c>
      <c r="K142" s="53">
        <f t="shared" si="140"/>
        <v>129.02959398312791</v>
      </c>
      <c r="L142" s="53">
        <f t="shared" si="140"/>
        <v>157.33483385524627</v>
      </c>
      <c r="M142" s="53">
        <f t="shared" si="140"/>
        <v>186.64507412991284</v>
      </c>
      <c r="N142" s="53">
        <f t="shared" si="140"/>
        <v>216.98788461617673</v>
      </c>
      <c r="O142" s="53">
        <f t="shared" si="140"/>
        <v>248.39151332360558</v>
      </c>
      <c r="P142" s="53">
        <f t="shared" si="140"/>
        <v>280.88490217290655</v>
      </c>
      <c r="Q142" s="53">
        <f t="shared" si="140"/>
        <v>314.49770305698672</v>
      </c>
      <c r="R142" s="53">
        <f t="shared" si="140"/>
        <v>349.26029426007409</v>
      </c>
      <c r="S142" s="53">
        <f t="shared" si="140"/>
        <v>385.20379724267815</v>
      </c>
      <c r="T142" s="53">
        <f t="shared" si="140"/>
        <v>422.36009380033619</v>
      </c>
      <c r="U142" s="53">
        <f t="shared" si="140"/>
        <v>460.76184360426566</v>
      </c>
      <c r="V142" s="53">
        <f t="shared" si="140"/>
        <v>500.4425021322059</v>
      </c>
      <c r="W142" s="53">
        <f t="shared" si="140"/>
        <v>541.43633899791951</v>
      </c>
      <c r="X142" s="53">
        <f t="shared" si="140"/>
        <v>583.77845668799853</v>
      </c>
      <c r="Y142" s="53">
        <f t="shared" si="140"/>
        <v>627.50480971480681</v>
      </c>
      <c r="Z142" s="53">
        <f t="shared" si="140"/>
        <v>672.6522241945753</v>
      </c>
      <c r="AA142" s="53">
        <f t="shared" si="140"/>
        <v>719.25841785986358</v>
      </c>
      <c r="AB142" s="53">
        <f t="shared" si="140"/>
        <v>767.36202051579039</v>
      </c>
      <c r="AC142" s="53">
        <f t="shared" si="140"/>
        <v>817.0025949496478</v>
      </c>
      <c r="AD142" s="53">
        <f t="shared" si="140"/>
        <v>868.22065830370047</v>
      </c>
      <c r="AE142" s="53">
        <f t="shared" si="140"/>
        <v>921.05770392119518</v>
      </c>
      <c r="AF142" s="53">
        <f t="shared" si="140"/>
        <v>975.55622367582009</v>
      </c>
      <c r="AG142" s="53">
        <f t="shared" si="140"/>
        <v>1031.7597307950498</v>
      </c>
      <c r="AH142" s="53">
        <f t="shared" si="140"/>
        <v>1089.7127831880596</v>
      </c>
      <c r="AI142" s="53">
        <f t="shared" si="140"/>
        <v>1149.4610072891087</v>
      </c>
      <c r="AJ142" s="53">
        <f t="shared" si="140"/>
        <v>1211.0511224275158</v>
      </c>
      <c r="AK142" s="53">
        <f t="shared" si="140"/>
        <v>1274.5309657356036</v>
      </c>
      <c r="AL142" s="53">
        <f t="shared" si="140"/>
        <v>1339.9495176062126</v>
      </c>
      <c r="AM142" s="53">
        <f t="shared" si="140"/>
        <v>1407.3569277116471</v>
      </c>
      <c r="AN142" s="53">
        <f t="shared" si="140"/>
        <v>1476.8045415961496</v>
      </c>
      <c r="AO142" s="53">
        <f t="shared" si="140"/>
        <v>1548.3449278542844</v>
      </c>
      <c r="AP142" s="53">
        <f t="shared" si="140"/>
        <v>1622.0319059078297</v>
      </c>
      <c r="AQ142" s="53">
        <f t="shared" si="140"/>
        <v>1697.920574394102</v>
      </c>
    </row>
    <row r="143" spans="1:43" s="16" customFormat="1" hidden="1" outlineLevel="5">
      <c r="A143" s="53"/>
      <c r="B143" s="53"/>
      <c r="C143" s="53"/>
      <c r="D143" s="53"/>
      <c r="E143" s="53"/>
      <c r="F143" s="53" t="s">
        <v>426</v>
      </c>
      <c r="G143" s="53"/>
      <c r="H143" s="53">
        <f t="shared" ref="H143:AQ143" si="141">H140</f>
        <v>824.5</v>
      </c>
      <c r="I143" s="53">
        <f t="shared" si="141"/>
        <v>827.19919845042295</v>
      </c>
      <c r="J143" s="53">
        <f t="shared" si="141"/>
        <v>829.9072333741932</v>
      </c>
      <c r="K143" s="53">
        <f t="shared" si="141"/>
        <v>832.62413369962485</v>
      </c>
      <c r="L143" s="53">
        <f t="shared" si="141"/>
        <v>835.34992844973613</v>
      </c>
      <c r="M143" s="53">
        <f t="shared" si="141"/>
        <v>838.08464674255902</v>
      </c>
      <c r="N143" s="53">
        <f t="shared" si="141"/>
        <v>840.82831779145022</v>
      </c>
      <c r="O143" s="53">
        <f t="shared" si="141"/>
        <v>843.58097090540343</v>
      </c>
      <c r="P143" s="53">
        <f t="shared" si="141"/>
        <v>846.34263548936235</v>
      </c>
      <c r="Q143" s="53">
        <f t="shared" si="141"/>
        <v>849.11334104453488</v>
      </c>
      <c r="R143" s="53">
        <f t="shared" si="141"/>
        <v>851.89311716870839</v>
      </c>
      <c r="S143" s="53">
        <f t="shared" si="141"/>
        <v>854.68199355656498</v>
      </c>
      <c r="T143" s="53">
        <f t="shared" si="141"/>
        <v>857.48</v>
      </c>
      <c r="U143" s="53">
        <f t="shared" si="141"/>
        <v>860.28716638844003</v>
      </c>
      <c r="V143" s="53">
        <f t="shared" si="141"/>
        <v>863.10352270916087</v>
      </c>
      <c r="W143" s="53">
        <f t="shared" si="141"/>
        <v>865.92909904760984</v>
      </c>
      <c r="X143" s="53">
        <f t="shared" si="141"/>
        <v>868.76392558772568</v>
      </c>
      <c r="Y143" s="53">
        <f t="shared" si="141"/>
        <v>871.60803261226147</v>
      </c>
      <c r="Z143" s="53">
        <f t="shared" si="141"/>
        <v>874.46145050310827</v>
      </c>
      <c r="AA143" s="53">
        <f t="shared" si="141"/>
        <v>877.32420974161948</v>
      </c>
      <c r="AB143" s="53">
        <f t="shared" si="141"/>
        <v>880.19634090893692</v>
      </c>
      <c r="AC143" s="53">
        <f t="shared" si="141"/>
        <v>883.07787468631636</v>
      </c>
      <c r="AD143" s="53">
        <f t="shared" si="141"/>
        <v>885.96884185545673</v>
      </c>
      <c r="AE143" s="53">
        <f t="shared" si="141"/>
        <v>888.86927329882758</v>
      </c>
      <c r="AF143" s="53">
        <f t="shared" si="141"/>
        <v>891.77920000000006</v>
      </c>
      <c r="AG143" s="53">
        <f t="shared" si="141"/>
        <v>894.69865304397752</v>
      </c>
      <c r="AH143" s="53">
        <f t="shared" si="141"/>
        <v>897.62766361752733</v>
      </c>
      <c r="AI143" s="53">
        <f t="shared" si="141"/>
        <v>900.56626300951427</v>
      </c>
      <c r="AJ143" s="53">
        <f t="shared" si="141"/>
        <v>903.51448261123471</v>
      </c>
      <c r="AK143" s="53">
        <f t="shared" si="141"/>
        <v>906.47235391675201</v>
      </c>
      <c r="AL143" s="53">
        <f t="shared" si="141"/>
        <v>909.4399085232327</v>
      </c>
      <c r="AM143" s="53">
        <f t="shared" si="141"/>
        <v>912.41717813128446</v>
      </c>
      <c r="AN143" s="53">
        <f t="shared" si="141"/>
        <v>915.40419454529444</v>
      </c>
      <c r="AO143" s="53">
        <f t="shared" si="141"/>
        <v>918.400989673769</v>
      </c>
      <c r="AP143" s="53">
        <f t="shared" si="141"/>
        <v>921.40759552967484</v>
      </c>
      <c r="AQ143" s="53">
        <f t="shared" si="141"/>
        <v>924.42404423078074</v>
      </c>
    </row>
    <row r="144" spans="1:43" s="16" customFormat="1" outlineLevel="4" collapsed="1">
      <c r="A144" s="53"/>
      <c r="B144" s="53"/>
      <c r="C144" s="53"/>
      <c r="D144" s="53"/>
      <c r="E144" s="53" t="s">
        <v>428</v>
      </c>
      <c r="F144" s="53"/>
      <c r="G144" s="53"/>
      <c r="H144" s="53">
        <f t="shared" ref="H144:AQ144" si="142">(H145*H146)</f>
        <v>100148.26802408438</v>
      </c>
      <c r="I144" s="53">
        <f t="shared" si="142"/>
        <v>129634.12108643212</v>
      </c>
      <c r="J144" s="53">
        <f t="shared" si="142"/>
        <v>160442.87672912586</v>
      </c>
      <c r="K144" s="53">
        <f t="shared" si="142"/>
        <v>192620.2999796223</v>
      </c>
      <c r="L144" s="53">
        <f t="shared" si="142"/>
        <v>226213.57444656952</v>
      </c>
      <c r="M144" s="53">
        <f t="shared" si="142"/>
        <v>261271.34370518447</v>
      </c>
      <c r="N144" s="53">
        <f t="shared" si="142"/>
        <v>297843.75384465826</v>
      </c>
      <c r="O144" s="53">
        <f t="shared" si="142"/>
        <v>335982.49720937095</v>
      </c>
      <c r="P144" s="53">
        <f t="shared" si="142"/>
        <v>375740.85736655665</v>
      </c>
      <c r="Q144" s="53">
        <f t="shared" si="142"/>
        <v>417173.75533392577</v>
      </c>
      <c r="R144" s="53">
        <f t="shared" si="142"/>
        <v>460337.7971016576</v>
      </c>
      <c r="S144" s="53">
        <f t="shared" si="142"/>
        <v>505291.32248409669</v>
      </c>
      <c r="T144" s="53">
        <f t="shared" si="142"/>
        <v>552094.45533743186</v>
      </c>
      <c r="U144" s="53">
        <f t="shared" si="142"/>
        <v>600809.15518061281</v>
      </c>
      <c r="V144" s="53">
        <f t="shared" si="142"/>
        <v>651499.27025774796</v>
      </c>
      <c r="W144" s="53">
        <f t="shared" si="142"/>
        <v>704230.59208126343</v>
      </c>
      <c r="X144" s="53">
        <f t="shared" si="142"/>
        <v>759070.91149614204</v>
      </c>
      <c r="Y144" s="53">
        <f t="shared" si="142"/>
        <v>816090.07630665239</v>
      </c>
      <c r="Z144" s="53">
        <f t="shared" si="142"/>
        <v>875360.05050807027</v>
      </c>
      <c r="AA144" s="53">
        <f t="shared" si="142"/>
        <v>936954.97516704455</v>
      </c>
      <c r="AB144" s="53">
        <f t="shared" si="142"/>
        <v>1000951.2309954201</v>
      </c>
      <c r="AC144" s="53">
        <f t="shared" si="142"/>
        <v>1067427.502663526</v>
      </c>
      <c r="AD144" s="53">
        <f t="shared" si="142"/>
        <v>1136464.8449001685</v>
      </c>
      <c r="AE144" s="53">
        <f t="shared" si="142"/>
        <v>1208146.7504278284</v>
      </c>
      <c r="AF144" s="53">
        <f t="shared" si="142"/>
        <v>1282559.2197828656</v>
      </c>
      <c r="AG144" s="53">
        <f t="shared" si="142"/>
        <v>1359790.8330718339</v>
      </c>
      <c r="AH144" s="53">
        <f t="shared" si="142"/>
        <v>1439932.8237164144</v>
      </c>
      <c r="AI144" s="53">
        <f t="shared" si="142"/>
        <v>1523079.1542408364</v>
      </c>
      <c r="AJ144" s="53">
        <f t="shared" si="142"/>
        <v>1609326.5941571195</v>
      </c>
      <c r="AK144" s="53">
        <f t="shared" si="142"/>
        <v>1698774.8000049191</v>
      </c>
      <c r="AL144" s="53">
        <f t="shared" si="142"/>
        <v>1791526.3976042978</v>
      </c>
      <c r="AM144" s="53">
        <f t="shared" si="142"/>
        <v>1887687.0665812758</v>
      </c>
      <c r="AN144" s="53">
        <f t="shared" si="142"/>
        <v>1987365.6272276053</v>
      </c>
      <c r="AO144" s="53">
        <f t="shared" si="142"/>
        <v>2090674.1297578849</v>
      </c>
      <c r="AP144" s="53">
        <f t="shared" si="142"/>
        <v>2197727.9460287457</v>
      </c>
      <c r="AQ144" s="53">
        <f t="shared" si="142"/>
        <v>2308645.8637866275</v>
      </c>
    </row>
    <row r="145" spans="1:43" s="16" customFormat="1" hidden="1" outlineLevel="5">
      <c r="A145" s="53"/>
      <c r="B145" s="53"/>
      <c r="C145" s="53"/>
      <c r="D145" s="53"/>
      <c r="E145" s="53"/>
      <c r="F145" s="53" t="s">
        <v>337</v>
      </c>
      <c r="G145" s="53"/>
      <c r="H145" s="53">
        <f t="shared" ref="H145:AQ145" si="143">H21</f>
        <v>121.46545545674272</v>
      </c>
      <c r="I145" s="53">
        <f t="shared" si="143"/>
        <v>156.71451487050922</v>
      </c>
      <c r="J145" s="53">
        <f t="shared" si="143"/>
        <v>193.326278259807</v>
      </c>
      <c r="K145" s="53">
        <f t="shared" si="143"/>
        <v>231.34124052319564</v>
      </c>
      <c r="L145" s="53">
        <f t="shared" si="143"/>
        <v>270.80097422930589</v>
      </c>
      <c r="M145" s="53">
        <f t="shared" si="143"/>
        <v>311.74815661005806</v>
      </c>
      <c r="N145" s="53">
        <f t="shared" si="143"/>
        <v>354.22659720474843</v>
      </c>
      <c r="O145" s="53">
        <f t="shared" si="143"/>
        <v>398.28126617029511</v>
      </c>
      <c r="P145" s="53">
        <f t="shared" si="143"/>
        <v>443.95832327329242</v>
      </c>
      <c r="Q145" s="53">
        <f t="shared" si="143"/>
        <v>491.30514757987481</v>
      </c>
      <c r="R145" s="53">
        <f t="shared" si="143"/>
        <v>540.37036785976591</v>
      </c>
      <c r="S145" s="53">
        <f t="shared" si="143"/>
        <v>591.20389372126772</v>
      </c>
      <c r="T145" s="53">
        <f t="shared" si="143"/>
        <v>643.85694749432275</v>
      </c>
      <c r="U145" s="53">
        <f t="shared" si="143"/>
        <v>698.38209687918709</v>
      </c>
      <c r="V145" s="53">
        <f t="shared" si="143"/>
        <v>754.83328837864451</v>
      </c>
      <c r="W145" s="53">
        <f t="shared" si="143"/>
        <v>813.26588153211367</v>
      </c>
      <c r="X145" s="53">
        <f t="shared" si="143"/>
        <v>873.73668397041752</v>
      </c>
      <c r="Y145" s="53">
        <f t="shared" si="143"/>
        <v>936.30398731042158</v>
      </c>
      <c r="Z145" s="53">
        <f t="shared" si="143"/>
        <v>1001.0276039091775</v>
      </c>
      <c r="AA145" s="53">
        <f t="shared" si="143"/>
        <v>1067.9689044976735</v>
      </c>
      <c r="AB145" s="53">
        <f t="shared" si="143"/>
        <v>1137.1908567147477</v>
      </c>
      <c r="AC145" s="53">
        <f t="shared" si="143"/>
        <v>1208.7580645621922</v>
      </c>
      <c r="AD145" s="53">
        <f t="shared" si="143"/>
        <v>1282.7368088025598</v>
      </c>
      <c r="AE145" s="53">
        <f t="shared" si="143"/>
        <v>1359.1950883216809</v>
      </c>
      <c r="AF145" s="53">
        <f t="shared" si="143"/>
        <v>1438.2026624784089</v>
      </c>
      <c r="AG145" s="53">
        <f t="shared" si="143"/>
        <v>1519.8310944646023</v>
      </c>
      <c r="AH145" s="53">
        <f t="shared" si="143"/>
        <v>1604.153795698925</v>
      </c>
      <c r="AI145" s="53">
        <f t="shared" si="143"/>
        <v>1691.2460712785389</v>
      </c>
      <c r="AJ145" s="53">
        <f t="shared" si="143"/>
        <v>1781.1851665133545</v>
      </c>
      <c r="AK145" s="53">
        <f t="shared" si="143"/>
        <v>1874.0503145680382</v>
      </c>
      <c r="AL145" s="53">
        <f t="shared" si="143"/>
        <v>1969.9227852375814</v>
      </c>
      <c r="AM145" s="53">
        <f t="shared" si="143"/>
        <v>2068.8859348828078</v>
      </c>
      <c r="AN145" s="53">
        <f t="shared" si="143"/>
        <v>2171.0252575527934</v>
      </c>
      <c r="AO145" s="53">
        <f t="shared" si="143"/>
        <v>2276.4284373218352</v>
      </c>
      <c r="AP145" s="53">
        <f t="shared" si="143"/>
        <v>2385.185401869162</v>
      </c>
      <c r="AQ145" s="53">
        <f t="shared" si="143"/>
        <v>2497.388377330305</v>
      </c>
    </row>
    <row r="146" spans="1:43" s="16" customFormat="1" hidden="1" outlineLevel="5">
      <c r="A146" s="53"/>
      <c r="B146" s="53"/>
      <c r="C146" s="53"/>
      <c r="D146" s="53"/>
      <c r="E146" s="53"/>
      <c r="F146" s="53" t="s">
        <v>426</v>
      </c>
      <c r="G146" s="53"/>
      <c r="H146" s="53">
        <f t="shared" ref="H146:AQ146" si="144">H140</f>
        <v>824.5</v>
      </c>
      <c r="I146" s="53">
        <f t="shared" si="144"/>
        <v>827.19919845042295</v>
      </c>
      <c r="J146" s="53">
        <f t="shared" si="144"/>
        <v>829.9072333741932</v>
      </c>
      <c r="K146" s="53">
        <f t="shared" si="144"/>
        <v>832.62413369962485</v>
      </c>
      <c r="L146" s="53">
        <f t="shared" si="144"/>
        <v>835.34992844973613</v>
      </c>
      <c r="M146" s="53">
        <f t="shared" si="144"/>
        <v>838.08464674255902</v>
      </c>
      <c r="N146" s="53">
        <f t="shared" si="144"/>
        <v>840.82831779145022</v>
      </c>
      <c r="O146" s="53">
        <f t="shared" si="144"/>
        <v>843.58097090540343</v>
      </c>
      <c r="P146" s="53">
        <f t="shared" si="144"/>
        <v>846.34263548936235</v>
      </c>
      <c r="Q146" s="53">
        <f t="shared" si="144"/>
        <v>849.11334104453488</v>
      </c>
      <c r="R146" s="53">
        <f t="shared" si="144"/>
        <v>851.89311716870839</v>
      </c>
      <c r="S146" s="53">
        <f t="shared" si="144"/>
        <v>854.68199355656498</v>
      </c>
      <c r="T146" s="53">
        <f t="shared" si="144"/>
        <v>857.48</v>
      </c>
      <c r="U146" s="53">
        <f t="shared" si="144"/>
        <v>860.28716638844003</v>
      </c>
      <c r="V146" s="53">
        <f t="shared" si="144"/>
        <v>863.10352270916087</v>
      </c>
      <c r="W146" s="53">
        <f t="shared" si="144"/>
        <v>865.92909904760984</v>
      </c>
      <c r="X146" s="53">
        <f t="shared" si="144"/>
        <v>868.76392558772568</v>
      </c>
      <c r="Y146" s="53">
        <f t="shared" si="144"/>
        <v>871.60803261226147</v>
      </c>
      <c r="Z146" s="53">
        <f t="shared" si="144"/>
        <v>874.46145050310827</v>
      </c>
      <c r="AA146" s="53">
        <f t="shared" si="144"/>
        <v>877.32420974161948</v>
      </c>
      <c r="AB146" s="53">
        <f t="shared" si="144"/>
        <v>880.19634090893692</v>
      </c>
      <c r="AC146" s="53">
        <f t="shared" si="144"/>
        <v>883.07787468631636</v>
      </c>
      <c r="AD146" s="53">
        <f t="shared" si="144"/>
        <v>885.96884185545673</v>
      </c>
      <c r="AE146" s="53">
        <f t="shared" si="144"/>
        <v>888.86927329882758</v>
      </c>
      <c r="AF146" s="53">
        <f t="shared" si="144"/>
        <v>891.77920000000006</v>
      </c>
      <c r="AG146" s="53">
        <f t="shared" si="144"/>
        <v>894.69865304397752</v>
      </c>
      <c r="AH146" s="53">
        <f t="shared" si="144"/>
        <v>897.62766361752733</v>
      </c>
      <c r="AI146" s="53">
        <f t="shared" si="144"/>
        <v>900.56626300951427</v>
      </c>
      <c r="AJ146" s="53">
        <f t="shared" si="144"/>
        <v>903.51448261123471</v>
      </c>
      <c r="AK146" s="53">
        <f t="shared" si="144"/>
        <v>906.47235391675201</v>
      </c>
      <c r="AL146" s="53">
        <f t="shared" si="144"/>
        <v>909.4399085232327</v>
      </c>
      <c r="AM146" s="53">
        <f t="shared" si="144"/>
        <v>912.41717813128446</v>
      </c>
      <c r="AN146" s="53">
        <f t="shared" si="144"/>
        <v>915.40419454529444</v>
      </c>
      <c r="AO146" s="53">
        <f t="shared" si="144"/>
        <v>918.400989673769</v>
      </c>
      <c r="AP146" s="53">
        <f t="shared" si="144"/>
        <v>921.40759552967484</v>
      </c>
      <c r="AQ146" s="53">
        <f t="shared" si="144"/>
        <v>924.42404423078074</v>
      </c>
    </row>
    <row r="147" spans="1:43" s="16" customFormat="1" outlineLevel="4" collapsed="1">
      <c r="A147" s="53"/>
      <c r="B147" s="53"/>
      <c r="C147" s="53"/>
      <c r="D147" s="53"/>
      <c r="E147" s="53" t="s">
        <v>429</v>
      </c>
      <c r="F147" s="53"/>
      <c r="G147" s="53"/>
      <c r="H147" s="53">
        <f t="shared" ref="H147:AQ147" si="145">(H148*H149)</f>
        <v>12147.02450657888</v>
      </c>
      <c r="I147" s="53">
        <f t="shared" si="145"/>
        <v>16408.076918786825</v>
      </c>
      <c r="J147" s="53">
        <f t="shared" si="145"/>
        <v>20850.935677979491</v>
      </c>
      <c r="K147" s="53">
        <f t="shared" si="145"/>
        <v>25481.544587111042</v>
      </c>
      <c r="L147" s="53">
        <f t="shared" si="145"/>
        <v>30306.021194516088</v>
      </c>
      <c r="M147" s="53">
        <f t="shared" si="145"/>
        <v>35330.661568308009</v>
      </c>
      <c r="N147" s="53">
        <f t="shared" si="145"/>
        <v>40561.945196942928</v>
      </c>
      <c r="O147" s="53">
        <f t="shared" si="145"/>
        <v>46006.540019194072</v>
      </c>
      <c r="P147" s="53">
        <f t="shared" si="145"/>
        <v>51671.307586865092</v>
      </c>
      <c r="Q147" s="53">
        <f t="shared" si="145"/>
        <v>57563.308363652664</v>
      </c>
      <c r="R147" s="53">
        <f t="shared" si="145"/>
        <v>63689.807163656573</v>
      </c>
      <c r="S147" s="53">
        <f t="shared" si="145"/>
        <v>70058.278733122192</v>
      </c>
      <c r="T147" s="53">
        <f t="shared" si="145"/>
        <v>76676.41347909157</v>
      </c>
      <c r="U147" s="53">
        <f t="shared" si="145"/>
        <v>83552.123348731868</v>
      </c>
      <c r="V147" s="53">
        <f t="shared" si="145"/>
        <v>90693.547863203421</v>
      </c>
      <c r="W147" s="53">
        <f t="shared" si="145"/>
        <v>98109.060310029119</v>
      </c>
      <c r="X147" s="53">
        <f t="shared" si="145"/>
        <v>105807.27409802424</v>
      </c>
      <c r="Y147" s="53">
        <f t="shared" si="145"/>
        <v>113797.04927895009</v>
      </c>
      <c r="Z147" s="53">
        <f t="shared" si="145"/>
        <v>122087.49924015728</v>
      </c>
      <c r="AA147" s="53">
        <f t="shared" si="145"/>
        <v>130687.99757259342</v>
      </c>
      <c r="AB147" s="53">
        <f t="shared" si="145"/>
        <v>139608.18511865917</v>
      </c>
      <c r="AC147" s="53">
        <f t="shared" si="145"/>
        <v>148857.97720450908</v>
      </c>
      <c r="AD147" s="53">
        <f t="shared" si="145"/>
        <v>158447.57106150946</v>
      </c>
      <c r="AE147" s="53">
        <f t="shared" si="145"/>
        <v>168387.45344168349</v>
      </c>
      <c r="AF147" s="53">
        <f t="shared" si="145"/>
        <v>178688.40843209549</v>
      </c>
      <c r="AG147" s="53">
        <f t="shared" si="145"/>
        <v>189361.52547324929</v>
      </c>
      <c r="AH147" s="53">
        <f t="shared" si="145"/>
        <v>200418.207586704</v>
      </c>
      <c r="AI147" s="53">
        <f t="shared" si="145"/>
        <v>211870.17981724101</v>
      </c>
      <c r="AJ147" s="53">
        <f t="shared" si="145"/>
        <v>223729.49789504858</v>
      </c>
      <c r="AK147" s="53">
        <f t="shared" si="145"/>
        <v>236008.55712352839</v>
      </c>
      <c r="AL147" s="53">
        <f t="shared" si="145"/>
        <v>248720.10149846776</v>
      </c>
      <c r="AM147" s="53">
        <f t="shared" si="145"/>
        <v>261877.23306446767</v>
      </c>
      <c r="AN147" s="53">
        <f t="shared" si="145"/>
        <v>275493.42151465715</v>
      </c>
      <c r="AO147" s="53">
        <f t="shared" si="145"/>
        <v>289582.51403988822</v>
      </c>
      <c r="AP147" s="53">
        <f t="shared" si="145"/>
        <v>304158.74543374381</v>
      </c>
      <c r="AQ147" s="53">
        <f t="shared" si="145"/>
        <v>319236.74845986511</v>
      </c>
    </row>
    <row r="148" spans="1:43" s="16" customFormat="1" hidden="1" outlineLevel="5">
      <c r="A148" s="53"/>
      <c r="B148" s="53"/>
      <c r="C148" s="53"/>
      <c r="D148" s="53"/>
      <c r="E148" s="53"/>
      <c r="F148" s="53" t="s">
        <v>386</v>
      </c>
      <c r="G148" s="53"/>
      <c r="H148" s="53">
        <f t="shared" ref="H148:AQ148" si="146">H78</f>
        <v>14.732594913982874</v>
      </c>
      <c r="I148" s="53">
        <f t="shared" si="146"/>
        <v>19.835702149523083</v>
      </c>
      <c r="J148" s="53">
        <f t="shared" si="146"/>
        <v>25.1244173318081</v>
      </c>
      <c r="K148" s="53">
        <f t="shared" si="146"/>
        <v>30.60389863297392</v>
      </c>
      <c r="L148" s="53">
        <f t="shared" si="146"/>
        <v>36.279432322163217</v>
      </c>
      <c r="M148" s="53">
        <f t="shared" si="146"/>
        <v>42.156435755779697</v>
      </c>
      <c r="N148" s="53">
        <f t="shared" si="146"/>
        <v>48.240460434877342</v>
      </c>
      <c r="O148" s="53">
        <f t="shared" si="146"/>
        <v>54.537195131151321</v>
      </c>
      <c r="P148" s="53">
        <f t="shared" si="146"/>
        <v>61.052469083030793</v>
      </c>
      <c r="Q148" s="53">
        <f t="shared" si="146"/>
        <v>67.792255263403689</v>
      </c>
      <c r="R148" s="53">
        <f t="shared" si="146"/>
        <v>74.762673720538444</v>
      </c>
      <c r="S148" s="53">
        <f t="shared" si="146"/>
        <v>81.969994993799489</v>
      </c>
      <c r="T148" s="53">
        <f t="shared" si="146"/>
        <v>89.420643605788555</v>
      </c>
      <c r="U148" s="53">
        <f t="shared" si="146"/>
        <v>97.121201632579172</v>
      </c>
      <c r="V148" s="53">
        <f t="shared" si="146"/>
        <v>105.07841235374535</v>
      </c>
      <c r="W148" s="53">
        <f t="shared" si="146"/>
        <v>113.29918398392449</v>
      </c>
      <c r="X148" s="53">
        <f t="shared" si="146"/>
        <v>121.79059348768973</v>
      </c>
      <c r="Y148" s="53">
        <f t="shared" si="146"/>
        <v>130.55989047954677</v>
      </c>
      <c r="Z148" s="53">
        <f t="shared" si="146"/>
        <v>139.61450121090652</v>
      </c>
      <c r="AA148" s="53">
        <f t="shared" si="146"/>
        <v>148.96203264592722</v>
      </c>
      <c r="AB148" s="53">
        <f t="shared" si="146"/>
        <v>158.61027662815826</v>
      </c>
      <c r="AC148" s="53">
        <f t="shared" si="146"/>
        <v>168.56721413996002</v>
      </c>
      <c r="AD148" s="53">
        <f t="shared" si="146"/>
        <v>178.84101965671579</v>
      </c>
      <c r="AE148" s="53">
        <f t="shared" si="146"/>
        <v>189.44006559789537</v>
      </c>
      <c r="AF148" s="53">
        <f t="shared" si="146"/>
        <v>200.37292687707392</v>
      </c>
      <c r="AG148" s="53">
        <f t="shared" si="146"/>
        <v>211.64838555305337</v>
      </c>
      <c r="AH148" s="53">
        <f t="shared" si="146"/>
        <v>223.27543558428113</v>
      </c>
      <c r="AI148" s="53">
        <f t="shared" si="146"/>
        <v>235.2632876888068</v>
      </c>
      <c r="AJ148" s="53">
        <f t="shared" si="146"/>
        <v>247.62137431206531</v>
      </c>
      <c r="AK148" s="53">
        <f t="shared" si="146"/>
        <v>260.359354704824</v>
      </c>
      <c r="AL148" s="53">
        <f t="shared" si="146"/>
        <v>273.48712011368031</v>
      </c>
      <c r="AM148" s="53">
        <f t="shared" si="146"/>
        <v>287.01479908655017</v>
      </c>
      <c r="AN148" s="53">
        <f t="shared" si="146"/>
        <v>300.95276289563219</v>
      </c>
      <c r="AO148" s="53">
        <f t="shared" si="146"/>
        <v>315.3116310803984</v>
      </c>
      <c r="AP148" s="53">
        <f t="shared" si="146"/>
        <v>330.10227711319976</v>
      </c>
      <c r="AQ148" s="53">
        <f t="shared" si="146"/>
        <v>345.33583419014599</v>
      </c>
    </row>
    <row r="149" spans="1:43" s="16" customFormat="1" hidden="1" outlineLevel="5">
      <c r="A149" s="53"/>
      <c r="B149" s="53"/>
      <c r="C149" s="53"/>
      <c r="D149" s="53"/>
      <c r="E149" s="53"/>
      <c r="F149" s="53" t="s">
        <v>426</v>
      </c>
      <c r="G149" s="53"/>
      <c r="H149" s="53">
        <f t="shared" ref="H149:AQ149" si="147">H140</f>
        <v>824.5</v>
      </c>
      <c r="I149" s="53">
        <f t="shared" si="147"/>
        <v>827.19919845042295</v>
      </c>
      <c r="J149" s="53">
        <f t="shared" si="147"/>
        <v>829.9072333741932</v>
      </c>
      <c r="K149" s="53">
        <f t="shared" si="147"/>
        <v>832.62413369962485</v>
      </c>
      <c r="L149" s="53">
        <f t="shared" si="147"/>
        <v>835.34992844973613</v>
      </c>
      <c r="M149" s="53">
        <f t="shared" si="147"/>
        <v>838.08464674255902</v>
      </c>
      <c r="N149" s="53">
        <f t="shared" si="147"/>
        <v>840.82831779145022</v>
      </c>
      <c r="O149" s="53">
        <f t="shared" si="147"/>
        <v>843.58097090540343</v>
      </c>
      <c r="P149" s="53">
        <f t="shared" si="147"/>
        <v>846.34263548936235</v>
      </c>
      <c r="Q149" s="53">
        <f t="shared" si="147"/>
        <v>849.11334104453488</v>
      </c>
      <c r="R149" s="53">
        <f t="shared" si="147"/>
        <v>851.89311716870839</v>
      </c>
      <c r="S149" s="53">
        <f t="shared" si="147"/>
        <v>854.68199355656498</v>
      </c>
      <c r="T149" s="53">
        <f t="shared" si="147"/>
        <v>857.48</v>
      </c>
      <c r="U149" s="53">
        <f t="shared" si="147"/>
        <v>860.28716638844003</v>
      </c>
      <c r="V149" s="53">
        <f t="shared" si="147"/>
        <v>863.10352270916087</v>
      </c>
      <c r="W149" s="53">
        <f t="shared" si="147"/>
        <v>865.92909904760984</v>
      </c>
      <c r="X149" s="53">
        <f t="shared" si="147"/>
        <v>868.76392558772568</v>
      </c>
      <c r="Y149" s="53">
        <f t="shared" si="147"/>
        <v>871.60803261226147</v>
      </c>
      <c r="Z149" s="53">
        <f t="shared" si="147"/>
        <v>874.46145050310827</v>
      </c>
      <c r="AA149" s="53">
        <f t="shared" si="147"/>
        <v>877.32420974161948</v>
      </c>
      <c r="AB149" s="53">
        <f t="shared" si="147"/>
        <v>880.19634090893692</v>
      </c>
      <c r="AC149" s="53">
        <f t="shared" si="147"/>
        <v>883.07787468631636</v>
      </c>
      <c r="AD149" s="53">
        <f t="shared" si="147"/>
        <v>885.96884185545673</v>
      </c>
      <c r="AE149" s="53">
        <f t="shared" si="147"/>
        <v>888.86927329882758</v>
      </c>
      <c r="AF149" s="53">
        <f t="shared" si="147"/>
        <v>891.77920000000006</v>
      </c>
      <c r="AG149" s="53">
        <f t="shared" si="147"/>
        <v>894.69865304397752</v>
      </c>
      <c r="AH149" s="53">
        <f t="shared" si="147"/>
        <v>897.62766361752733</v>
      </c>
      <c r="AI149" s="53">
        <f t="shared" si="147"/>
        <v>900.56626300951427</v>
      </c>
      <c r="AJ149" s="53">
        <f t="shared" si="147"/>
        <v>903.51448261123471</v>
      </c>
      <c r="AK149" s="53">
        <f t="shared" si="147"/>
        <v>906.47235391675201</v>
      </c>
      <c r="AL149" s="53">
        <f t="shared" si="147"/>
        <v>909.4399085232327</v>
      </c>
      <c r="AM149" s="53">
        <f t="shared" si="147"/>
        <v>912.41717813128446</v>
      </c>
      <c r="AN149" s="53">
        <f t="shared" si="147"/>
        <v>915.40419454529444</v>
      </c>
      <c r="AO149" s="53">
        <f t="shared" si="147"/>
        <v>918.400989673769</v>
      </c>
      <c r="AP149" s="53">
        <f t="shared" si="147"/>
        <v>921.40759552967484</v>
      </c>
      <c r="AQ149" s="53">
        <f t="shared" si="147"/>
        <v>924.42404423078074</v>
      </c>
    </row>
    <row r="150" spans="1:43" s="16" customFormat="1" outlineLevel="4" collapsed="1">
      <c r="A150" s="53"/>
      <c r="B150" s="53"/>
      <c r="C150" s="53"/>
      <c r="D150" s="53"/>
      <c r="E150" s="53" t="s">
        <v>430</v>
      </c>
      <c r="F150" s="53"/>
      <c r="G150" s="53"/>
      <c r="H150" s="53">
        <f t="shared" ref="H150:AQ150" si="148">(H151*H152)</f>
        <v>63113.890487413461</v>
      </c>
      <c r="I150" s="53">
        <f t="shared" si="148"/>
        <v>77330.209792947368</v>
      </c>
      <c r="J150" s="53">
        <f t="shared" si="148"/>
        <v>92178.369548236224</v>
      </c>
      <c r="K150" s="53">
        <f t="shared" si="148"/>
        <v>107680.19896244102</v>
      </c>
      <c r="L150" s="53">
        <f t="shared" si="148"/>
        <v>123858.20434528985</v>
      </c>
      <c r="M150" s="53">
        <f t="shared" si="148"/>
        <v>140735.58888788597</v>
      </c>
      <c r="N150" s="53">
        <f t="shared" si="148"/>
        <v>158336.27299983581</v>
      </c>
      <c r="O150" s="53">
        <f t="shared" si="148"/>
        <v>176684.91521793662</v>
      </c>
      <c r="P150" s="53">
        <f t="shared" si="148"/>
        <v>195806.93370207961</v>
      </c>
      <c r="Q150" s="53">
        <f t="shared" si="148"/>
        <v>215728.52833443755</v>
      </c>
      <c r="R150" s="53">
        <f t="shared" si="148"/>
        <v>236476.70343844395</v>
      </c>
      <c r="S150" s="53">
        <f t="shared" si="148"/>
        <v>258079.29113450946</v>
      </c>
      <c r="T150" s="53">
        <f t="shared" si="148"/>
        <v>280564.97534987994</v>
      </c>
      <c r="U150" s="53">
        <f t="shared" si="148"/>
        <v>303963.31650050555</v>
      </c>
      <c r="V150" s="53">
        <f t="shared" si="148"/>
        <v>328304.77686326578</v>
      </c>
      <c r="W150" s="53">
        <f t="shared" si="148"/>
        <v>353620.74665739981</v>
      </c>
      <c r="X150" s="53">
        <f t="shared" si="148"/>
        <v>379943.57085447764</v>
      </c>
      <c r="Y150" s="53">
        <f t="shared" si="148"/>
        <v>407306.576736786</v>
      </c>
      <c r="Z150" s="53">
        <f t="shared" si="148"/>
        <v>435744.10222451942</v>
      </c>
      <c r="AA150" s="53">
        <f t="shared" si="148"/>
        <v>465291.52499272022</v>
      </c>
      <c r="AB150" s="53">
        <f t="shared" si="148"/>
        <v>495985.29239947238</v>
      </c>
      <c r="AC150" s="53">
        <f t="shared" si="148"/>
        <v>527862.95224742708</v>
      </c>
      <c r="AD150" s="53">
        <f t="shared" si="148"/>
        <v>560963.18440132751</v>
      </c>
      <c r="AE150" s="53">
        <f t="shared" si="148"/>
        <v>595325.83328480914</v>
      </c>
      <c r="AF150" s="53">
        <f t="shared" si="148"/>
        <v>630991.94128037652</v>
      </c>
      <c r="AG150" s="53">
        <f t="shared" si="148"/>
        <v>668003.78305708594</v>
      </c>
      <c r="AH150" s="53">
        <f t="shared" si="148"/>
        <v>706404.90085113037</v>
      </c>
      <c r="AI150" s="53">
        <f t="shared" si="148"/>
        <v>746240.1407251911</v>
      </c>
      <c r="AJ150" s="53">
        <f t="shared" si="148"/>
        <v>787555.68983310706</v>
      </c>
      <c r="AK150" s="53">
        <f t="shared" si="148"/>
        <v>830399.11471712822</v>
      </c>
      <c r="AL150" s="53">
        <f t="shared" si="148"/>
        <v>874819.40066574491</v>
      </c>
      <c r="AM150" s="53">
        <f t="shared" si="148"/>
        <v>920866.99216082878</v>
      </c>
      <c r="AN150" s="53">
        <f t="shared" si="148"/>
        <v>968593.83444357989</v>
      </c>
      <c r="AO150" s="53">
        <f t="shared" si="148"/>
        <v>1018053.4162295939</v>
      </c>
      <c r="AP150" s="53">
        <f t="shared" si="148"/>
        <v>1069300.813604116</v>
      </c>
      <c r="AQ150" s="53">
        <f t="shared" si="148"/>
        <v>1122392.7351294269</v>
      </c>
    </row>
    <row r="151" spans="1:43" s="16" customFormat="1" hidden="1" outlineLevel="5">
      <c r="A151" s="53"/>
      <c r="B151" s="53"/>
      <c r="C151" s="53"/>
      <c r="D151" s="53"/>
      <c r="E151" s="53"/>
      <c r="F151" s="53" t="s">
        <v>350</v>
      </c>
      <c r="G151" s="53"/>
      <c r="H151" s="53">
        <f t="shared" ref="H151:AQ151" si="149">H36</f>
        <v>76.548078213964175</v>
      </c>
      <c r="I151" s="53">
        <f t="shared" si="149"/>
        <v>93.484386756912514</v>
      </c>
      <c r="J151" s="53">
        <f t="shared" si="149"/>
        <v>111.07069060413205</v>
      </c>
      <c r="K151" s="53">
        <f t="shared" si="149"/>
        <v>129.32630055290642</v>
      </c>
      <c r="L151" s="53">
        <f t="shared" si="149"/>
        <v>148.27104202325017</v>
      </c>
      <c r="M151" s="53">
        <f t="shared" si="149"/>
        <v>167.92526797250449</v>
      </c>
      <c r="N151" s="53">
        <f t="shared" si="149"/>
        <v>188.30987212196604</v>
      </c>
      <c r="O151" s="53">
        <f t="shared" si="149"/>
        <v>209.44630250289219</v>
      </c>
      <c r="P151" s="53">
        <f t="shared" si="149"/>
        <v>231.35657532940238</v>
      </c>
      <c r="Q151" s="53">
        <f t="shared" si="149"/>
        <v>254.0632892059611</v>
      </c>
      <c r="R151" s="53">
        <f t="shared" si="149"/>
        <v>277.58963967731205</v>
      </c>
      <c r="S151" s="53">
        <f t="shared" si="149"/>
        <v>301.95943412891046</v>
      </c>
      <c r="T151" s="53">
        <f t="shared" si="149"/>
        <v>327.19710704608849</v>
      </c>
      <c r="U151" s="53">
        <f t="shared" si="149"/>
        <v>353.32773564037905</v>
      </c>
      <c r="V151" s="53">
        <f t="shared" si="149"/>
        <v>380.37705585161228</v>
      </c>
      <c r="W151" s="53">
        <f t="shared" si="149"/>
        <v>408.37147873460862</v>
      </c>
      <c r="X151" s="53">
        <f t="shared" si="149"/>
        <v>437.33810723948142</v>
      </c>
      <c r="Y151" s="53">
        <f t="shared" si="149"/>
        <v>467.30475339478437</v>
      </c>
      <c r="Z151" s="53">
        <f t="shared" si="149"/>
        <v>498.29995590293959</v>
      </c>
      <c r="AA151" s="53">
        <f t="shared" si="149"/>
        <v>530.35299815760595</v>
      </c>
      <c r="AB151" s="53">
        <f t="shared" si="149"/>
        <v>563.49392669286942</v>
      </c>
      <c r="AC151" s="53">
        <f t="shared" si="149"/>
        <v>597.75357007436355</v>
      </c>
      <c r="AD151" s="53">
        <f t="shared" si="149"/>
        <v>633.1635582426577</v>
      </c>
      <c r="AE151" s="53">
        <f t="shared" si="149"/>
        <v>669.75634231949368</v>
      </c>
      <c r="AF151" s="53">
        <f t="shared" si="149"/>
        <v>707.56521488769476</v>
      </c>
      <c r="AG151" s="53">
        <f t="shared" si="149"/>
        <v>746.6243307558118</v>
      </c>
      <c r="AH151" s="53">
        <f t="shared" si="149"/>
        <v>786.96872821883574</v>
      </c>
      <c r="AI151" s="53">
        <f t="shared" si="149"/>
        <v>828.63435082656133</v>
      </c>
      <c r="AJ151" s="53">
        <f t="shared" si="149"/>
        <v>871.6580696714492</v>
      </c>
      <c r="AK151" s="53">
        <f t="shared" si="149"/>
        <v>916.07770620811436</v>
      </c>
      <c r="AL151" s="53">
        <f t="shared" si="149"/>
        <v>961.93205561684078</v>
      </c>
      <c r="AM151" s="53">
        <f t="shared" si="149"/>
        <v>1009.2609107238098</v>
      </c>
      <c r="AN151" s="53">
        <f t="shared" si="149"/>
        <v>1058.1050864910076</v>
      </c>
      <c r="AO151" s="53">
        <f t="shared" si="149"/>
        <v>1108.5064450891141</v>
      </c>
      <c r="AP151" s="53">
        <f t="shared" si="149"/>
        <v>1160.5079215669198</v>
      </c>
      <c r="AQ151" s="53">
        <f t="shared" si="149"/>
        <v>1214.1535501311816</v>
      </c>
    </row>
    <row r="152" spans="1:43" s="16" customFormat="1" hidden="1" outlineLevel="5">
      <c r="A152" s="53"/>
      <c r="B152" s="53"/>
      <c r="C152" s="53"/>
      <c r="D152" s="53"/>
      <c r="E152" s="53"/>
      <c r="F152" s="53" t="s">
        <v>426</v>
      </c>
      <c r="G152" s="53"/>
      <c r="H152" s="53">
        <f t="shared" ref="H152:AQ152" si="150">H140</f>
        <v>824.5</v>
      </c>
      <c r="I152" s="53">
        <f t="shared" si="150"/>
        <v>827.19919845042295</v>
      </c>
      <c r="J152" s="53">
        <f t="shared" si="150"/>
        <v>829.9072333741932</v>
      </c>
      <c r="K152" s="53">
        <f t="shared" si="150"/>
        <v>832.62413369962485</v>
      </c>
      <c r="L152" s="53">
        <f t="shared" si="150"/>
        <v>835.34992844973613</v>
      </c>
      <c r="M152" s="53">
        <f t="shared" si="150"/>
        <v>838.08464674255902</v>
      </c>
      <c r="N152" s="53">
        <f t="shared" si="150"/>
        <v>840.82831779145022</v>
      </c>
      <c r="O152" s="53">
        <f t="shared" si="150"/>
        <v>843.58097090540343</v>
      </c>
      <c r="P152" s="53">
        <f t="shared" si="150"/>
        <v>846.34263548936235</v>
      </c>
      <c r="Q152" s="53">
        <f t="shared" si="150"/>
        <v>849.11334104453488</v>
      </c>
      <c r="R152" s="53">
        <f t="shared" si="150"/>
        <v>851.89311716870839</v>
      </c>
      <c r="S152" s="53">
        <f t="shared" si="150"/>
        <v>854.68199355656498</v>
      </c>
      <c r="T152" s="53">
        <f t="shared" si="150"/>
        <v>857.48</v>
      </c>
      <c r="U152" s="53">
        <f t="shared" si="150"/>
        <v>860.28716638844003</v>
      </c>
      <c r="V152" s="53">
        <f t="shared" si="150"/>
        <v>863.10352270916087</v>
      </c>
      <c r="W152" s="53">
        <f t="shared" si="150"/>
        <v>865.92909904760984</v>
      </c>
      <c r="X152" s="53">
        <f t="shared" si="150"/>
        <v>868.76392558772568</v>
      </c>
      <c r="Y152" s="53">
        <f t="shared" si="150"/>
        <v>871.60803261226147</v>
      </c>
      <c r="Z152" s="53">
        <f t="shared" si="150"/>
        <v>874.46145050310827</v>
      </c>
      <c r="AA152" s="53">
        <f t="shared" si="150"/>
        <v>877.32420974161948</v>
      </c>
      <c r="AB152" s="53">
        <f t="shared" si="150"/>
        <v>880.19634090893692</v>
      </c>
      <c r="AC152" s="53">
        <f t="shared" si="150"/>
        <v>883.07787468631636</v>
      </c>
      <c r="AD152" s="53">
        <f t="shared" si="150"/>
        <v>885.96884185545673</v>
      </c>
      <c r="AE152" s="53">
        <f t="shared" si="150"/>
        <v>888.86927329882758</v>
      </c>
      <c r="AF152" s="53">
        <f t="shared" si="150"/>
        <v>891.77920000000006</v>
      </c>
      <c r="AG152" s="53">
        <f t="shared" si="150"/>
        <v>894.69865304397752</v>
      </c>
      <c r="AH152" s="53">
        <f t="shared" si="150"/>
        <v>897.62766361752733</v>
      </c>
      <c r="AI152" s="53">
        <f t="shared" si="150"/>
        <v>900.56626300951427</v>
      </c>
      <c r="AJ152" s="53">
        <f t="shared" si="150"/>
        <v>903.51448261123471</v>
      </c>
      <c r="AK152" s="53">
        <f t="shared" si="150"/>
        <v>906.47235391675201</v>
      </c>
      <c r="AL152" s="53">
        <f t="shared" si="150"/>
        <v>909.4399085232327</v>
      </c>
      <c r="AM152" s="53">
        <f t="shared" si="150"/>
        <v>912.41717813128446</v>
      </c>
      <c r="AN152" s="53">
        <f t="shared" si="150"/>
        <v>915.40419454529444</v>
      </c>
      <c r="AO152" s="53">
        <f t="shared" si="150"/>
        <v>918.400989673769</v>
      </c>
      <c r="AP152" s="53">
        <f t="shared" si="150"/>
        <v>921.40759552967484</v>
      </c>
      <c r="AQ152" s="53">
        <f t="shared" si="150"/>
        <v>924.42404423078074</v>
      </c>
    </row>
    <row r="153" spans="1:43" s="16" customFormat="1" outlineLevel="4" collapsed="1">
      <c r="A153" s="53"/>
      <c r="B153" s="53"/>
      <c r="C153" s="53"/>
      <c r="D153" s="53"/>
      <c r="E153" s="53" t="s">
        <v>431</v>
      </c>
      <c r="F153" s="53"/>
      <c r="G153" s="53"/>
      <c r="H153" s="53">
        <f t="shared" ref="H153:AQ153" si="151">(H154*H155)</f>
        <v>4255.0438855985294</v>
      </c>
      <c r="I153" s="53">
        <f t="shared" si="151"/>
        <v>5347.9851523106026</v>
      </c>
      <c r="J153" s="53">
        <f t="shared" si="151"/>
        <v>6487.3819380937139</v>
      </c>
      <c r="K153" s="53">
        <f t="shared" si="151"/>
        <v>7674.7581151834183</v>
      </c>
      <c r="L153" s="53">
        <f t="shared" si="151"/>
        <v>8911.6823109502748</v>
      </c>
      <c r="M153" s="53">
        <f t="shared" si="151"/>
        <v>10199.769143775075</v>
      </c>
      <c r="N153" s="53">
        <f t="shared" si="151"/>
        <v>11540.680491737241</v>
      </c>
      <c r="O153" s="53">
        <f t="shared" si="151"/>
        <v>12936.126794964168</v>
      </c>
      <c r="P153" s="53">
        <f t="shared" si="151"/>
        <v>14387.868392511053</v>
      </c>
      <c r="Q153" s="53">
        <f t="shared" si="151"/>
        <v>15897.716894662261</v>
      </c>
      <c r="R153" s="53">
        <f t="shared" si="151"/>
        <v>17467.536591568503</v>
      </c>
      <c r="S153" s="53">
        <f t="shared" si="151"/>
        <v>19099.2458991565</v>
      </c>
      <c r="T153" s="53">
        <f t="shared" si="151"/>
        <v>20794.81884327222</v>
      </c>
      <c r="U153" s="53">
        <f t="shared" si="151"/>
        <v>22556.286583042507</v>
      </c>
      <c r="V153" s="53">
        <f t="shared" si="151"/>
        <v>24385.738974465079</v>
      </c>
      <c r="W153" s="53">
        <f t="shared" si="151"/>
        <v>26285.326175262442</v>
      </c>
      <c r="X153" s="53">
        <f t="shared" si="151"/>
        <v>28257.260292061179</v>
      </c>
      <c r="Y153" s="53">
        <f t="shared" si="151"/>
        <v>30303.817070985227</v>
      </c>
      <c r="Z153" s="53">
        <f t="shared" si="151"/>
        <v>32427.337632778821</v>
      </c>
      <c r="AA153" s="53">
        <f t="shared" si="151"/>
        <v>34630.230253603266</v>
      </c>
      <c r="AB153" s="53">
        <f t="shared" si="151"/>
        <v>36914.972192680507</v>
      </c>
      <c r="AC153" s="53">
        <f t="shared" si="151"/>
        <v>39284.111567985783</v>
      </c>
      <c r="AD153" s="53">
        <f t="shared" si="151"/>
        <v>41740.269281222296</v>
      </c>
      <c r="AE153" s="53">
        <f t="shared" si="151"/>
        <v>44286.140993341556</v>
      </c>
      <c r="AF153" s="53">
        <f t="shared" si="151"/>
        <v>46924.499151905628</v>
      </c>
      <c r="AG153" s="53">
        <f t="shared" si="151"/>
        <v>49658.195071618771</v>
      </c>
      <c r="AH153" s="53">
        <f t="shared" si="151"/>
        <v>52490.161069390713</v>
      </c>
      <c r="AI153" s="53">
        <f t="shared" si="151"/>
        <v>55423.412655327731</v>
      </c>
      <c r="AJ153" s="53">
        <f t="shared" si="151"/>
        <v>58461.050781082209</v>
      </c>
      <c r="AK153" s="53">
        <f t="shared" si="151"/>
        <v>61606.26414702797</v>
      </c>
      <c r="AL153" s="53">
        <f t="shared" si="151"/>
        <v>64862.331569765622</v>
      </c>
      <c r="AM153" s="53">
        <f t="shared" si="151"/>
        <v>68232.624411499637</v>
      </c>
      <c r="AN153" s="53">
        <f t="shared" si="151"/>
        <v>71720.609072866704</v>
      </c>
      <c r="AO153" s="53">
        <f t="shared" si="151"/>
        <v>75329.849550838044</v>
      </c>
      <c r="AP153" s="53">
        <f t="shared" si="151"/>
        <v>79064.010063353096</v>
      </c>
      <c r="AQ153" s="53">
        <f t="shared" si="151"/>
        <v>82926.857742390697</v>
      </c>
    </row>
    <row r="154" spans="1:43" s="16" customFormat="1" hidden="1" outlineLevel="5">
      <c r="A154" s="53"/>
      <c r="B154" s="53"/>
      <c r="C154" s="53"/>
      <c r="D154" s="53"/>
      <c r="E154" s="53"/>
      <c r="F154" s="53" t="s">
        <v>395</v>
      </c>
      <c r="G154" s="53"/>
      <c r="H154" s="53">
        <f t="shared" ref="H154:AQ154" si="152">H89</f>
        <v>5.1607566835640135</v>
      </c>
      <c r="I154" s="53">
        <f t="shared" si="152"/>
        <v>6.4651720677786981</v>
      </c>
      <c r="J154" s="53">
        <f t="shared" si="152"/>
        <v>7.8169964993769936</v>
      </c>
      <c r="K154" s="53">
        <f t="shared" si="152"/>
        <v>9.2175542415302392</v>
      </c>
      <c r="L154" s="53">
        <f t="shared" si="152"/>
        <v>10.668202638729859</v>
      </c>
      <c r="M154" s="53">
        <f t="shared" si="152"/>
        <v>12.170332893484227</v>
      </c>
      <c r="N154" s="53">
        <f t="shared" si="152"/>
        <v>13.725370860546663</v>
      </c>
      <c r="O154" s="53">
        <f t="shared" si="152"/>
        <v>15.334777859059585</v>
      </c>
      <c r="P154" s="53">
        <f t="shared" si="152"/>
        <v>17.000051503008432</v>
      </c>
      <c r="Q154" s="53">
        <f t="shared" si="152"/>
        <v>18.722726550386923</v>
      </c>
      <c r="R154" s="53">
        <f t="shared" si="152"/>
        <v>20.50437577148454</v>
      </c>
      <c r="S154" s="53">
        <f t="shared" si="152"/>
        <v>22.346610836715218</v>
      </c>
      <c r="T154" s="53">
        <f t="shared" si="152"/>
        <v>24.251083224415986</v>
      </c>
      <c r="U154" s="53">
        <f t="shared" si="152"/>
        <v>26.219485149052904</v>
      </c>
      <c r="V154" s="53">
        <f t="shared" si="152"/>
        <v>28.253550510281393</v>
      </c>
      <c r="W154" s="53">
        <f t="shared" si="152"/>
        <v>30.35505586331756</v>
      </c>
      <c r="X154" s="53">
        <f t="shared" si="152"/>
        <v>32.52582141108693</v>
      </c>
      <c r="Y154" s="53">
        <f t="shared" si="152"/>
        <v>34.76771201862708</v>
      </c>
      <c r="Z154" s="53">
        <f t="shared" si="152"/>
        <v>37.082638250230744</v>
      </c>
      <c r="AA154" s="53">
        <f t="shared" si="152"/>
        <v>39.472557429826544</v>
      </c>
      <c r="AB154" s="53">
        <f t="shared" si="152"/>
        <v>41.939474725105278</v>
      </c>
      <c r="AC154" s="53">
        <f t="shared" si="152"/>
        <v>44.485444255910203</v>
      </c>
      <c r="AD154" s="53">
        <f t="shared" si="152"/>
        <v>47.112570227421273</v>
      </c>
      <c r="AE154" s="53">
        <f t="shared" si="152"/>
        <v>49.823008088674328</v>
      </c>
      <c r="AF154" s="53">
        <f t="shared" si="152"/>
        <v>52.618965716968532</v>
      </c>
      <c r="AG154" s="53">
        <f t="shared" si="152"/>
        <v>55.502704628725873</v>
      </c>
      <c r="AH154" s="53">
        <f t="shared" si="152"/>
        <v>58.476541217379854</v>
      </c>
      <c r="AI154" s="53">
        <f t="shared" si="152"/>
        <v>61.542848018882751</v>
      </c>
      <c r="AJ154" s="53">
        <f t="shared" si="152"/>
        <v>64.704055005432494</v>
      </c>
      <c r="AK154" s="53">
        <f t="shared" si="152"/>
        <v>67.962650908033893</v>
      </c>
      <c r="AL154" s="53">
        <f t="shared" si="152"/>
        <v>71.321184568522412</v>
      </c>
      <c r="AM154" s="53">
        <f t="shared" si="152"/>
        <v>74.782266321691154</v>
      </c>
      <c r="AN154" s="53">
        <f t="shared" si="152"/>
        <v>78.348569408175194</v>
      </c>
      <c r="AO154" s="53">
        <f t="shared" si="152"/>
        <v>82.022831418764511</v>
      </c>
      <c r="AP154" s="53">
        <f t="shared" si="152"/>
        <v>85.807855770825114</v>
      </c>
      <c r="AQ154" s="53">
        <f t="shared" si="152"/>
        <v>89.70651321752959</v>
      </c>
    </row>
    <row r="155" spans="1:43" s="16" customFormat="1" hidden="1" outlineLevel="5">
      <c r="A155" s="53"/>
      <c r="B155" s="53"/>
      <c r="C155" s="53"/>
      <c r="D155" s="53"/>
      <c r="E155" s="53"/>
      <c r="F155" s="53" t="s">
        <v>426</v>
      </c>
      <c r="G155" s="53"/>
      <c r="H155" s="53">
        <f t="shared" ref="H155:AQ155" si="153">H140</f>
        <v>824.5</v>
      </c>
      <c r="I155" s="53">
        <f t="shared" si="153"/>
        <v>827.19919845042295</v>
      </c>
      <c r="J155" s="53">
        <f t="shared" si="153"/>
        <v>829.9072333741932</v>
      </c>
      <c r="K155" s="53">
        <f t="shared" si="153"/>
        <v>832.62413369962485</v>
      </c>
      <c r="L155" s="53">
        <f t="shared" si="153"/>
        <v>835.34992844973613</v>
      </c>
      <c r="M155" s="53">
        <f t="shared" si="153"/>
        <v>838.08464674255902</v>
      </c>
      <c r="N155" s="53">
        <f t="shared" si="153"/>
        <v>840.82831779145022</v>
      </c>
      <c r="O155" s="53">
        <f t="shared" si="153"/>
        <v>843.58097090540343</v>
      </c>
      <c r="P155" s="53">
        <f t="shared" si="153"/>
        <v>846.34263548936235</v>
      </c>
      <c r="Q155" s="53">
        <f t="shared" si="153"/>
        <v>849.11334104453488</v>
      </c>
      <c r="R155" s="53">
        <f t="shared" si="153"/>
        <v>851.89311716870839</v>
      </c>
      <c r="S155" s="53">
        <f t="shared" si="153"/>
        <v>854.68199355656498</v>
      </c>
      <c r="T155" s="53">
        <f t="shared" si="153"/>
        <v>857.48</v>
      </c>
      <c r="U155" s="53">
        <f t="shared" si="153"/>
        <v>860.28716638844003</v>
      </c>
      <c r="V155" s="53">
        <f t="shared" si="153"/>
        <v>863.10352270916087</v>
      </c>
      <c r="W155" s="53">
        <f t="shared" si="153"/>
        <v>865.92909904760984</v>
      </c>
      <c r="X155" s="53">
        <f t="shared" si="153"/>
        <v>868.76392558772568</v>
      </c>
      <c r="Y155" s="53">
        <f t="shared" si="153"/>
        <v>871.60803261226147</v>
      </c>
      <c r="Z155" s="53">
        <f t="shared" si="153"/>
        <v>874.46145050310827</v>
      </c>
      <c r="AA155" s="53">
        <f t="shared" si="153"/>
        <v>877.32420974161948</v>
      </c>
      <c r="AB155" s="53">
        <f t="shared" si="153"/>
        <v>880.19634090893692</v>
      </c>
      <c r="AC155" s="53">
        <f t="shared" si="153"/>
        <v>883.07787468631636</v>
      </c>
      <c r="AD155" s="53">
        <f t="shared" si="153"/>
        <v>885.96884185545673</v>
      </c>
      <c r="AE155" s="53">
        <f t="shared" si="153"/>
        <v>888.86927329882758</v>
      </c>
      <c r="AF155" s="53">
        <f t="shared" si="153"/>
        <v>891.77920000000006</v>
      </c>
      <c r="AG155" s="53">
        <f t="shared" si="153"/>
        <v>894.69865304397752</v>
      </c>
      <c r="AH155" s="53">
        <f t="shared" si="153"/>
        <v>897.62766361752733</v>
      </c>
      <c r="AI155" s="53">
        <f t="shared" si="153"/>
        <v>900.56626300951427</v>
      </c>
      <c r="AJ155" s="53">
        <f t="shared" si="153"/>
        <v>903.51448261123471</v>
      </c>
      <c r="AK155" s="53">
        <f t="shared" si="153"/>
        <v>906.47235391675201</v>
      </c>
      <c r="AL155" s="53">
        <f t="shared" si="153"/>
        <v>909.4399085232327</v>
      </c>
      <c r="AM155" s="53">
        <f t="shared" si="153"/>
        <v>912.41717813128446</v>
      </c>
      <c r="AN155" s="53">
        <f t="shared" si="153"/>
        <v>915.40419454529444</v>
      </c>
      <c r="AO155" s="53">
        <f t="shared" si="153"/>
        <v>918.400989673769</v>
      </c>
      <c r="AP155" s="53">
        <f t="shared" si="153"/>
        <v>921.40759552967484</v>
      </c>
      <c r="AQ155" s="53">
        <f t="shared" si="153"/>
        <v>924.42404423078074</v>
      </c>
    </row>
    <row r="156" spans="1:43" s="16" customFormat="1" outlineLevel="4" collapsed="1">
      <c r="A156" s="53"/>
      <c r="B156" s="53"/>
      <c r="C156" s="53"/>
      <c r="D156" s="53"/>
      <c r="E156" s="53" t="s">
        <v>432</v>
      </c>
      <c r="F156" s="53"/>
      <c r="G156" s="53"/>
      <c r="H156" s="53">
        <f t="shared" ref="H156:AQ156" si="154">(H157*H158)</f>
        <v>34715.672197805572</v>
      </c>
      <c r="I156" s="53">
        <f t="shared" si="154"/>
        <v>40734.281717814207</v>
      </c>
      <c r="J156" s="53">
        <f t="shared" si="154"/>
        <v>47017.159844380731</v>
      </c>
      <c r="K156" s="53">
        <f t="shared" si="154"/>
        <v>53573.420940142641</v>
      </c>
      <c r="L156" s="53">
        <f t="shared" si="154"/>
        <v>60412.462328289083</v>
      </c>
      <c r="M156" s="53">
        <f t="shared" si="154"/>
        <v>67543.972573795734</v>
      </c>
      <c r="N156" s="53">
        <f t="shared" si="154"/>
        <v>74977.939998057685</v>
      </c>
      <c r="O156" s="53">
        <f t="shared" si="154"/>
        <v>82724.661433327987</v>
      </c>
      <c r="P156" s="53">
        <f t="shared" si="154"/>
        <v>90794.751223544852</v>
      </c>
      <c r="Q156" s="53">
        <f t="shared" si="154"/>
        <v>99199.150478305368</v>
      </c>
      <c r="R156" s="53">
        <f t="shared" si="154"/>
        <v>107949.13658692662</v>
      </c>
      <c r="S156" s="53">
        <f t="shared" si="154"/>
        <v>117056.33299972172</v>
      </c>
      <c r="T156" s="53">
        <f t="shared" si="154"/>
        <v>126532.71928381053</v>
      </c>
      <c r="U156" s="53">
        <f t="shared" si="154"/>
        <v>136390.64146098096</v>
      </c>
      <c r="V156" s="53">
        <f t="shared" si="154"/>
        <v>146642.82263531795</v>
      </c>
      <c r="W156" s="53">
        <f t="shared" si="154"/>
        <v>157302.37391852809</v>
      </c>
      <c r="X156" s="53">
        <f t="shared" si="154"/>
        <v>168382.80566109513</v>
      </c>
      <c r="Y156" s="53">
        <f t="shared" si="154"/>
        <v>179898.03899762745</v>
      </c>
      <c r="Z156" s="53">
        <f t="shared" si="154"/>
        <v>191862.4177149742</v>
      </c>
      <c r="AA156" s="53">
        <f t="shared" si="154"/>
        <v>204290.72045192646</v>
      </c>
      <c r="AB156" s="53">
        <f t="shared" si="154"/>
        <v>217198.17323954747</v>
      </c>
      <c r="AC156" s="53">
        <f t="shared" si="154"/>
        <v>230600.46239142466</v>
      </c>
      <c r="AD156" s="53">
        <f t="shared" si="154"/>
        <v>244513.74775338406</v>
      </c>
      <c r="AE156" s="53">
        <f t="shared" si="154"/>
        <v>258954.67632245857</v>
      </c>
      <c r="AF156" s="53">
        <f t="shared" si="154"/>
        <v>273940.39624517388</v>
      </c>
      <c r="AG156" s="53">
        <f t="shared" si="154"/>
        <v>289488.57120547222</v>
      </c>
      <c r="AH156" s="53">
        <f t="shared" si="154"/>
        <v>305617.39521288336</v>
      </c>
      <c r="AI156" s="53">
        <f t="shared" si="154"/>
        <v>322345.60780182655</v>
      </c>
      <c r="AJ156" s="53">
        <f t="shared" si="154"/>
        <v>339692.50965322315</v>
      </c>
      <c r="AK156" s="53">
        <f t="shared" si="154"/>
        <v>357677.97864989814</v>
      </c>
      <c r="AL156" s="53">
        <f t="shared" si="154"/>
        <v>376322.48637755297</v>
      </c>
      <c r="AM156" s="53">
        <f t="shared" si="154"/>
        <v>395647.11508341244</v>
      </c>
      <c r="AN156" s="53">
        <f t="shared" si="154"/>
        <v>415673.57510496187</v>
      </c>
      <c r="AO156" s="53">
        <f t="shared" si="154"/>
        <v>436424.22278153838</v>
      </c>
      <c r="AP156" s="53">
        <f t="shared" si="154"/>
        <v>457922.07886186062</v>
      </c>
      <c r="AQ156" s="53">
        <f t="shared" si="154"/>
        <v>480190.84742094867</v>
      </c>
    </row>
    <row r="157" spans="1:43" s="16" customFormat="1" hidden="1" outlineLevel="5">
      <c r="A157" s="53"/>
      <c r="B157" s="53"/>
      <c r="C157" s="53"/>
      <c r="D157" s="53"/>
      <c r="E157" s="53"/>
      <c r="F157" s="53" t="s">
        <v>363</v>
      </c>
      <c r="G157" s="53"/>
      <c r="H157" s="53">
        <f t="shared" ref="H157:AQ157" si="155">H51</f>
        <v>42.105120919109247</v>
      </c>
      <c r="I157" s="53">
        <f t="shared" si="155"/>
        <v>49.243618458674753</v>
      </c>
      <c r="J157" s="53">
        <f t="shared" si="155"/>
        <v>56.6535125296123</v>
      </c>
      <c r="K157" s="53">
        <f t="shared" si="155"/>
        <v>64.342863450400102</v>
      </c>
      <c r="L157" s="53">
        <f t="shared" si="155"/>
        <v>72.319946732268335</v>
      </c>
      <c r="M157" s="53">
        <f t="shared" si="155"/>
        <v>80.593258492830671</v>
      </c>
      <c r="N157" s="53">
        <f t="shared" si="155"/>
        <v>89.171521000859514</v>
      </c>
      <c r="O157" s="53">
        <f t="shared" si="155"/>
        <v>98.063688355298936</v>
      </c>
      <c r="P157" s="53">
        <f t="shared" si="155"/>
        <v>107.27895230168403</v>
      </c>
      <c r="Q157" s="53">
        <f t="shared" si="155"/>
        <v>116.82674818920611</v>
      </c>
      <c r="R157" s="53">
        <f t="shared" si="155"/>
        <v>126.71676107173951</v>
      </c>
      <c r="S157" s="53">
        <f t="shared" si="155"/>
        <v>136.95893195622196</v>
      </c>
      <c r="T157" s="53">
        <f t="shared" si="155"/>
        <v>147.56346420185955</v>
      </c>
      <c r="U157" s="53">
        <f t="shared" si="155"/>
        <v>158.54083007370744</v>
      </c>
      <c r="V157" s="53">
        <f t="shared" si="155"/>
        <v>169.901777454258</v>
      </c>
      <c r="W157" s="53">
        <f t="shared" si="155"/>
        <v>181.65733671675517</v>
      </c>
      <c r="X157" s="53">
        <f t="shared" si="155"/>
        <v>193.81882776403594</v>
      </c>
      <c r="Y157" s="53">
        <f t="shared" si="155"/>
        <v>206.39786723679248</v>
      </c>
      <c r="Z157" s="53">
        <f t="shared" si="155"/>
        <v>219.40637589523135</v>
      </c>
      <c r="AA157" s="53">
        <f t="shared" si="155"/>
        <v>232.85658617820664</v>
      </c>
      <c r="AB157" s="53">
        <f t="shared" si="155"/>
        <v>246.76104994399003</v>
      </c>
      <c r="AC157" s="53">
        <f t="shared" si="155"/>
        <v>261.13264639694171</v>
      </c>
      <c r="AD157" s="53">
        <f t="shared" si="155"/>
        <v>275.98459020444398</v>
      </c>
      <c r="AE157" s="53">
        <f t="shared" si="155"/>
        <v>291.33043980855552</v>
      </c>
      <c r="AF157" s="53">
        <f t="shared" si="155"/>
        <v>307.18410593695597</v>
      </c>
      <c r="AG157" s="53">
        <f t="shared" si="155"/>
        <v>323.55986031784363</v>
      </c>
      <c r="AH157" s="53">
        <f t="shared" si="155"/>
        <v>340.47234460356907</v>
      </c>
      <c r="AI157" s="53">
        <f t="shared" si="155"/>
        <v>357.93657950788798</v>
      </c>
      <c r="AJ157" s="53">
        <f t="shared" si="155"/>
        <v>375.96797416183364</v>
      </c>
      <c r="AK157" s="53">
        <f t="shared" si="155"/>
        <v>394.58233569332475</v>
      </c>
      <c r="AL157" s="53">
        <f t="shared" si="155"/>
        <v>413.79587903573878</v>
      </c>
      <c r="AM157" s="53">
        <f t="shared" si="155"/>
        <v>433.6252369708061</v>
      </c>
      <c r="AN157" s="53">
        <f t="shared" si="155"/>
        <v>454.08747041129516</v>
      </c>
      <c r="AO157" s="53">
        <f t="shared" si="155"/>
        <v>475.20007892909979</v>
      </c>
      <c r="AP157" s="53">
        <f t="shared" si="155"/>
        <v>496.98101153444725</v>
      </c>
      <c r="AQ157" s="53">
        <f t="shared" si="155"/>
        <v>519.44867771209761</v>
      </c>
    </row>
    <row r="158" spans="1:43" s="16" customFormat="1" hidden="1" outlineLevel="5">
      <c r="A158" s="53"/>
      <c r="B158" s="53"/>
      <c r="C158" s="53"/>
      <c r="D158" s="53"/>
      <c r="E158" s="53"/>
      <c r="F158" s="53" t="s">
        <v>426</v>
      </c>
      <c r="G158" s="53"/>
      <c r="H158" s="53">
        <f t="shared" ref="H158:AQ158" si="156">H140</f>
        <v>824.5</v>
      </c>
      <c r="I158" s="53">
        <f t="shared" si="156"/>
        <v>827.19919845042295</v>
      </c>
      <c r="J158" s="53">
        <f t="shared" si="156"/>
        <v>829.9072333741932</v>
      </c>
      <c r="K158" s="53">
        <f t="shared" si="156"/>
        <v>832.62413369962485</v>
      </c>
      <c r="L158" s="53">
        <f t="shared" si="156"/>
        <v>835.34992844973613</v>
      </c>
      <c r="M158" s="53">
        <f t="shared" si="156"/>
        <v>838.08464674255902</v>
      </c>
      <c r="N158" s="53">
        <f t="shared" si="156"/>
        <v>840.82831779145022</v>
      </c>
      <c r="O158" s="53">
        <f t="shared" si="156"/>
        <v>843.58097090540343</v>
      </c>
      <c r="P158" s="53">
        <f t="shared" si="156"/>
        <v>846.34263548936235</v>
      </c>
      <c r="Q158" s="53">
        <f t="shared" si="156"/>
        <v>849.11334104453488</v>
      </c>
      <c r="R158" s="53">
        <f t="shared" si="156"/>
        <v>851.89311716870839</v>
      </c>
      <c r="S158" s="53">
        <f t="shared" si="156"/>
        <v>854.68199355656498</v>
      </c>
      <c r="T158" s="53">
        <f t="shared" si="156"/>
        <v>857.48</v>
      </c>
      <c r="U158" s="53">
        <f t="shared" si="156"/>
        <v>860.28716638844003</v>
      </c>
      <c r="V158" s="53">
        <f t="shared" si="156"/>
        <v>863.10352270916087</v>
      </c>
      <c r="W158" s="53">
        <f t="shared" si="156"/>
        <v>865.92909904760984</v>
      </c>
      <c r="X158" s="53">
        <f t="shared" si="156"/>
        <v>868.76392558772568</v>
      </c>
      <c r="Y158" s="53">
        <f t="shared" si="156"/>
        <v>871.60803261226147</v>
      </c>
      <c r="Z158" s="53">
        <f t="shared" si="156"/>
        <v>874.46145050310827</v>
      </c>
      <c r="AA158" s="53">
        <f t="shared" si="156"/>
        <v>877.32420974161948</v>
      </c>
      <c r="AB158" s="53">
        <f t="shared" si="156"/>
        <v>880.19634090893692</v>
      </c>
      <c r="AC158" s="53">
        <f t="shared" si="156"/>
        <v>883.07787468631636</v>
      </c>
      <c r="AD158" s="53">
        <f t="shared" si="156"/>
        <v>885.96884185545673</v>
      </c>
      <c r="AE158" s="53">
        <f t="shared" si="156"/>
        <v>888.86927329882758</v>
      </c>
      <c r="AF158" s="53">
        <f t="shared" si="156"/>
        <v>891.77920000000006</v>
      </c>
      <c r="AG158" s="53">
        <f t="shared" si="156"/>
        <v>894.69865304397752</v>
      </c>
      <c r="AH158" s="53">
        <f t="shared" si="156"/>
        <v>897.62766361752733</v>
      </c>
      <c r="AI158" s="53">
        <f t="shared" si="156"/>
        <v>900.56626300951427</v>
      </c>
      <c r="AJ158" s="53">
        <f t="shared" si="156"/>
        <v>903.51448261123471</v>
      </c>
      <c r="AK158" s="53">
        <f t="shared" si="156"/>
        <v>906.47235391675201</v>
      </c>
      <c r="AL158" s="53">
        <f t="shared" si="156"/>
        <v>909.4399085232327</v>
      </c>
      <c r="AM158" s="53">
        <f t="shared" si="156"/>
        <v>912.41717813128446</v>
      </c>
      <c r="AN158" s="53">
        <f t="shared" si="156"/>
        <v>915.40419454529444</v>
      </c>
      <c r="AO158" s="53">
        <f t="shared" si="156"/>
        <v>918.400989673769</v>
      </c>
      <c r="AP158" s="53">
        <f t="shared" si="156"/>
        <v>921.40759552967484</v>
      </c>
      <c r="AQ158" s="53">
        <f t="shared" si="156"/>
        <v>924.42404423078074</v>
      </c>
    </row>
    <row r="159" spans="1:43" s="16" customFormat="1" outlineLevel="4" collapsed="1">
      <c r="A159" s="53"/>
      <c r="B159" s="53"/>
      <c r="C159" s="53"/>
      <c r="D159" s="53"/>
      <c r="E159" s="53" t="s">
        <v>433</v>
      </c>
      <c r="F159" s="53"/>
      <c r="G159" s="53"/>
      <c r="H159" s="53">
        <f t="shared" ref="H159:AQ159" si="157">(H160*H161)</f>
        <v>1357.6422047155147</v>
      </c>
      <c r="I159" s="53">
        <f t="shared" si="157"/>
        <v>1610.7186801978282</v>
      </c>
      <c r="J159" s="53">
        <f t="shared" si="157"/>
        <v>1874.4943334800926</v>
      </c>
      <c r="K159" s="53">
        <f t="shared" si="157"/>
        <v>2149.3218008652948</v>
      </c>
      <c r="L159" s="53">
        <f t="shared" si="157"/>
        <v>2435.5641441121475</v>
      </c>
      <c r="M159" s="53">
        <f t="shared" si="157"/>
        <v>2733.5951402895603</v>
      </c>
      <c r="N159" s="53">
        <f t="shared" si="157"/>
        <v>3043.7995793769869</v>
      </c>
      <c r="O159" s="53">
        <f t="shared" si="157"/>
        <v>3366.5735698119947</v>
      </c>
      <c r="P159" s="53">
        <f t="shared" si="157"/>
        <v>3702.3248521915848</v>
      </c>
      <c r="Q159" s="53">
        <f t="shared" si="157"/>
        <v>4051.4731213389337</v>
      </c>
      <c r="R159" s="53">
        <f t="shared" si="157"/>
        <v>4414.4503569527615</v>
      </c>
      <c r="S159" s="53">
        <f t="shared" si="157"/>
        <v>4791.7011630619027</v>
      </c>
      <c r="T159" s="53">
        <f t="shared" si="157"/>
        <v>5183.6831165134854</v>
      </c>
      <c r="U159" s="53">
        <f t="shared" si="157"/>
        <v>5590.8671247287657</v>
      </c>
      <c r="V159" s="53">
        <f t="shared" si="157"/>
        <v>6013.7377929667264</v>
      </c>
      <c r="W159" s="53">
        <f t="shared" si="157"/>
        <v>6452.7938013415978</v>
      </c>
      <c r="X159" s="53">
        <f t="shared" si="157"/>
        <v>6908.548291846726</v>
      </c>
      <c r="Y159" s="53">
        <f t="shared" si="157"/>
        <v>7381.5292656436468</v>
      </c>
      <c r="Z159" s="53">
        <f t="shared" si="157"/>
        <v>7872.2799908817005</v>
      </c>
      <c r="AA159" s="53">
        <f t="shared" si="157"/>
        <v>8381.3594213203778</v>
      </c>
      <c r="AB159" s="53">
        <f t="shared" si="157"/>
        <v>8909.3426260334199</v>
      </c>
      <c r="AC159" s="53">
        <f t="shared" si="157"/>
        <v>9456.8212304807184</v>
      </c>
      <c r="AD159" s="53">
        <f t="shared" si="157"/>
        <v>10024.403869241496</v>
      </c>
      <c r="AE159" s="53">
        <f t="shared" si="157"/>
        <v>10612.716650709353</v>
      </c>
      <c r="AF159" s="53">
        <f t="shared" si="157"/>
        <v>11222.403634057897</v>
      </c>
      <c r="AG159" s="53">
        <f t="shared" si="157"/>
        <v>11854.127318792747</v>
      </c>
      <c r="AH159" s="53">
        <f t="shared" si="157"/>
        <v>12508.56914721453</v>
      </c>
      <c r="AI159" s="53">
        <f t="shared" si="157"/>
        <v>13186.430020125015</v>
      </c>
      <c r="AJ159" s="53">
        <f t="shared" si="157"/>
        <v>13888.430826117308</v>
      </c>
      <c r="AK159" s="53">
        <f t="shared" si="157"/>
        <v>14615.312984799542</v>
      </c>
      <c r="AL159" s="53">
        <f t="shared" si="157"/>
        <v>15367.839004310283</v>
      </c>
      <c r="AM159" s="53">
        <f t="shared" si="157"/>
        <v>16146.793053493042</v>
      </c>
      <c r="AN159" s="53">
        <f t="shared" si="157"/>
        <v>16952.981549106335</v>
      </c>
      <c r="AO159" s="53">
        <f t="shared" si="157"/>
        <v>17787.233758455626</v>
      </c>
      <c r="AP159" s="53">
        <f t="shared" si="157"/>
        <v>18650.402417842743</v>
      </c>
      <c r="AQ159" s="53">
        <f t="shared" si="157"/>
        <v>19543.364367238722</v>
      </c>
    </row>
    <row r="160" spans="1:43" s="16" customFormat="1" hidden="1" outlineLevel="5">
      <c r="A160" s="53"/>
      <c r="B160" s="53"/>
      <c r="C160" s="53"/>
      <c r="D160" s="53"/>
      <c r="E160" s="53"/>
      <c r="F160" s="53" t="s">
        <v>404</v>
      </c>
      <c r="G160" s="53"/>
      <c r="H160" s="53">
        <f t="shared" ref="H160:AQ160" si="158">H100</f>
        <v>1.6466248692729106</v>
      </c>
      <c r="I160" s="53">
        <f t="shared" si="158"/>
        <v>1.9471956491437103</v>
      </c>
      <c r="J160" s="53">
        <f t="shared" si="158"/>
        <v>2.2586793536656766</v>
      </c>
      <c r="K160" s="53">
        <f t="shared" si="158"/>
        <v>2.5813830201091408</v>
      </c>
      <c r="L160" s="53">
        <f t="shared" si="158"/>
        <v>2.9156214194357211</v>
      </c>
      <c r="M160" s="53">
        <f t="shared" si="158"/>
        <v>3.2617172393199323</v>
      </c>
      <c r="N160" s="53">
        <f t="shared" si="158"/>
        <v>3.6200012713319882</v>
      </c>
      <c r="O160" s="53">
        <f t="shared" si="158"/>
        <v>3.990812602373782</v>
      </c>
      <c r="P160" s="53">
        <f t="shared" si="158"/>
        <v>4.3744988104621125</v>
      </c>
      <c r="Q160" s="53">
        <f t="shared" si="158"/>
        <v>4.7714161649551086</v>
      </c>
      <c r="R160" s="53">
        <f t="shared" si="158"/>
        <v>5.1819298313200557</v>
      </c>
      <c r="S160" s="53">
        <f t="shared" si="158"/>
        <v>5.606414080542784</v>
      </c>
      <c r="T160" s="53">
        <f t="shared" si="158"/>
        <v>6.0452525032811089</v>
      </c>
      <c r="U160" s="53">
        <f t="shared" si="158"/>
        <v>6.4988382288668909</v>
      </c>
      <c r="V160" s="53">
        <f t="shared" si="158"/>
        <v>6.9675741492636334</v>
      </c>
      <c r="W160" s="53">
        <f t="shared" si="158"/>
        <v>7.4518731480887856</v>
      </c>
      <c r="X160" s="53">
        <f t="shared" si="158"/>
        <v>7.9521583348123466</v>
      </c>
      <c r="Y160" s="53">
        <f t="shared" si="158"/>
        <v>8.4688632842457423</v>
      </c>
      <c r="Z160" s="53">
        <f t="shared" si="158"/>
        <v>9.0024322814373381</v>
      </c>
      <c r="AA160" s="53">
        <f t="shared" si="158"/>
        <v>9.5533205720936039</v>
      </c>
      <c r="AB160" s="53">
        <f t="shared" si="158"/>
        <v>10.121994618647433</v>
      </c>
      <c r="AC160" s="53">
        <f t="shared" si="158"/>
        <v>10.708932362097663</v>
      </c>
      <c r="AD160" s="53">
        <f t="shared" si="158"/>
        <v>11.314623489746774</v>
      </c>
      <c r="AE160" s="53">
        <f t="shared" si="158"/>
        <v>11.939569708966058</v>
      </c>
      <c r="AF160" s="53">
        <f t="shared" si="158"/>
        <v>12.584285027120947</v>
      </c>
      <c r="AG160" s="53">
        <f t="shared" si="158"/>
        <v>13.249296037791259</v>
      </c>
      <c r="AH160" s="53">
        <f t="shared" si="158"/>
        <v>13.935142213424854</v>
      </c>
      <c r="AI160" s="53">
        <f t="shared" si="158"/>
        <v>14.642376204565531</v>
      </c>
      <c r="AJ160" s="53">
        <f t="shared" si="158"/>
        <v>15.371564145799352</v>
      </c>
      <c r="AK160" s="53">
        <f t="shared" si="158"/>
        <v>16.123285968566641</v>
      </c>
      <c r="AL160" s="53">
        <f t="shared" si="158"/>
        <v>16.898135720989963</v>
      </c>
      <c r="AM160" s="53">
        <f t="shared" si="158"/>
        <v>17.696721894871796</v>
      </c>
      <c r="AN160" s="53">
        <f t="shared" si="158"/>
        <v>18.519667760018656</v>
      </c>
      <c r="AO160" s="53">
        <f t="shared" si="158"/>
        <v>19.367611706052212</v>
      </c>
      <c r="AP160" s="53">
        <f t="shared" si="158"/>
        <v>20.241207591870875</v>
      </c>
      <c r="AQ160" s="53">
        <f t="shared" si="158"/>
        <v>21.141125102929234</v>
      </c>
    </row>
    <row r="161" spans="1:43" s="16" customFormat="1" hidden="1" outlineLevel="5">
      <c r="A161" s="53"/>
      <c r="B161" s="53"/>
      <c r="C161" s="53"/>
      <c r="D161" s="53"/>
      <c r="E161" s="53"/>
      <c r="F161" s="53" t="s">
        <v>426</v>
      </c>
      <c r="G161" s="53"/>
      <c r="H161" s="53">
        <f t="shared" ref="H161:AQ161" si="159">H140</f>
        <v>824.5</v>
      </c>
      <c r="I161" s="53">
        <f t="shared" si="159"/>
        <v>827.19919845042295</v>
      </c>
      <c r="J161" s="53">
        <f t="shared" si="159"/>
        <v>829.9072333741932</v>
      </c>
      <c r="K161" s="53">
        <f t="shared" si="159"/>
        <v>832.62413369962485</v>
      </c>
      <c r="L161" s="53">
        <f t="shared" si="159"/>
        <v>835.34992844973613</v>
      </c>
      <c r="M161" s="53">
        <f t="shared" si="159"/>
        <v>838.08464674255902</v>
      </c>
      <c r="N161" s="53">
        <f t="shared" si="159"/>
        <v>840.82831779145022</v>
      </c>
      <c r="O161" s="53">
        <f t="shared" si="159"/>
        <v>843.58097090540343</v>
      </c>
      <c r="P161" s="53">
        <f t="shared" si="159"/>
        <v>846.34263548936235</v>
      </c>
      <c r="Q161" s="53">
        <f t="shared" si="159"/>
        <v>849.11334104453488</v>
      </c>
      <c r="R161" s="53">
        <f t="shared" si="159"/>
        <v>851.89311716870839</v>
      </c>
      <c r="S161" s="53">
        <f t="shared" si="159"/>
        <v>854.68199355656498</v>
      </c>
      <c r="T161" s="53">
        <f t="shared" si="159"/>
        <v>857.48</v>
      </c>
      <c r="U161" s="53">
        <f t="shared" si="159"/>
        <v>860.28716638844003</v>
      </c>
      <c r="V161" s="53">
        <f t="shared" si="159"/>
        <v>863.10352270916087</v>
      </c>
      <c r="W161" s="53">
        <f t="shared" si="159"/>
        <v>865.92909904760984</v>
      </c>
      <c r="X161" s="53">
        <f t="shared" si="159"/>
        <v>868.76392558772568</v>
      </c>
      <c r="Y161" s="53">
        <f t="shared" si="159"/>
        <v>871.60803261226147</v>
      </c>
      <c r="Z161" s="53">
        <f t="shared" si="159"/>
        <v>874.46145050310827</v>
      </c>
      <c r="AA161" s="53">
        <f t="shared" si="159"/>
        <v>877.32420974161948</v>
      </c>
      <c r="AB161" s="53">
        <f t="shared" si="159"/>
        <v>880.19634090893692</v>
      </c>
      <c r="AC161" s="53">
        <f t="shared" si="159"/>
        <v>883.07787468631636</v>
      </c>
      <c r="AD161" s="53">
        <f t="shared" si="159"/>
        <v>885.96884185545673</v>
      </c>
      <c r="AE161" s="53">
        <f t="shared" si="159"/>
        <v>888.86927329882758</v>
      </c>
      <c r="AF161" s="53">
        <f t="shared" si="159"/>
        <v>891.77920000000006</v>
      </c>
      <c r="AG161" s="53">
        <f t="shared" si="159"/>
        <v>894.69865304397752</v>
      </c>
      <c r="AH161" s="53">
        <f t="shared" si="159"/>
        <v>897.62766361752733</v>
      </c>
      <c r="AI161" s="53">
        <f t="shared" si="159"/>
        <v>900.56626300951427</v>
      </c>
      <c r="AJ161" s="53">
        <f t="shared" si="159"/>
        <v>903.51448261123471</v>
      </c>
      <c r="AK161" s="53">
        <f t="shared" si="159"/>
        <v>906.47235391675201</v>
      </c>
      <c r="AL161" s="53">
        <f t="shared" si="159"/>
        <v>909.4399085232327</v>
      </c>
      <c r="AM161" s="53">
        <f t="shared" si="159"/>
        <v>912.41717813128446</v>
      </c>
      <c r="AN161" s="53">
        <f t="shared" si="159"/>
        <v>915.40419454529444</v>
      </c>
      <c r="AO161" s="53">
        <f t="shared" si="159"/>
        <v>918.400989673769</v>
      </c>
      <c r="AP161" s="53">
        <f t="shared" si="159"/>
        <v>921.40759552967484</v>
      </c>
      <c r="AQ161" s="53">
        <f t="shared" si="159"/>
        <v>924.42404423078074</v>
      </c>
    </row>
    <row r="162" spans="1:43" s="16" customFormat="1" outlineLevel="3">
      <c r="A162" s="53"/>
      <c r="B162" s="53"/>
      <c r="C162" s="53"/>
      <c r="D162" s="53" t="s">
        <v>434</v>
      </c>
      <c r="E162" s="53"/>
      <c r="F162" s="53"/>
      <c r="G162" s="53"/>
      <c r="H162" s="53">
        <f t="shared" ref="H162:AQ162" si="160">(((((((H163+H166)+H169)+H172)+H175)+H178)+H181)+H184)</f>
        <v>517559.16579612851</v>
      </c>
      <c r="I162" s="53">
        <f t="shared" si="160"/>
        <v>698832.7484202116</v>
      </c>
      <c r="J162" s="53">
        <f t="shared" si="160"/>
        <v>888201.60679100512</v>
      </c>
      <c r="K162" s="53">
        <f t="shared" si="160"/>
        <v>1085943.3909768427</v>
      </c>
      <c r="L162" s="53">
        <f t="shared" si="160"/>
        <v>1292344.2780679388</v>
      </c>
      <c r="M162" s="53">
        <f t="shared" si="160"/>
        <v>1507699.2186605027</v>
      </c>
      <c r="N162" s="53">
        <f t="shared" si="160"/>
        <v>1732312.1902000904</v>
      </c>
      <c r="O162" s="53">
        <f t="shared" si="160"/>
        <v>1966496.4573701718</v>
      </c>
      <c r="P162" s="53">
        <f t="shared" si="160"/>
        <v>2210574.8397169104</v>
      </c>
      <c r="Q162" s="53">
        <f t="shared" si="160"/>
        <v>2464879.9867061665</v>
      </c>
      <c r="R162" s="53">
        <f t="shared" si="160"/>
        <v>2729754.6604139898</v>
      </c>
      <c r="S162" s="53">
        <f t="shared" si="160"/>
        <v>3005552.0260572084</v>
      </c>
      <c r="T162" s="53">
        <f t="shared" si="160"/>
        <v>3292635.9505762183</v>
      </c>
      <c r="U162" s="53">
        <f t="shared" si="160"/>
        <v>3591381.3094877</v>
      </c>
      <c r="V162" s="53">
        <f t="shared" si="160"/>
        <v>3902174.3022307768</v>
      </c>
      <c r="W162" s="53">
        <f t="shared" si="160"/>
        <v>4225412.7762360871</v>
      </c>
      <c r="X162" s="53">
        <f t="shared" si="160"/>
        <v>4561506.5599532863</v>
      </c>
      <c r="Y162" s="53">
        <f t="shared" si="160"/>
        <v>4910877.8050788157</v>
      </c>
      <c r="Z162" s="53">
        <f t="shared" si="160"/>
        <v>5273961.3382320963</v>
      </c>
      <c r="AA162" s="53">
        <f t="shared" si="160"/>
        <v>5651205.0223349761</v>
      </c>
      <c r="AB162" s="53">
        <f t="shared" si="160"/>
        <v>6043070.1279559676</v>
      </c>
      <c r="AC162" s="53">
        <f t="shared" si="160"/>
        <v>6450031.7148877447</v>
      </c>
      <c r="AD162" s="53">
        <f t="shared" si="160"/>
        <v>6872579.0242334921</v>
      </c>
      <c r="AE162" s="53">
        <f t="shared" si="160"/>
        <v>7311215.8812849699</v>
      </c>
      <c r="AF162" s="53">
        <f t="shared" si="160"/>
        <v>7766461.1094827689</v>
      </c>
      <c r="AG162" s="53">
        <f t="shared" si="160"/>
        <v>8238848.9557566466</v>
      </c>
      <c r="AH162" s="53">
        <f t="shared" si="160"/>
        <v>8728929.5275520626</v>
      </c>
      <c r="AI162" s="53">
        <f t="shared" si="160"/>
        <v>9237269.241856847</v>
      </c>
      <c r="AJ162" s="53">
        <f t="shared" si="160"/>
        <v>9764451.2865503747</v>
      </c>
      <c r="AK162" s="53">
        <f t="shared" si="160"/>
        <v>10311076.094406139</v>
      </c>
      <c r="AL162" s="53">
        <f t="shared" si="160"/>
        <v>10877761.830087265</v>
      </c>
      <c r="AM162" s="53">
        <f t="shared" si="160"/>
        <v>11465144.890483653</v>
      </c>
      <c r="AN162" s="53">
        <f t="shared" si="160"/>
        <v>12073880.418748328</v>
      </c>
      <c r="AO162" s="53">
        <f t="shared" si="160"/>
        <v>12704642.832400544</v>
      </c>
      <c r="AP162" s="53">
        <f t="shared" si="160"/>
        <v>13358126.365872189</v>
      </c>
      <c r="AQ162" s="53">
        <f t="shared" si="160"/>
        <v>14035045.627884651</v>
      </c>
    </row>
    <row r="163" spans="1:43" s="16" customFormat="1" outlineLevel="4">
      <c r="A163" s="53"/>
      <c r="B163" s="53"/>
      <c r="C163" s="53"/>
      <c r="D163" s="53"/>
      <c r="E163" s="53" t="s">
        <v>435</v>
      </c>
      <c r="F163" s="53"/>
      <c r="G163" s="53"/>
      <c r="H163" s="53">
        <f t="shared" ref="H163:AQ163" si="161">(H164*H165)</f>
        <v>230478.1314146111</v>
      </c>
      <c r="I163" s="53">
        <f t="shared" si="161"/>
        <v>326236.11035041156</v>
      </c>
      <c r="J163" s="53">
        <f t="shared" si="161"/>
        <v>426328.57833487075</v>
      </c>
      <c r="K163" s="53">
        <f t="shared" si="161"/>
        <v>530905.66935058055</v>
      </c>
      <c r="L163" s="53">
        <f t="shared" si="161"/>
        <v>640122.16815653862</v>
      </c>
      <c r="M163" s="53">
        <f t="shared" si="161"/>
        <v>754137.64579489909</v>
      </c>
      <c r="N163" s="53">
        <f t="shared" si="161"/>
        <v>873116.59889670636</v>
      </c>
      <c r="O163" s="53">
        <f t="shared" si="161"/>
        <v>997228.59289034165</v>
      </c>
      <c r="P163" s="53">
        <f t="shared" si="161"/>
        <v>1126648.4092192149</v>
      </c>
      <c r="Q163" s="53">
        <f t="shared" si="161"/>
        <v>1261556.1966780736</v>
      </c>
      <c r="R163" s="53">
        <f t="shared" si="161"/>
        <v>1402137.6269802286</v>
      </c>
      <c r="S163" s="53">
        <f t="shared" si="161"/>
        <v>1548584.0546710093</v>
      </c>
      <c r="T163" s="53">
        <f t="shared" si="161"/>
        <v>1701092.6815058461</v>
      </c>
      <c r="U163" s="53">
        <f t="shared" si="161"/>
        <v>1859866.7254145371</v>
      </c>
      <c r="V163" s="53">
        <f t="shared" si="161"/>
        <v>2025115.5941765087</v>
      </c>
      <c r="W163" s="53">
        <f t="shared" si="161"/>
        <v>2197055.0639352249</v>
      </c>
      <c r="X163" s="53">
        <f t="shared" si="161"/>
        <v>2375907.4626833051</v>
      </c>
      <c r="Y163" s="53">
        <f t="shared" si="161"/>
        <v>2561901.8588534584</v>
      </c>
      <c r="Z163" s="53">
        <f t="shared" si="161"/>
        <v>2755274.2551538884</v>
      </c>
      <c r="AA163" s="53">
        <f t="shared" si="161"/>
        <v>2956267.7877906063</v>
      </c>
      <c r="AB163" s="53">
        <f t="shared" si="161"/>
        <v>3165132.931222809</v>
      </c>
      <c r="AC163" s="53">
        <f t="shared" si="161"/>
        <v>3382127.7086014417</v>
      </c>
      <c r="AD163" s="53">
        <f t="shared" si="161"/>
        <v>3607517.9080450134</v>
      </c>
      <c r="AE163" s="53">
        <f t="shared" si="161"/>
        <v>3841577.3049108847</v>
      </c>
      <c r="AF163" s="53">
        <f t="shared" si="161"/>
        <v>4084587.8902244577</v>
      </c>
      <c r="AG163" s="53">
        <f t="shared" si="161"/>
        <v>4336840.1054329639</v>
      </c>
      <c r="AH163" s="53">
        <f t="shared" si="161"/>
        <v>4598633.0836550761</v>
      </c>
      <c r="AI163" s="53">
        <f t="shared" si="161"/>
        <v>4870274.8976020804</v>
      </c>
      <c r="AJ163" s="53">
        <f t="shared" si="161"/>
        <v>5152082.8143509952</v>
      </c>
      <c r="AK163" s="53">
        <f t="shared" si="161"/>
        <v>5444383.5571548752</v>
      </c>
      <c r="AL163" s="53">
        <f t="shared" si="161"/>
        <v>5747513.5744804423</v>
      </c>
      <c r="AM163" s="53">
        <f t="shared" si="161"/>
        <v>6061819.3164682472</v>
      </c>
      <c r="AN163" s="53">
        <f t="shared" si="161"/>
        <v>6387657.519015668</v>
      </c>
      <c r="AO163" s="53">
        <f t="shared" si="161"/>
        <v>6725395.4956886182</v>
      </c>
      <c r="AP163" s="53">
        <f t="shared" si="161"/>
        <v>7075411.4376729159</v>
      </c>
      <c r="AQ163" s="53">
        <f t="shared" si="161"/>
        <v>7438094.721982277</v>
      </c>
    </row>
    <row r="164" spans="1:43" s="16" customFormat="1" outlineLevel="5">
      <c r="A164" s="53"/>
      <c r="B164" s="53"/>
      <c r="C164" s="53"/>
      <c r="D164" s="53"/>
      <c r="E164" s="53"/>
      <c r="F164" s="53" t="s">
        <v>324</v>
      </c>
      <c r="G164" s="53"/>
      <c r="H164" s="53">
        <f t="shared" ref="H164:AQ164" si="162">H6</f>
        <v>250.11191689051665</v>
      </c>
      <c r="I164" s="53">
        <f t="shared" si="162"/>
        <v>352.8720382012383</v>
      </c>
      <c r="J164" s="53">
        <f t="shared" si="162"/>
        <v>459.63195708956715</v>
      </c>
      <c r="K164" s="53">
        <f t="shared" si="162"/>
        <v>570.51056151812998</v>
      </c>
      <c r="L164" s="53">
        <f t="shared" si="162"/>
        <v>685.62989926971431</v>
      </c>
      <c r="M164" s="53">
        <f t="shared" si="162"/>
        <v>805.11525695386615</v>
      </c>
      <c r="N164" s="53">
        <f t="shared" si="162"/>
        <v>929.09524091491096</v>
      </c>
      <c r="O164" s="53">
        <f t="shared" si="162"/>
        <v>1057.7018600859767</v>
      </c>
      <c r="P164" s="53">
        <f t="shared" si="162"/>
        <v>1191.0706108346458</v>
      </c>
      <c r="Q164" s="53">
        <f t="shared" si="162"/>
        <v>1329.3405638468985</v>
      </c>
      <c r="R164" s="53">
        <f t="shared" si="162"/>
        <v>1472.6544530970873</v>
      </c>
      <c r="S164" s="53">
        <f t="shared" si="162"/>
        <v>1621.158766952778</v>
      </c>
      <c r="T164" s="53">
        <f t="shared" si="162"/>
        <v>1775.0038414644248</v>
      </c>
      <c r="U164" s="53">
        <f t="shared" si="162"/>
        <v>1934.3439558909834</v>
      </c>
      <c r="V164" s="53">
        <f t="shared" si="162"/>
        <v>2099.3374305137468</v>
      </c>
      <c r="W164" s="53">
        <f t="shared" si="162"/>
        <v>2270.1467267918879</v>
      </c>
      <c r="X164" s="53">
        <f t="shared" si="162"/>
        <v>2446.9385499144205</v>
      </c>
      <c r="Y164" s="53">
        <f t="shared" si="162"/>
        <v>2629.8839538045586</v>
      </c>
      <c r="Z164" s="53">
        <f t="shared" si="162"/>
        <v>2819.1584486337038</v>
      </c>
      <c r="AA164" s="53">
        <f t="shared" si="162"/>
        <v>3014.9421109036552</v>
      </c>
      <c r="AB164" s="53">
        <f t="shared" si="162"/>
        <v>3217.4196961569273</v>
      </c>
      <c r="AC164" s="53">
        <f t="shared" si="162"/>
        <v>3426.7807543764911</v>
      </c>
      <c r="AD164" s="53">
        <f t="shared" si="162"/>
        <v>3643.2197481375802</v>
      </c>
      <c r="AE164" s="53">
        <f t="shared" si="162"/>
        <v>3866.9361735757352</v>
      </c>
      <c r="AF164" s="53">
        <f t="shared" si="162"/>
        <v>4098.1346842366702</v>
      </c>
      <c r="AG164" s="53">
        <f t="shared" si="162"/>
        <v>4337.0252178750234</v>
      </c>
      <c r="AH164" s="53">
        <f t="shared" si="162"/>
        <v>4583.8231262706695</v>
      </c>
      <c r="AI164" s="53">
        <f t="shared" si="162"/>
        <v>4838.7493081327902</v>
      </c>
      <c r="AJ164" s="53">
        <f t="shared" si="162"/>
        <v>5102.0303451634863</v>
      </c>
      <c r="AK164" s="53">
        <f t="shared" si="162"/>
        <v>5373.8986413544153</v>
      </c>
      <c r="AL164" s="53">
        <f t="shared" si="162"/>
        <v>5654.5925655915862</v>
      </c>
      <c r="AM164" s="53">
        <f t="shared" si="162"/>
        <v>5944.3565976451646</v>
      </c>
      <c r="AN164" s="53">
        <f t="shared" si="162"/>
        <v>6243.4414776228405</v>
      </c>
      <c r="AO164" s="53">
        <f t="shared" si="162"/>
        <v>6552.1043589673127</v>
      </c>
      <c r="AP164" s="53">
        <f t="shared" si="162"/>
        <v>6870.6089650799277</v>
      </c>
      <c r="AQ164" s="53">
        <f t="shared" si="162"/>
        <v>7199.2257496547818</v>
      </c>
    </row>
    <row r="165" spans="1:43" s="16" customFormat="1" outlineLevel="5">
      <c r="A165" s="53"/>
      <c r="B165" s="53"/>
      <c r="C165" s="53"/>
      <c r="D165" s="53"/>
      <c r="E165" s="53"/>
      <c r="F165" s="53" t="s">
        <v>436</v>
      </c>
      <c r="G165" s="53"/>
      <c r="H165" s="53">
        <f t="shared" ref="H165:AQ165" si="163">cold_chain_warehousing_cost_per_dose_positive*(1+cold_chain_warehousing_cost_per_dose_positive_growth)^((COLUMN()-8)/12)</f>
        <v>921.5</v>
      </c>
      <c r="I165" s="53">
        <f t="shared" si="163"/>
        <v>924.51675120929633</v>
      </c>
      <c r="J165" s="53">
        <f t="shared" si="163"/>
        <v>927.54337847703948</v>
      </c>
      <c r="K165" s="53">
        <f t="shared" si="163"/>
        <v>930.5799141348748</v>
      </c>
      <c r="L165" s="53">
        <f t="shared" si="163"/>
        <v>933.62639062029325</v>
      </c>
      <c r="M165" s="53">
        <f t="shared" si="163"/>
        <v>936.68284047697773</v>
      </c>
      <c r="N165" s="53">
        <f t="shared" si="163"/>
        <v>939.74929635515025</v>
      </c>
      <c r="O165" s="53">
        <f t="shared" si="163"/>
        <v>942.82579101192141</v>
      </c>
      <c r="P165" s="53">
        <f t="shared" si="163"/>
        <v>945.91235731164022</v>
      </c>
      <c r="Q165" s="53">
        <f t="shared" si="163"/>
        <v>949.00902822624494</v>
      </c>
      <c r="R165" s="53">
        <f t="shared" si="163"/>
        <v>952.11583683561526</v>
      </c>
      <c r="S165" s="53">
        <f t="shared" si="163"/>
        <v>955.23281632792555</v>
      </c>
      <c r="T165" s="53">
        <f t="shared" si="163"/>
        <v>958.36</v>
      </c>
      <c r="U165" s="53">
        <f t="shared" si="163"/>
        <v>961.49742125766818</v>
      </c>
      <c r="V165" s="53">
        <f t="shared" si="163"/>
        <v>964.64511361612097</v>
      </c>
      <c r="W165" s="53">
        <f t="shared" si="163"/>
        <v>967.80311070026983</v>
      </c>
      <c r="X165" s="53">
        <f t="shared" si="163"/>
        <v>970.97144624510508</v>
      </c>
      <c r="Y165" s="53">
        <f t="shared" si="163"/>
        <v>974.15015409605701</v>
      </c>
      <c r="Z165" s="53">
        <f t="shared" si="163"/>
        <v>977.33926820935631</v>
      </c>
      <c r="AA165" s="53">
        <f t="shared" si="163"/>
        <v>980.53882265239827</v>
      </c>
      <c r="AB165" s="53">
        <f t="shared" si="163"/>
        <v>983.74885160410599</v>
      </c>
      <c r="AC165" s="53">
        <f t="shared" si="163"/>
        <v>986.96938935529477</v>
      </c>
      <c r="AD165" s="53">
        <f t="shared" si="163"/>
        <v>990.20047030903982</v>
      </c>
      <c r="AE165" s="53">
        <f t="shared" si="163"/>
        <v>993.44212898104252</v>
      </c>
      <c r="AF165" s="53">
        <f t="shared" si="163"/>
        <v>996.69440000000009</v>
      </c>
      <c r="AG165" s="53">
        <f t="shared" si="163"/>
        <v>999.95731810797486</v>
      </c>
      <c r="AH165" s="53">
        <f t="shared" si="163"/>
        <v>1003.2309181607659</v>
      </c>
      <c r="AI165" s="53">
        <f t="shared" si="163"/>
        <v>1006.5152351282807</v>
      </c>
      <c r="AJ165" s="53">
        <f t="shared" si="163"/>
        <v>1009.8103040949094</v>
      </c>
      <c r="AK165" s="53">
        <f t="shared" si="163"/>
        <v>1013.1161602598993</v>
      </c>
      <c r="AL165" s="53">
        <f t="shared" si="163"/>
        <v>1016.4328389377307</v>
      </c>
      <c r="AM165" s="53">
        <f t="shared" si="163"/>
        <v>1019.7603755584944</v>
      </c>
      <c r="AN165" s="53">
        <f t="shared" si="163"/>
        <v>1023.0988056682702</v>
      </c>
      <c r="AO165" s="53">
        <f t="shared" si="163"/>
        <v>1026.4481649295064</v>
      </c>
      <c r="AP165" s="53">
        <f t="shared" si="163"/>
        <v>1029.8084891214014</v>
      </c>
      <c r="AQ165" s="53">
        <f t="shared" si="163"/>
        <v>1033.1798141402844</v>
      </c>
    </row>
    <row r="166" spans="1:43" s="16" customFormat="1" outlineLevel="4" collapsed="1">
      <c r="A166" s="53"/>
      <c r="B166" s="53"/>
      <c r="C166" s="53"/>
      <c r="D166" s="53"/>
      <c r="E166" s="53" t="s">
        <v>437</v>
      </c>
      <c r="F166" s="53"/>
      <c r="G166" s="53"/>
      <c r="H166" s="53">
        <f t="shared" ref="H166:AQ166" si="164">(H167*H168)</f>
        <v>45962.60586282739</v>
      </c>
      <c r="I166" s="53">
        <f t="shared" si="164"/>
        <v>69641.198445018264</v>
      </c>
      <c r="J166" s="53">
        <f t="shared" si="164"/>
        <v>94333.431788215123</v>
      </c>
      <c r="K166" s="53">
        <f t="shared" si="164"/>
        <v>120072.34848967692</v>
      </c>
      <c r="L166" s="53">
        <f t="shared" si="164"/>
        <v>146891.9530511171</v>
      </c>
      <c r="M166" s="53">
        <f t="shared" si="164"/>
        <v>174827.23819704284</v>
      </c>
      <c r="N166" s="53">
        <f t="shared" si="164"/>
        <v>203914.21188564462</v>
      </c>
      <c r="O166" s="53">
        <f t="shared" si="164"/>
        <v>234189.92502997664</v>
      </c>
      <c r="P166" s="53">
        <f t="shared" si="164"/>
        <v>265692.49994762347</v>
      </c>
      <c r="Q166" s="53">
        <f t="shared" si="164"/>
        <v>298461.15955749713</v>
      </c>
      <c r="R166" s="53">
        <f t="shared" si="164"/>
        <v>332536.25734288368</v>
      </c>
      <c r="S166" s="53">
        <f t="shared" si="164"/>
        <v>367959.30810033466</v>
      </c>
      <c r="T166" s="53">
        <f t="shared" si="164"/>
        <v>404773.01949449017</v>
      </c>
      <c r="U166" s="53">
        <f t="shared" si="164"/>
        <v>443021.32443943043</v>
      </c>
      <c r="V166" s="53">
        <f t="shared" si="164"/>
        <v>482749.41432765761</v>
      </c>
      <c r="W166" s="53">
        <f t="shared" si="164"/>
        <v>524003.7731283523</v>
      </c>
      <c r="X166" s="53">
        <f t="shared" si="164"/>
        <v>566832.21237708139</v>
      </c>
      <c r="Y166" s="53">
        <f t="shared" si="164"/>
        <v>611283.90707969596</v>
      </c>
      <c r="Z166" s="53">
        <f t="shared" si="164"/>
        <v>657409.43255372206</v>
      </c>
      <c r="AA166" s="53">
        <f t="shared" si="164"/>
        <v>705260.80223113729</v>
      </c>
      <c r="AB166" s="53">
        <f t="shared" si="164"/>
        <v>754891.50644701521</v>
      </c>
      <c r="AC166" s="53">
        <f t="shared" si="164"/>
        <v>806356.55223914515</v>
      </c>
      <c r="AD166" s="53">
        <f t="shared" si="164"/>
        <v>859712.50418434839</v>
      </c>
      <c r="AE166" s="53">
        <f t="shared" si="164"/>
        <v>915017.52629786287</v>
      </c>
      <c r="AF166" s="53">
        <f t="shared" si="164"/>
        <v>972331.42502283736</v>
      </c>
      <c r="AG166" s="53">
        <f t="shared" si="164"/>
        <v>1031715.6933376241</v>
      </c>
      <c r="AH166" s="53">
        <f t="shared" si="164"/>
        <v>1093233.5560092807</v>
      </c>
      <c r="AI166" s="53">
        <f t="shared" si="164"/>
        <v>1156950.0160223877</v>
      </c>
      <c r="AJ166" s="53">
        <f t="shared" si="164"/>
        <v>1222931.9022130112</v>
      </c>
      <c r="AK166" s="53">
        <f t="shared" si="164"/>
        <v>1291247.918138396</v>
      </c>
      <c r="AL166" s="53">
        <f t="shared" si="164"/>
        <v>1361968.6922137253</v>
      </c>
      <c r="AM166" s="53">
        <f t="shared" si="164"/>
        <v>1435166.8291480781</v>
      </c>
      <c r="AN166" s="53">
        <f t="shared" si="164"/>
        <v>1510916.9627124979</v>
      </c>
      <c r="AO166" s="53">
        <f t="shared" si="164"/>
        <v>1589295.8098739393</v>
      </c>
      <c r="AP166" s="53">
        <f t="shared" si="164"/>
        <v>1670382.2263296493</v>
      </c>
      <c r="AQ166" s="53">
        <f t="shared" si="164"/>
        <v>1754257.2634774633</v>
      </c>
    </row>
    <row r="167" spans="1:43" s="16" customFormat="1" hidden="1" outlineLevel="5">
      <c r="A167" s="53"/>
      <c r="B167" s="53"/>
      <c r="C167" s="53"/>
      <c r="D167" s="53"/>
      <c r="E167" s="53"/>
      <c r="F167" s="53" t="s">
        <v>377</v>
      </c>
      <c r="G167" s="53"/>
      <c r="H167" s="53">
        <f t="shared" ref="H167:AQ167" si="165">H67</f>
        <v>49.878031321570688</v>
      </c>
      <c r="I167" s="53">
        <f t="shared" si="165"/>
        <v>75.32713534278902</v>
      </c>
      <c r="J167" s="53">
        <f t="shared" si="165"/>
        <v>101.70244753739058</v>
      </c>
      <c r="K167" s="53">
        <f t="shared" si="165"/>
        <v>129.02959398312791</v>
      </c>
      <c r="L167" s="53">
        <f t="shared" si="165"/>
        <v>157.33483385524627</v>
      </c>
      <c r="M167" s="53">
        <f t="shared" si="165"/>
        <v>186.64507412991284</v>
      </c>
      <c r="N167" s="53">
        <f t="shared" si="165"/>
        <v>216.98788461617673</v>
      </c>
      <c r="O167" s="53">
        <f t="shared" si="165"/>
        <v>248.39151332360558</v>
      </c>
      <c r="P167" s="53">
        <f t="shared" si="165"/>
        <v>280.88490217290655</v>
      </c>
      <c r="Q167" s="53">
        <f t="shared" si="165"/>
        <v>314.49770305698672</v>
      </c>
      <c r="R167" s="53">
        <f t="shared" si="165"/>
        <v>349.26029426007409</v>
      </c>
      <c r="S167" s="53">
        <f t="shared" si="165"/>
        <v>385.20379724267815</v>
      </c>
      <c r="T167" s="53">
        <f t="shared" si="165"/>
        <v>422.36009380033619</v>
      </c>
      <c r="U167" s="53">
        <f t="shared" si="165"/>
        <v>460.76184360426566</v>
      </c>
      <c r="V167" s="53">
        <f t="shared" si="165"/>
        <v>500.4425021322059</v>
      </c>
      <c r="W167" s="53">
        <f t="shared" si="165"/>
        <v>541.43633899791951</v>
      </c>
      <c r="X167" s="53">
        <f t="shared" si="165"/>
        <v>583.77845668799853</v>
      </c>
      <c r="Y167" s="53">
        <f t="shared" si="165"/>
        <v>627.50480971480681</v>
      </c>
      <c r="Z167" s="53">
        <f t="shared" si="165"/>
        <v>672.6522241945753</v>
      </c>
      <c r="AA167" s="53">
        <f t="shared" si="165"/>
        <v>719.25841785986358</v>
      </c>
      <c r="AB167" s="53">
        <f t="shared" si="165"/>
        <v>767.36202051579039</v>
      </c>
      <c r="AC167" s="53">
        <f t="shared" si="165"/>
        <v>817.0025949496478</v>
      </c>
      <c r="AD167" s="53">
        <f t="shared" si="165"/>
        <v>868.22065830370047</v>
      </c>
      <c r="AE167" s="53">
        <f t="shared" si="165"/>
        <v>921.05770392119518</v>
      </c>
      <c r="AF167" s="53">
        <f t="shared" si="165"/>
        <v>975.55622367582009</v>
      </c>
      <c r="AG167" s="53">
        <f t="shared" si="165"/>
        <v>1031.7597307950498</v>
      </c>
      <c r="AH167" s="53">
        <f t="shared" si="165"/>
        <v>1089.7127831880596</v>
      </c>
      <c r="AI167" s="53">
        <f t="shared" si="165"/>
        <v>1149.4610072891087</v>
      </c>
      <c r="AJ167" s="53">
        <f t="shared" si="165"/>
        <v>1211.0511224275158</v>
      </c>
      <c r="AK167" s="53">
        <f t="shared" si="165"/>
        <v>1274.5309657356036</v>
      </c>
      <c r="AL167" s="53">
        <f t="shared" si="165"/>
        <v>1339.9495176062126</v>
      </c>
      <c r="AM167" s="53">
        <f t="shared" si="165"/>
        <v>1407.3569277116471</v>
      </c>
      <c r="AN167" s="53">
        <f t="shared" si="165"/>
        <v>1476.8045415961496</v>
      </c>
      <c r="AO167" s="53">
        <f t="shared" si="165"/>
        <v>1548.3449278542844</v>
      </c>
      <c r="AP167" s="53">
        <f t="shared" si="165"/>
        <v>1622.0319059078297</v>
      </c>
      <c r="AQ167" s="53">
        <f t="shared" si="165"/>
        <v>1697.920574394102</v>
      </c>
    </row>
    <row r="168" spans="1:43" s="16" customFormat="1" hidden="1" outlineLevel="5">
      <c r="A168" s="53"/>
      <c r="B168" s="53"/>
      <c r="C168" s="53"/>
      <c r="D168" s="53"/>
      <c r="E168" s="53"/>
      <c r="F168" s="53" t="s">
        <v>436</v>
      </c>
      <c r="G168" s="53"/>
      <c r="H168" s="53">
        <f t="shared" ref="H168:AQ168" si="166">H165</f>
        <v>921.5</v>
      </c>
      <c r="I168" s="53">
        <f t="shared" si="166"/>
        <v>924.51675120929633</v>
      </c>
      <c r="J168" s="53">
        <f t="shared" si="166"/>
        <v>927.54337847703948</v>
      </c>
      <c r="K168" s="53">
        <f t="shared" si="166"/>
        <v>930.5799141348748</v>
      </c>
      <c r="L168" s="53">
        <f t="shared" si="166"/>
        <v>933.62639062029325</v>
      </c>
      <c r="M168" s="53">
        <f t="shared" si="166"/>
        <v>936.68284047697773</v>
      </c>
      <c r="N168" s="53">
        <f t="shared" si="166"/>
        <v>939.74929635515025</v>
      </c>
      <c r="O168" s="53">
        <f t="shared" si="166"/>
        <v>942.82579101192141</v>
      </c>
      <c r="P168" s="53">
        <f t="shared" si="166"/>
        <v>945.91235731164022</v>
      </c>
      <c r="Q168" s="53">
        <f t="shared" si="166"/>
        <v>949.00902822624494</v>
      </c>
      <c r="R168" s="53">
        <f t="shared" si="166"/>
        <v>952.11583683561526</v>
      </c>
      <c r="S168" s="53">
        <f t="shared" si="166"/>
        <v>955.23281632792555</v>
      </c>
      <c r="T168" s="53">
        <f t="shared" si="166"/>
        <v>958.36</v>
      </c>
      <c r="U168" s="53">
        <f t="shared" si="166"/>
        <v>961.49742125766818</v>
      </c>
      <c r="V168" s="53">
        <f t="shared" si="166"/>
        <v>964.64511361612097</v>
      </c>
      <c r="W168" s="53">
        <f t="shared" si="166"/>
        <v>967.80311070026983</v>
      </c>
      <c r="X168" s="53">
        <f t="shared" si="166"/>
        <v>970.97144624510508</v>
      </c>
      <c r="Y168" s="53">
        <f t="shared" si="166"/>
        <v>974.15015409605701</v>
      </c>
      <c r="Z168" s="53">
        <f t="shared" si="166"/>
        <v>977.33926820935631</v>
      </c>
      <c r="AA168" s="53">
        <f t="shared" si="166"/>
        <v>980.53882265239827</v>
      </c>
      <c r="AB168" s="53">
        <f t="shared" si="166"/>
        <v>983.74885160410599</v>
      </c>
      <c r="AC168" s="53">
        <f t="shared" si="166"/>
        <v>986.96938935529477</v>
      </c>
      <c r="AD168" s="53">
        <f t="shared" si="166"/>
        <v>990.20047030903982</v>
      </c>
      <c r="AE168" s="53">
        <f t="shared" si="166"/>
        <v>993.44212898104252</v>
      </c>
      <c r="AF168" s="53">
        <f t="shared" si="166"/>
        <v>996.69440000000009</v>
      </c>
      <c r="AG168" s="53">
        <f t="shared" si="166"/>
        <v>999.95731810797486</v>
      </c>
      <c r="AH168" s="53">
        <f t="shared" si="166"/>
        <v>1003.2309181607659</v>
      </c>
      <c r="AI168" s="53">
        <f t="shared" si="166"/>
        <v>1006.5152351282807</v>
      </c>
      <c r="AJ168" s="53">
        <f t="shared" si="166"/>
        <v>1009.8103040949094</v>
      </c>
      <c r="AK168" s="53">
        <f t="shared" si="166"/>
        <v>1013.1161602598993</v>
      </c>
      <c r="AL168" s="53">
        <f t="shared" si="166"/>
        <v>1016.4328389377307</v>
      </c>
      <c r="AM168" s="53">
        <f t="shared" si="166"/>
        <v>1019.7603755584944</v>
      </c>
      <c r="AN168" s="53">
        <f t="shared" si="166"/>
        <v>1023.0988056682702</v>
      </c>
      <c r="AO168" s="53">
        <f t="shared" si="166"/>
        <v>1026.4481649295064</v>
      </c>
      <c r="AP168" s="53">
        <f t="shared" si="166"/>
        <v>1029.8084891214014</v>
      </c>
      <c r="AQ168" s="53">
        <f t="shared" si="166"/>
        <v>1033.1798141402844</v>
      </c>
    </row>
    <row r="169" spans="1:43" s="16" customFormat="1" outlineLevel="4" collapsed="1">
      <c r="A169" s="53"/>
      <c r="B169" s="53"/>
      <c r="C169" s="53"/>
      <c r="D169" s="53"/>
      <c r="E169" s="53" t="s">
        <v>438</v>
      </c>
      <c r="F169" s="53"/>
      <c r="G169" s="53"/>
      <c r="H169" s="53">
        <f t="shared" ref="H169:AQ169" si="167">(H170*H171)</f>
        <v>111930.41720338841</v>
      </c>
      <c r="I169" s="53">
        <f t="shared" si="167"/>
        <v>144885.19415542413</v>
      </c>
      <c r="J169" s="53">
        <f t="shared" si="167"/>
        <v>179318.50928549361</v>
      </c>
      <c r="K169" s="53">
        <f t="shared" si="167"/>
        <v>215281.51174193082</v>
      </c>
      <c r="L169" s="53">
        <f t="shared" si="167"/>
        <v>252826.93614616591</v>
      </c>
      <c r="M169" s="53">
        <f t="shared" si="167"/>
        <v>292009.14884697087</v>
      </c>
      <c r="N169" s="53">
        <f t="shared" si="167"/>
        <v>332884.19547344156</v>
      </c>
      <c r="O169" s="53">
        <f t="shared" si="167"/>
        <v>375509.84982223809</v>
      </c>
      <c r="P169" s="53">
        <f t="shared" si="167"/>
        <v>419945.66411556327</v>
      </c>
      <c r="Q169" s="53">
        <f t="shared" si="167"/>
        <v>466253.02066732885</v>
      </c>
      <c r="R169" s="53">
        <f t="shared" si="167"/>
        <v>514495.18499597028</v>
      </c>
      <c r="S169" s="53">
        <f t="shared" si="167"/>
        <v>564737.36042340216</v>
      </c>
      <c r="T169" s="53">
        <f t="shared" si="167"/>
        <v>617046.74420065922</v>
      </c>
      <c r="U169" s="53">
        <f t="shared" si="167"/>
        <v>671492.58520186134</v>
      </c>
      <c r="V169" s="53">
        <f t="shared" si="167"/>
        <v>728146.24322924775</v>
      </c>
      <c r="W169" s="53">
        <f t="shared" si="167"/>
        <v>787081.24997317675</v>
      </c>
      <c r="X169" s="53">
        <f t="shared" si="167"/>
        <v>848373.3716721586</v>
      </c>
      <c r="Y169" s="53">
        <f t="shared" si="167"/>
        <v>912100.67351919983</v>
      </c>
      <c r="Z169" s="53">
        <f t="shared" si="167"/>
        <v>978343.58586196089</v>
      </c>
      <c r="AA169" s="53">
        <f t="shared" si="167"/>
        <v>1047184.9722455203</v>
      </c>
      <c r="AB169" s="53">
        <f t="shared" si="167"/>
        <v>1118710.1993478225</v>
      </c>
      <c r="AC169" s="53">
        <f t="shared" si="167"/>
        <v>1193007.2088592348</v>
      </c>
      <c r="AD169" s="53">
        <f t="shared" si="167"/>
        <v>1270166.5913590116</v>
      </c>
      <c r="AE169" s="53">
        <f t="shared" si="167"/>
        <v>1350281.6622428668</v>
      </c>
      <c r="AF169" s="53">
        <f t="shared" si="167"/>
        <v>1433448.5397573204</v>
      </c>
      <c r="AG169" s="53">
        <f t="shared" si="167"/>
        <v>1519766.225197932</v>
      </c>
      <c r="AH169" s="53">
        <f t="shared" si="167"/>
        <v>1609336.6853301101</v>
      </c>
      <c r="AI169" s="53">
        <f t="shared" si="167"/>
        <v>1702264.9370926996</v>
      </c>
      <c r="AJ169" s="53">
        <f t="shared" si="167"/>
        <v>1798659.1346461922</v>
      </c>
      <c r="AK169" s="53">
        <f t="shared" si="167"/>
        <v>1898630.6588290273</v>
      </c>
      <c r="AL169" s="53">
        <f t="shared" si="167"/>
        <v>2002294.2090871565</v>
      </c>
      <c r="AM169" s="53">
        <f t="shared" si="167"/>
        <v>2109767.8979437789</v>
      </c>
      <c r="AN169" s="53">
        <f t="shared" si="167"/>
        <v>2221173.3480779114</v>
      </c>
      <c r="AO169" s="53">
        <f t="shared" si="167"/>
        <v>2336635.7920823419</v>
      </c>
      <c r="AP169" s="53">
        <f t="shared" si="167"/>
        <v>2456284.1749733044</v>
      </c>
      <c r="AQ169" s="53">
        <f t="shared" si="167"/>
        <v>2580251.2595262309</v>
      </c>
    </row>
    <row r="170" spans="1:43" s="16" customFormat="1" hidden="1" outlineLevel="5">
      <c r="A170" s="53"/>
      <c r="B170" s="53"/>
      <c r="C170" s="53"/>
      <c r="D170" s="53"/>
      <c r="E170" s="53"/>
      <c r="F170" s="53" t="s">
        <v>337</v>
      </c>
      <c r="G170" s="53"/>
      <c r="H170" s="53">
        <f t="shared" ref="H170:AQ170" si="168">H21</f>
        <v>121.46545545674272</v>
      </c>
      <c r="I170" s="53">
        <f t="shared" si="168"/>
        <v>156.71451487050922</v>
      </c>
      <c r="J170" s="53">
        <f t="shared" si="168"/>
        <v>193.326278259807</v>
      </c>
      <c r="K170" s="53">
        <f t="shared" si="168"/>
        <v>231.34124052319564</v>
      </c>
      <c r="L170" s="53">
        <f t="shared" si="168"/>
        <v>270.80097422930589</v>
      </c>
      <c r="M170" s="53">
        <f t="shared" si="168"/>
        <v>311.74815661005806</v>
      </c>
      <c r="N170" s="53">
        <f t="shared" si="168"/>
        <v>354.22659720474843</v>
      </c>
      <c r="O170" s="53">
        <f t="shared" si="168"/>
        <v>398.28126617029511</v>
      </c>
      <c r="P170" s="53">
        <f t="shared" si="168"/>
        <v>443.95832327329242</v>
      </c>
      <c r="Q170" s="53">
        <f t="shared" si="168"/>
        <v>491.30514757987481</v>
      </c>
      <c r="R170" s="53">
        <f t="shared" si="168"/>
        <v>540.37036785976591</v>
      </c>
      <c r="S170" s="53">
        <f t="shared" si="168"/>
        <v>591.20389372126772</v>
      </c>
      <c r="T170" s="53">
        <f t="shared" si="168"/>
        <v>643.85694749432275</v>
      </c>
      <c r="U170" s="53">
        <f t="shared" si="168"/>
        <v>698.38209687918709</v>
      </c>
      <c r="V170" s="53">
        <f t="shared" si="168"/>
        <v>754.83328837864451</v>
      </c>
      <c r="W170" s="53">
        <f t="shared" si="168"/>
        <v>813.26588153211367</v>
      </c>
      <c r="X170" s="53">
        <f t="shared" si="168"/>
        <v>873.73668397041752</v>
      </c>
      <c r="Y170" s="53">
        <f t="shared" si="168"/>
        <v>936.30398731042158</v>
      </c>
      <c r="Z170" s="53">
        <f t="shared" si="168"/>
        <v>1001.0276039091775</v>
      </c>
      <c r="AA170" s="53">
        <f t="shared" si="168"/>
        <v>1067.9689044976735</v>
      </c>
      <c r="AB170" s="53">
        <f t="shared" si="168"/>
        <v>1137.1908567147477</v>
      </c>
      <c r="AC170" s="53">
        <f t="shared" si="168"/>
        <v>1208.7580645621922</v>
      </c>
      <c r="AD170" s="53">
        <f t="shared" si="168"/>
        <v>1282.7368088025598</v>
      </c>
      <c r="AE170" s="53">
        <f t="shared" si="168"/>
        <v>1359.1950883216809</v>
      </c>
      <c r="AF170" s="53">
        <f t="shared" si="168"/>
        <v>1438.2026624784089</v>
      </c>
      <c r="AG170" s="53">
        <f t="shared" si="168"/>
        <v>1519.8310944646023</v>
      </c>
      <c r="AH170" s="53">
        <f t="shared" si="168"/>
        <v>1604.153795698925</v>
      </c>
      <c r="AI170" s="53">
        <f t="shared" si="168"/>
        <v>1691.2460712785389</v>
      </c>
      <c r="AJ170" s="53">
        <f t="shared" si="168"/>
        <v>1781.1851665133545</v>
      </c>
      <c r="AK170" s="53">
        <f t="shared" si="168"/>
        <v>1874.0503145680382</v>
      </c>
      <c r="AL170" s="53">
        <f t="shared" si="168"/>
        <v>1969.9227852375814</v>
      </c>
      <c r="AM170" s="53">
        <f t="shared" si="168"/>
        <v>2068.8859348828078</v>
      </c>
      <c r="AN170" s="53">
        <f t="shared" si="168"/>
        <v>2171.0252575527934</v>
      </c>
      <c r="AO170" s="53">
        <f t="shared" si="168"/>
        <v>2276.4284373218352</v>
      </c>
      <c r="AP170" s="53">
        <f t="shared" si="168"/>
        <v>2385.185401869162</v>
      </c>
      <c r="AQ170" s="53">
        <f t="shared" si="168"/>
        <v>2497.388377330305</v>
      </c>
    </row>
    <row r="171" spans="1:43" s="16" customFormat="1" hidden="1" outlineLevel="5">
      <c r="A171" s="53"/>
      <c r="B171" s="53"/>
      <c r="C171" s="53"/>
      <c r="D171" s="53"/>
      <c r="E171" s="53"/>
      <c r="F171" s="53" t="s">
        <v>436</v>
      </c>
      <c r="G171" s="53"/>
      <c r="H171" s="53">
        <f t="shared" ref="H171:AQ171" si="169">H165</f>
        <v>921.5</v>
      </c>
      <c r="I171" s="53">
        <f t="shared" si="169"/>
        <v>924.51675120929633</v>
      </c>
      <c r="J171" s="53">
        <f t="shared" si="169"/>
        <v>927.54337847703948</v>
      </c>
      <c r="K171" s="53">
        <f t="shared" si="169"/>
        <v>930.5799141348748</v>
      </c>
      <c r="L171" s="53">
        <f t="shared" si="169"/>
        <v>933.62639062029325</v>
      </c>
      <c r="M171" s="53">
        <f t="shared" si="169"/>
        <v>936.68284047697773</v>
      </c>
      <c r="N171" s="53">
        <f t="shared" si="169"/>
        <v>939.74929635515025</v>
      </c>
      <c r="O171" s="53">
        <f t="shared" si="169"/>
        <v>942.82579101192141</v>
      </c>
      <c r="P171" s="53">
        <f t="shared" si="169"/>
        <v>945.91235731164022</v>
      </c>
      <c r="Q171" s="53">
        <f t="shared" si="169"/>
        <v>949.00902822624494</v>
      </c>
      <c r="R171" s="53">
        <f t="shared" si="169"/>
        <v>952.11583683561526</v>
      </c>
      <c r="S171" s="53">
        <f t="shared" si="169"/>
        <v>955.23281632792555</v>
      </c>
      <c r="T171" s="53">
        <f t="shared" si="169"/>
        <v>958.36</v>
      </c>
      <c r="U171" s="53">
        <f t="shared" si="169"/>
        <v>961.49742125766818</v>
      </c>
      <c r="V171" s="53">
        <f t="shared" si="169"/>
        <v>964.64511361612097</v>
      </c>
      <c r="W171" s="53">
        <f t="shared" si="169"/>
        <v>967.80311070026983</v>
      </c>
      <c r="X171" s="53">
        <f t="shared" si="169"/>
        <v>970.97144624510508</v>
      </c>
      <c r="Y171" s="53">
        <f t="shared" si="169"/>
        <v>974.15015409605701</v>
      </c>
      <c r="Z171" s="53">
        <f t="shared" si="169"/>
        <v>977.33926820935631</v>
      </c>
      <c r="AA171" s="53">
        <f t="shared" si="169"/>
        <v>980.53882265239827</v>
      </c>
      <c r="AB171" s="53">
        <f t="shared" si="169"/>
        <v>983.74885160410599</v>
      </c>
      <c r="AC171" s="53">
        <f t="shared" si="169"/>
        <v>986.96938935529477</v>
      </c>
      <c r="AD171" s="53">
        <f t="shared" si="169"/>
        <v>990.20047030903982</v>
      </c>
      <c r="AE171" s="53">
        <f t="shared" si="169"/>
        <v>993.44212898104252</v>
      </c>
      <c r="AF171" s="53">
        <f t="shared" si="169"/>
        <v>996.69440000000009</v>
      </c>
      <c r="AG171" s="53">
        <f t="shared" si="169"/>
        <v>999.95731810797486</v>
      </c>
      <c r="AH171" s="53">
        <f t="shared" si="169"/>
        <v>1003.2309181607659</v>
      </c>
      <c r="AI171" s="53">
        <f t="shared" si="169"/>
        <v>1006.5152351282807</v>
      </c>
      <c r="AJ171" s="53">
        <f t="shared" si="169"/>
        <v>1009.8103040949094</v>
      </c>
      <c r="AK171" s="53">
        <f t="shared" si="169"/>
        <v>1013.1161602598993</v>
      </c>
      <c r="AL171" s="53">
        <f t="shared" si="169"/>
        <v>1016.4328389377307</v>
      </c>
      <c r="AM171" s="53">
        <f t="shared" si="169"/>
        <v>1019.7603755584944</v>
      </c>
      <c r="AN171" s="53">
        <f t="shared" si="169"/>
        <v>1023.0988056682702</v>
      </c>
      <c r="AO171" s="53">
        <f t="shared" si="169"/>
        <v>1026.4481649295064</v>
      </c>
      <c r="AP171" s="53">
        <f t="shared" si="169"/>
        <v>1029.8084891214014</v>
      </c>
      <c r="AQ171" s="53">
        <f t="shared" si="169"/>
        <v>1033.1798141402844</v>
      </c>
    </row>
    <row r="172" spans="1:43" s="16" customFormat="1" outlineLevel="4" collapsed="1">
      <c r="A172" s="53"/>
      <c r="B172" s="53"/>
      <c r="C172" s="53"/>
      <c r="D172" s="53"/>
      <c r="E172" s="53" t="s">
        <v>439</v>
      </c>
      <c r="F172" s="53"/>
      <c r="G172" s="53"/>
      <c r="H172" s="53">
        <f t="shared" ref="H172:AQ172" si="170">(H173*H174)</f>
        <v>13576.086213235218</v>
      </c>
      <c r="I172" s="53">
        <f t="shared" si="170"/>
        <v>18338.438909232336</v>
      </c>
      <c r="J172" s="53">
        <f t="shared" si="170"/>
        <v>23303.986934212371</v>
      </c>
      <c r="K172" s="53">
        <f t="shared" si="170"/>
        <v>28479.373362065282</v>
      </c>
      <c r="L172" s="53">
        <f t="shared" si="170"/>
        <v>33871.435452694452</v>
      </c>
      <c r="M172" s="53">
        <f t="shared" si="170"/>
        <v>39487.209988108953</v>
      </c>
      <c r="N172" s="53">
        <f t="shared" si="170"/>
        <v>45333.938749524445</v>
      </c>
      <c r="O172" s="53">
        <f t="shared" si="170"/>
        <v>51419.074139099255</v>
      </c>
      <c r="P172" s="53">
        <f t="shared" si="170"/>
        <v>57750.284950025693</v>
      </c>
      <c r="Q172" s="53">
        <f t="shared" si="170"/>
        <v>64335.462288788272</v>
      </c>
      <c r="R172" s="53">
        <f t="shared" si="170"/>
        <v>71182.725653498521</v>
      </c>
      <c r="S172" s="53">
        <f t="shared" si="170"/>
        <v>78300.429172313045</v>
      </c>
      <c r="T172" s="53">
        <f t="shared" si="170"/>
        <v>85697.168006043517</v>
      </c>
      <c r="U172" s="53">
        <f t="shared" si="170"/>
        <v>93381.78491917091</v>
      </c>
      <c r="V172" s="53">
        <f t="shared" si="170"/>
        <v>101363.37702358029</v>
      </c>
      <c r="W172" s="53">
        <f t="shared" si="170"/>
        <v>109651.30269944432</v>
      </c>
      <c r="X172" s="53">
        <f t="shared" si="170"/>
        <v>118255.18869779177</v>
      </c>
      <c r="Y172" s="53">
        <f t="shared" si="170"/>
        <v>127184.93742941481</v>
      </c>
      <c r="Z172" s="53">
        <f t="shared" si="170"/>
        <v>136450.73444488167</v>
      </c>
      <c r="AA172" s="53">
        <f t="shared" si="170"/>
        <v>146063.05611054559</v>
      </c>
      <c r="AB172" s="53">
        <f t="shared" si="170"/>
        <v>156032.67748556027</v>
      </c>
      <c r="AC172" s="53">
        <f t="shared" si="170"/>
        <v>166370.68040503954</v>
      </c>
      <c r="AD172" s="53">
        <f t="shared" si="170"/>
        <v>177088.4617746282</v>
      </c>
      <c r="AE172" s="53">
        <f t="shared" si="170"/>
        <v>188197.74208188153</v>
      </c>
      <c r="AF172" s="53">
        <f t="shared" si="170"/>
        <v>199710.57412998908</v>
      </c>
      <c r="AG172" s="53">
        <f t="shared" si="170"/>
        <v>211639.35199951389</v>
      </c>
      <c r="AH172" s="53">
        <f t="shared" si="170"/>
        <v>223996.8202439633</v>
      </c>
      <c r="AI172" s="53">
        <f t="shared" si="170"/>
        <v>236796.0833251517</v>
      </c>
      <c r="AJ172" s="53">
        <f t="shared" si="170"/>
        <v>250050.61529446606</v>
      </c>
      <c r="AK172" s="53">
        <f t="shared" si="170"/>
        <v>263774.26972629642</v>
      </c>
      <c r="AL172" s="53">
        <f t="shared" si="170"/>
        <v>277981.2899100522</v>
      </c>
      <c r="AM172" s="53">
        <f t="shared" si="170"/>
        <v>292686.31930734619</v>
      </c>
      <c r="AN172" s="53">
        <f t="shared" si="170"/>
        <v>307904.41228108737</v>
      </c>
      <c r="AO172" s="53">
        <f t="shared" si="170"/>
        <v>323651.0451034045</v>
      </c>
      <c r="AP172" s="53">
        <f t="shared" si="170"/>
        <v>339942.12724947842</v>
      </c>
      <c r="AQ172" s="53">
        <f t="shared" si="170"/>
        <v>356794.0129845551</v>
      </c>
    </row>
    <row r="173" spans="1:43" s="16" customFormat="1" hidden="1" outlineLevel="5">
      <c r="A173" s="53"/>
      <c r="B173" s="53"/>
      <c r="C173" s="53"/>
      <c r="D173" s="53"/>
      <c r="E173" s="53"/>
      <c r="F173" s="53" t="s">
        <v>386</v>
      </c>
      <c r="G173" s="53"/>
      <c r="H173" s="53">
        <f t="shared" ref="H173:AQ173" si="171">H78</f>
        <v>14.732594913982874</v>
      </c>
      <c r="I173" s="53">
        <f t="shared" si="171"/>
        <v>19.835702149523083</v>
      </c>
      <c r="J173" s="53">
        <f t="shared" si="171"/>
        <v>25.1244173318081</v>
      </c>
      <c r="K173" s="53">
        <f t="shared" si="171"/>
        <v>30.60389863297392</v>
      </c>
      <c r="L173" s="53">
        <f t="shared" si="171"/>
        <v>36.279432322163217</v>
      </c>
      <c r="M173" s="53">
        <f t="shared" si="171"/>
        <v>42.156435755779697</v>
      </c>
      <c r="N173" s="53">
        <f t="shared" si="171"/>
        <v>48.240460434877342</v>
      </c>
      <c r="O173" s="53">
        <f t="shared" si="171"/>
        <v>54.537195131151321</v>
      </c>
      <c r="P173" s="53">
        <f t="shared" si="171"/>
        <v>61.052469083030793</v>
      </c>
      <c r="Q173" s="53">
        <f t="shared" si="171"/>
        <v>67.792255263403689</v>
      </c>
      <c r="R173" s="53">
        <f t="shared" si="171"/>
        <v>74.762673720538444</v>
      </c>
      <c r="S173" s="53">
        <f t="shared" si="171"/>
        <v>81.969994993799489</v>
      </c>
      <c r="T173" s="53">
        <f t="shared" si="171"/>
        <v>89.420643605788555</v>
      </c>
      <c r="U173" s="53">
        <f t="shared" si="171"/>
        <v>97.121201632579172</v>
      </c>
      <c r="V173" s="53">
        <f t="shared" si="171"/>
        <v>105.07841235374535</v>
      </c>
      <c r="W173" s="53">
        <f t="shared" si="171"/>
        <v>113.29918398392449</v>
      </c>
      <c r="X173" s="53">
        <f t="shared" si="171"/>
        <v>121.79059348768973</v>
      </c>
      <c r="Y173" s="53">
        <f t="shared" si="171"/>
        <v>130.55989047954677</v>
      </c>
      <c r="Z173" s="53">
        <f t="shared" si="171"/>
        <v>139.61450121090652</v>
      </c>
      <c r="AA173" s="53">
        <f t="shared" si="171"/>
        <v>148.96203264592722</v>
      </c>
      <c r="AB173" s="53">
        <f t="shared" si="171"/>
        <v>158.61027662815826</v>
      </c>
      <c r="AC173" s="53">
        <f t="shared" si="171"/>
        <v>168.56721413996002</v>
      </c>
      <c r="AD173" s="53">
        <f t="shared" si="171"/>
        <v>178.84101965671579</v>
      </c>
      <c r="AE173" s="53">
        <f t="shared" si="171"/>
        <v>189.44006559789537</v>
      </c>
      <c r="AF173" s="53">
        <f t="shared" si="171"/>
        <v>200.37292687707392</v>
      </c>
      <c r="AG173" s="53">
        <f t="shared" si="171"/>
        <v>211.64838555305337</v>
      </c>
      <c r="AH173" s="53">
        <f t="shared" si="171"/>
        <v>223.27543558428113</v>
      </c>
      <c r="AI173" s="53">
        <f t="shared" si="171"/>
        <v>235.2632876888068</v>
      </c>
      <c r="AJ173" s="53">
        <f t="shared" si="171"/>
        <v>247.62137431206531</v>
      </c>
      <c r="AK173" s="53">
        <f t="shared" si="171"/>
        <v>260.359354704824</v>
      </c>
      <c r="AL173" s="53">
        <f t="shared" si="171"/>
        <v>273.48712011368031</v>
      </c>
      <c r="AM173" s="53">
        <f t="shared" si="171"/>
        <v>287.01479908655017</v>
      </c>
      <c r="AN173" s="53">
        <f t="shared" si="171"/>
        <v>300.95276289563219</v>
      </c>
      <c r="AO173" s="53">
        <f t="shared" si="171"/>
        <v>315.3116310803984</v>
      </c>
      <c r="AP173" s="53">
        <f t="shared" si="171"/>
        <v>330.10227711319976</v>
      </c>
      <c r="AQ173" s="53">
        <f t="shared" si="171"/>
        <v>345.33583419014599</v>
      </c>
    </row>
    <row r="174" spans="1:43" s="16" customFormat="1" hidden="1" outlineLevel="5">
      <c r="A174" s="53"/>
      <c r="B174" s="53"/>
      <c r="C174" s="53"/>
      <c r="D174" s="53"/>
      <c r="E174" s="53"/>
      <c r="F174" s="53" t="s">
        <v>436</v>
      </c>
      <c r="G174" s="53"/>
      <c r="H174" s="53">
        <f t="shared" ref="H174:AQ174" si="172">H165</f>
        <v>921.5</v>
      </c>
      <c r="I174" s="53">
        <f t="shared" si="172"/>
        <v>924.51675120929633</v>
      </c>
      <c r="J174" s="53">
        <f t="shared" si="172"/>
        <v>927.54337847703948</v>
      </c>
      <c r="K174" s="53">
        <f t="shared" si="172"/>
        <v>930.5799141348748</v>
      </c>
      <c r="L174" s="53">
        <f t="shared" si="172"/>
        <v>933.62639062029325</v>
      </c>
      <c r="M174" s="53">
        <f t="shared" si="172"/>
        <v>936.68284047697773</v>
      </c>
      <c r="N174" s="53">
        <f t="shared" si="172"/>
        <v>939.74929635515025</v>
      </c>
      <c r="O174" s="53">
        <f t="shared" si="172"/>
        <v>942.82579101192141</v>
      </c>
      <c r="P174" s="53">
        <f t="shared" si="172"/>
        <v>945.91235731164022</v>
      </c>
      <c r="Q174" s="53">
        <f t="shared" si="172"/>
        <v>949.00902822624494</v>
      </c>
      <c r="R174" s="53">
        <f t="shared" si="172"/>
        <v>952.11583683561526</v>
      </c>
      <c r="S174" s="53">
        <f t="shared" si="172"/>
        <v>955.23281632792555</v>
      </c>
      <c r="T174" s="53">
        <f t="shared" si="172"/>
        <v>958.36</v>
      </c>
      <c r="U174" s="53">
        <f t="shared" si="172"/>
        <v>961.49742125766818</v>
      </c>
      <c r="V174" s="53">
        <f t="shared" si="172"/>
        <v>964.64511361612097</v>
      </c>
      <c r="W174" s="53">
        <f t="shared" si="172"/>
        <v>967.80311070026983</v>
      </c>
      <c r="X174" s="53">
        <f t="shared" si="172"/>
        <v>970.97144624510508</v>
      </c>
      <c r="Y174" s="53">
        <f t="shared" si="172"/>
        <v>974.15015409605701</v>
      </c>
      <c r="Z174" s="53">
        <f t="shared" si="172"/>
        <v>977.33926820935631</v>
      </c>
      <c r="AA174" s="53">
        <f t="shared" si="172"/>
        <v>980.53882265239827</v>
      </c>
      <c r="AB174" s="53">
        <f t="shared" si="172"/>
        <v>983.74885160410599</v>
      </c>
      <c r="AC174" s="53">
        <f t="shared" si="172"/>
        <v>986.96938935529477</v>
      </c>
      <c r="AD174" s="53">
        <f t="shared" si="172"/>
        <v>990.20047030903982</v>
      </c>
      <c r="AE174" s="53">
        <f t="shared" si="172"/>
        <v>993.44212898104252</v>
      </c>
      <c r="AF174" s="53">
        <f t="shared" si="172"/>
        <v>996.69440000000009</v>
      </c>
      <c r="AG174" s="53">
        <f t="shared" si="172"/>
        <v>999.95731810797486</v>
      </c>
      <c r="AH174" s="53">
        <f t="shared" si="172"/>
        <v>1003.2309181607659</v>
      </c>
      <c r="AI174" s="53">
        <f t="shared" si="172"/>
        <v>1006.5152351282807</v>
      </c>
      <c r="AJ174" s="53">
        <f t="shared" si="172"/>
        <v>1009.8103040949094</v>
      </c>
      <c r="AK174" s="53">
        <f t="shared" si="172"/>
        <v>1013.1161602598993</v>
      </c>
      <c r="AL174" s="53">
        <f t="shared" si="172"/>
        <v>1016.4328389377307</v>
      </c>
      <c r="AM174" s="53">
        <f t="shared" si="172"/>
        <v>1019.7603755584944</v>
      </c>
      <c r="AN174" s="53">
        <f t="shared" si="172"/>
        <v>1023.0988056682702</v>
      </c>
      <c r="AO174" s="53">
        <f t="shared" si="172"/>
        <v>1026.4481649295064</v>
      </c>
      <c r="AP174" s="53">
        <f t="shared" si="172"/>
        <v>1029.8084891214014</v>
      </c>
      <c r="AQ174" s="53">
        <f t="shared" si="172"/>
        <v>1033.1798141402844</v>
      </c>
    </row>
    <row r="175" spans="1:43" s="16" customFormat="1" outlineLevel="4" collapsed="1">
      <c r="A175" s="53"/>
      <c r="B175" s="53"/>
      <c r="C175" s="53"/>
      <c r="D175" s="53"/>
      <c r="E175" s="53" t="s">
        <v>440</v>
      </c>
      <c r="F175" s="53"/>
      <c r="G175" s="53"/>
      <c r="H175" s="53">
        <f t="shared" ref="H175:AQ175" si="173">(H176*H177)</f>
        <v>70539.054074167987</v>
      </c>
      <c r="I175" s="53">
        <f t="shared" si="173"/>
        <v>86427.88153329413</v>
      </c>
      <c r="J175" s="53">
        <f t="shared" si="173"/>
        <v>103022.88361273461</v>
      </c>
      <c r="K175" s="53">
        <f t="shared" si="173"/>
        <v>120348.45766390467</v>
      </c>
      <c r="L175" s="53">
        <f t="shared" si="173"/>
        <v>138429.7577976769</v>
      </c>
      <c r="M175" s="53">
        <f t="shared" si="173"/>
        <v>157292.71699234316</v>
      </c>
      <c r="N175" s="53">
        <f t="shared" si="173"/>
        <v>176964.0698233459</v>
      </c>
      <c r="O175" s="53">
        <f t="shared" si="173"/>
        <v>197471.37583181151</v>
      </c>
      <c r="P175" s="53">
        <f t="shared" si="173"/>
        <v>218843.04354938306</v>
      </c>
      <c r="Q175" s="53">
        <f t="shared" si="173"/>
        <v>241108.35519731257</v>
      </c>
      <c r="R175" s="53">
        <f t="shared" si="173"/>
        <v>264297.49207826087</v>
      </c>
      <c r="S175" s="53">
        <f t="shared" si="173"/>
        <v>288441.56067974586</v>
      </c>
      <c r="T175" s="53">
        <f t="shared" si="173"/>
        <v>313572.61950868939</v>
      </c>
      <c r="U175" s="53">
        <f t="shared" si="173"/>
        <v>339723.70667703554</v>
      </c>
      <c r="V175" s="53">
        <f t="shared" si="173"/>
        <v>366928.86825894413</v>
      </c>
      <c r="W175" s="53">
        <f t="shared" si="173"/>
        <v>395223.1874406233</v>
      </c>
      <c r="X175" s="53">
        <f t="shared" si="173"/>
        <v>424642.81448441616</v>
      </c>
      <c r="Y175" s="53">
        <f t="shared" si="173"/>
        <v>455224.99752934912</v>
      </c>
      <c r="Z175" s="53">
        <f t="shared" si="173"/>
        <v>487008.11425093352</v>
      </c>
      <c r="AA175" s="53">
        <f t="shared" si="173"/>
        <v>520031.70440362848</v>
      </c>
      <c r="AB175" s="53">
        <f t="shared" si="173"/>
        <v>554336.50326999859</v>
      </c>
      <c r="AC175" s="53">
        <f t="shared" si="173"/>
        <v>589964.47604124201</v>
      </c>
      <c r="AD175" s="53">
        <f t="shared" si="173"/>
        <v>626958.85315442481</v>
      </c>
      <c r="AE175" s="53">
        <f t="shared" si="173"/>
        <v>665364.16661243374</v>
      </c>
      <c r="AF175" s="53">
        <f t="shared" si="173"/>
        <v>705226.28731336212</v>
      </c>
      <c r="AG175" s="53">
        <f t="shared" si="173"/>
        <v>746592.46341674309</v>
      </c>
      <c r="AH175" s="53">
        <f t="shared" si="173"/>
        <v>789511.3597747928</v>
      </c>
      <c r="AI175" s="53">
        <f t="shared" si="173"/>
        <v>834033.09845756658</v>
      </c>
      <c r="AJ175" s="53">
        <f t="shared" si="173"/>
        <v>880209.30040170788</v>
      </c>
      <c r="AK175" s="53">
        <f t="shared" si="173"/>
        <v>928093.1282132609</v>
      </c>
      <c r="AL175" s="53">
        <f t="shared" si="173"/>
        <v>977739.33015583258</v>
      </c>
      <c r="AM175" s="53">
        <f t="shared" si="173"/>
        <v>1029204.2853562204</v>
      </c>
      <c r="AN175" s="53">
        <f t="shared" si="173"/>
        <v>1082546.0502604716</v>
      </c>
      <c r="AO175" s="53">
        <f t="shared" si="173"/>
        <v>1137824.4063742519</v>
      </c>
      <c r="AP175" s="53">
        <f t="shared" si="173"/>
        <v>1195100.9093222474</v>
      </c>
      <c r="AQ175" s="53">
        <f t="shared" si="173"/>
        <v>1254438.9392623007</v>
      </c>
    </row>
    <row r="176" spans="1:43" s="16" customFormat="1" hidden="1" outlineLevel="5">
      <c r="A176" s="53"/>
      <c r="B176" s="53"/>
      <c r="C176" s="53"/>
      <c r="D176" s="53"/>
      <c r="E176" s="53"/>
      <c r="F176" s="53" t="s">
        <v>350</v>
      </c>
      <c r="G176" s="53"/>
      <c r="H176" s="53">
        <f t="shared" ref="H176:AQ176" si="174">H36</f>
        <v>76.548078213964175</v>
      </c>
      <c r="I176" s="53">
        <f t="shared" si="174"/>
        <v>93.484386756912514</v>
      </c>
      <c r="J176" s="53">
        <f t="shared" si="174"/>
        <v>111.07069060413205</v>
      </c>
      <c r="K176" s="53">
        <f t="shared" si="174"/>
        <v>129.32630055290642</v>
      </c>
      <c r="L176" s="53">
        <f t="shared" si="174"/>
        <v>148.27104202325017</v>
      </c>
      <c r="M176" s="53">
        <f t="shared" si="174"/>
        <v>167.92526797250449</v>
      </c>
      <c r="N176" s="53">
        <f t="shared" si="174"/>
        <v>188.30987212196604</v>
      </c>
      <c r="O176" s="53">
        <f t="shared" si="174"/>
        <v>209.44630250289219</v>
      </c>
      <c r="P176" s="53">
        <f t="shared" si="174"/>
        <v>231.35657532940238</v>
      </c>
      <c r="Q176" s="53">
        <f t="shared" si="174"/>
        <v>254.0632892059611</v>
      </c>
      <c r="R176" s="53">
        <f t="shared" si="174"/>
        <v>277.58963967731205</v>
      </c>
      <c r="S176" s="53">
        <f t="shared" si="174"/>
        <v>301.95943412891046</v>
      </c>
      <c r="T176" s="53">
        <f t="shared" si="174"/>
        <v>327.19710704608849</v>
      </c>
      <c r="U176" s="53">
        <f t="shared" si="174"/>
        <v>353.32773564037905</v>
      </c>
      <c r="V176" s="53">
        <f t="shared" si="174"/>
        <v>380.37705585161228</v>
      </c>
      <c r="W176" s="53">
        <f t="shared" si="174"/>
        <v>408.37147873460862</v>
      </c>
      <c r="X176" s="53">
        <f t="shared" si="174"/>
        <v>437.33810723948142</v>
      </c>
      <c r="Y176" s="53">
        <f t="shared" si="174"/>
        <v>467.30475339478437</v>
      </c>
      <c r="Z176" s="53">
        <f t="shared" si="174"/>
        <v>498.29995590293959</v>
      </c>
      <c r="AA176" s="53">
        <f t="shared" si="174"/>
        <v>530.35299815760595</v>
      </c>
      <c r="AB176" s="53">
        <f t="shared" si="174"/>
        <v>563.49392669286942</v>
      </c>
      <c r="AC176" s="53">
        <f t="shared" si="174"/>
        <v>597.75357007436355</v>
      </c>
      <c r="AD176" s="53">
        <f t="shared" si="174"/>
        <v>633.1635582426577</v>
      </c>
      <c r="AE176" s="53">
        <f t="shared" si="174"/>
        <v>669.75634231949368</v>
      </c>
      <c r="AF176" s="53">
        <f t="shared" si="174"/>
        <v>707.56521488769476</v>
      </c>
      <c r="AG176" s="53">
        <f t="shared" si="174"/>
        <v>746.6243307558118</v>
      </c>
      <c r="AH176" s="53">
        <f t="shared" si="174"/>
        <v>786.96872821883574</v>
      </c>
      <c r="AI176" s="53">
        <f t="shared" si="174"/>
        <v>828.63435082656133</v>
      </c>
      <c r="AJ176" s="53">
        <f t="shared" si="174"/>
        <v>871.6580696714492</v>
      </c>
      <c r="AK176" s="53">
        <f t="shared" si="174"/>
        <v>916.07770620811436</v>
      </c>
      <c r="AL176" s="53">
        <f t="shared" si="174"/>
        <v>961.93205561684078</v>
      </c>
      <c r="AM176" s="53">
        <f t="shared" si="174"/>
        <v>1009.2609107238098</v>
      </c>
      <c r="AN176" s="53">
        <f t="shared" si="174"/>
        <v>1058.1050864910076</v>
      </c>
      <c r="AO176" s="53">
        <f t="shared" si="174"/>
        <v>1108.5064450891141</v>
      </c>
      <c r="AP176" s="53">
        <f t="shared" si="174"/>
        <v>1160.5079215669198</v>
      </c>
      <c r="AQ176" s="53">
        <f t="shared" si="174"/>
        <v>1214.1535501311816</v>
      </c>
    </row>
    <row r="177" spans="1:43" s="16" customFormat="1" hidden="1" outlineLevel="5">
      <c r="A177" s="53"/>
      <c r="B177" s="53"/>
      <c r="C177" s="53"/>
      <c r="D177" s="53"/>
      <c r="E177" s="53"/>
      <c r="F177" s="53" t="s">
        <v>436</v>
      </c>
      <c r="G177" s="53"/>
      <c r="H177" s="53">
        <f t="shared" ref="H177:AQ177" si="175">H165</f>
        <v>921.5</v>
      </c>
      <c r="I177" s="53">
        <f t="shared" si="175"/>
        <v>924.51675120929633</v>
      </c>
      <c r="J177" s="53">
        <f t="shared" si="175"/>
        <v>927.54337847703948</v>
      </c>
      <c r="K177" s="53">
        <f t="shared" si="175"/>
        <v>930.5799141348748</v>
      </c>
      <c r="L177" s="53">
        <f t="shared" si="175"/>
        <v>933.62639062029325</v>
      </c>
      <c r="M177" s="53">
        <f t="shared" si="175"/>
        <v>936.68284047697773</v>
      </c>
      <c r="N177" s="53">
        <f t="shared" si="175"/>
        <v>939.74929635515025</v>
      </c>
      <c r="O177" s="53">
        <f t="shared" si="175"/>
        <v>942.82579101192141</v>
      </c>
      <c r="P177" s="53">
        <f t="shared" si="175"/>
        <v>945.91235731164022</v>
      </c>
      <c r="Q177" s="53">
        <f t="shared" si="175"/>
        <v>949.00902822624494</v>
      </c>
      <c r="R177" s="53">
        <f t="shared" si="175"/>
        <v>952.11583683561526</v>
      </c>
      <c r="S177" s="53">
        <f t="shared" si="175"/>
        <v>955.23281632792555</v>
      </c>
      <c r="T177" s="53">
        <f t="shared" si="175"/>
        <v>958.36</v>
      </c>
      <c r="U177" s="53">
        <f t="shared" si="175"/>
        <v>961.49742125766818</v>
      </c>
      <c r="V177" s="53">
        <f t="shared" si="175"/>
        <v>964.64511361612097</v>
      </c>
      <c r="W177" s="53">
        <f t="shared" si="175"/>
        <v>967.80311070026983</v>
      </c>
      <c r="X177" s="53">
        <f t="shared" si="175"/>
        <v>970.97144624510508</v>
      </c>
      <c r="Y177" s="53">
        <f t="shared" si="175"/>
        <v>974.15015409605701</v>
      </c>
      <c r="Z177" s="53">
        <f t="shared" si="175"/>
        <v>977.33926820935631</v>
      </c>
      <c r="AA177" s="53">
        <f t="shared" si="175"/>
        <v>980.53882265239827</v>
      </c>
      <c r="AB177" s="53">
        <f t="shared" si="175"/>
        <v>983.74885160410599</v>
      </c>
      <c r="AC177" s="53">
        <f t="shared" si="175"/>
        <v>986.96938935529477</v>
      </c>
      <c r="AD177" s="53">
        <f t="shared" si="175"/>
        <v>990.20047030903982</v>
      </c>
      <c r="AE177" s="53">
        <f t="shared" si="175"/>
        <v>993.44212898104252</v>
      </c>
      <c r="AF177" s="53">
        <f t="shared" si="175"/>
        <v>996.69440000000009</v>
      </c>
      <c r="AG177" s="53">
        <f t="shared" si="175"/>
        <v>999.95731810797486</v>
      </c>
      <c r="AH177" s="53">
        <f t="shared" si="175"/>
        <v>1003.2309181607659</v>
      </c>
      <c r="AI177" s="53">
        <f t="shared" si="175"/>
        <v>1006.5152351282807</v>
      </c>
      <c r="AJ177" s="53">
        <f t="shared" si="175"/>
        <v>1009.8103040949094</v>
      </c>
      <c r="AK177" s="53">
        <f t="shared" si="175"/>
        <v>1013.1161602598993</v>
      </c>
      <c r="AL177" s="53">
        <f t="shared" si="175"/>
        <v>1016.4328389377307</v>
      </c>
      <c r="AM177" s="53">
        <f t="shared" si="175"/>
        <v>1019.7603755584944</v>
      </c>
      <c r="AN177" s="53">
        <f t="shared" si="175"/>
        <v>1023.0988056682702</v>
      </c>
      <c r="AO177" s="53">
        <f t="shared" si="175"/>
        <v>1026.4481649295064</v>
      </c>
      <c r="AP177" s="53">
        <f t="shared" si="175"/>
        <v>1029.8084891214014</v>
      </c>
      <c r="AQ177" s="53">
        <f t="shared" si="175"/>
        <v>1033.1798141402844</v>
      </c>
    </row>
    <row r="178" spans="1:43" s="16" customFormat="1" outlineLevel="4" collapsed="1">
      <c r="A178" s="53"/>
      <c r="B178" s="53"/>
      <c r="C178" s="53"/>
      <c r="D178" s="53"/>
      <c r="E178" s="53" t="s">
        <v>441</v>
      </c>
      <c r="F178" s="53"/>
      <c r="G178" s="53"/>
      <c r="H178" s="53">
        <f t="shared" ref="H178:AQ178" si="176">(H179*H180)</f>
        <v>4755.6372839042388</v>
      </c>
      <c r="I178" s="53">
        <f t="shared" si="176"/>
        <v>5977.1598761118503</v>
      </c>
      <c r="J178" s="53">
        <f t="shared" si="176"/>
        <v>7250.6033425753276</v>
      </c>
      <c r="K178" s="53">
        <f t="shared" si="176"/>
        <v>8577.6708346167616</v>
      </c>
      <c r="L178" s="53">
        <f t="shared" si="176"/>
        <v>9960.1155240032458</v>
      </c>
      <c r="M178" s="53">
        <f t="shared" si="176"/>
        <v>11399.741984219201</v>
      </c>
      <c r="N178" s="53">
        <f t="shared" si="176"/>
        <v>12898.40760841221</v>
      </c>
      <c r="O178" s="53">
        <f t="shared" si="176"/>
        <v>14458.024064959953</v>
      </c>
      <c r="P178" s="53">
        <f t="shared" si="176"/>
        <v>16080.558791629999</v>
      </c>
      <c r="Q178" s="53">
        <f t="shared" si="176"/>
        <v>17768.036529328409</v>
      </c>
      <c r="R178" s="53">
        <f t="shared" si="176"/>
        <v>19522.540896458915</v>
      </c>
      <c r="S178" s="53">
        <f t="shared" si="176"/>
        <v>21346.216004939619</v>
      </c>
      <c r="T178" s="53">
        <f t="shared" si="176"/>
        <v>23241.268118951306</v>
      </c>
      <c r="U178" s="53">
        <f t="shared" si="176"/>
        <v>25209.967357518093</v>
      </c>
      <c r="V178" s="53">
        <f t="shared" si="176"/>
        <v>27254.649442049205</v>
      </c>
      <c r="W178" s="53">
        <f t="shared" si="176"/>
        <v>29377.717489999199</v>
      </c>
      <c r="X178" s="53">
        <f t="shared" si="176"/>
        <v>31581.643855833081</v>
      </c>
      <c r="Y178" s="53">
        <f t="shared" si="176"/>
        <v>33868.972020512905</v>
      </c>
      <c r="Z178" s="53">
        <f t="shared" si="176"/>
        <v>36242.318530752804</v>
      </c>
      <c r="AA178" s="53">
        <f t="shared" si="176"/>
        <v>38704.374989321295</v>
      </c>
      <c r="AB178" s="53">
        <f t="shared" si="176"/>
        <v>41257.910097701744</v>
      </c>
      <c r="AC178" s="53">
        <f t="shared" si="176"/>
        <v>43905.771752454697</v>
      </c>
      <c r="AD178" s="53">
        <f t="shared" si="176"/>
        <v>46650.88919666021</v>
      </c>
      <c r="AE178" s="53">
        <f t="shared" si="176"/>
        <v>49496.275227852326</v>
      </c>
      <c r="AF178" s="53">
        <f t="shared" si="176"/>
        <v>52445.028463894523</v>
      </c>
      <c r="AG178" s="53">
        <f t="shared" si="176"/>
        <v>55500.335668279804</v>
      </c>
      <c r="AH178" s="53">
        <f t="shared" si="176"/>
        <v>58665.474136377859</v>
      </c>
      <c r="AI178" s="53">
        <f t="shared" si="176"/>
        <v>61943.814144189811</v>
      </c>
      <c r="AJ178" s="53">
        <f t="shared" si="176"/>
        <v>65338.821461209533</v>
      </c>
      <c r="AK178" s="53">
        <f t="shared" si="176"/>
        <v>68854.059929031253</v>
      </c>
      <c r="AL178" s="53">
        <f t="shared" si="176"/>
        <v>72493.194107385105</v>
      </c>
      <c r="AM178" s="53">
        <f t="shared" si="176"/>
        <v>76259.991989323113</v>
      </c>
      <c r="AN178" s="53">
        <f t="shared" si="176"/>
        <v>80158.327787321614</v>
      </c>
      <c r="AO178" s="53">
        <f t="shared" si="176"/>
        <v>84192.184792113098</v>
      </c>
      <c r="AP178" s="53">
        <f t="shared" si="176"/>
        <v>88365.658306100537</v>
      </c>
      <c r="AQ178" s="53">
        <f t="shared" si="176"/>
        <v>92682.958653260182</v>
      </c>
    </row>
    <row r="179" spans="1:43" s="16" customFormat="1" hidden="1" outlineLevel="5">
      <c r="A179" s="53"/>
      <c r="B179" s="53"/>
      <c r="C179" s="53"/>
      <c r="D179" s="53"/>
      <c r="E179" s="53"/>
      <c r="F179" s="53" t="s">
        <v>395</v>
      </c>
      <c r="G179" s="53"/>
      <c r="H179" s="53">
        <f t="shared" ref="H179:AQ179" si="177">H89</f>
        <v>5.1607566835640135</v>
      </c>
      <c r="I179" s="53">
        <f t="shared" si="177"/>
        <v>6.4651720677786981</v>
      </c>
      <c r="J179" s="53">
        <f t="shared" si="177"/>
        <v>7.8169964993769936</v>
      </c>
      <c r="K179" s="53">
        <f t="shared" si="177"/>
        <v>9.2175542415302392</v>
      </c>
      <c r="L179" s="53">
        <f t="shared" si="177"/>
        <v>10.668202638729859</v>
      </c>
      <c r="M179" s="53">
        <f t="shared" si="177"/>
        <v>12.170332893484227</v>
      </c>
      <c r="N179" s="53">
        <f t="shared" si="177"/>
        <v>13.725370860546663</v>
      </c>
      <c r="O179" s="53">
        <f t="shared" si="177"/>
        <v>15.334777859059585</v>
      </c>
      <c r="P179" s="53">
        <f t="shared" si="177"/>
        <v>17.000051503008432</v>
      </c>
      <c r="Q179" s="53">
        <f t="shared" si="177"/>
        <v>18.722726550386923</v>
      </c>
      <c r="R179" s="53">
        <f t="shared" si="177"/>
        <v>20.50437577148454</v>
      </c>
      <c r="S179" s="53">
        <f t="shared" si="177"/>
        <v>22.346610836715218</v>
      </c>
      <c r="T179" s="53">
        <f t="shared" si="177"/>
        <v>24.251083224415986</v>
      </c>
      <c r="U179" s="53">
        <f t="shared" si="177"/>
        <v>26.219485149052904</v>
      </c>
      <c r="V179" s="53">
        <f t="shared" si="177"/>
        <v>28.253550510281393</v>
      </c>
      <c r="W179" s="53">
        <f t="shared" si="177"/>
        <v>30.35505586331756</v>
      </c>
      <c r="X179" s="53">
        <f t="shared" si="177"/>
        <v>32.52582141108693</v>
      </c>
      <c r="Y179" s="53">
        <f t="shared" si="177"/>
        <v>34.76771201862708</v>
      </c>
      <c r="Z179" s="53">
        <f t="shared" si="177"/>
        <v>37.082638250230744</v>
      </c>
      <c r="AA179" s="53">
        <f t="shared" si="177"/>
        <v>39.472557429826544</v>
      </c>
      <c r="AB179" s="53">
        <f t="shared" si="177"/>
        <v>41.939474725105278</v>
      </c>
      <c r="AC179" s="53">
        <f t="shared" si="177"/>
        <v>44.485444255910203</v>
      </c>
      <c r="AD179" s="53">
        <f t="shared" si="177"/>
        <v>47.112570227421273</v>
      </c>
      <c r="AE179" s="53">
        <f t="shared" si="177"/>
        <v>49.823008088674328</v>
      </c>
      <c r="AF179" s="53">
        <f t="shared" si="177"/>
        <v>52.618965716968532</v>
      </c>
      <c r="AG179" s="53">
        <f t="shared" si="177"/>
        <v>55.502704628725873</v>
      </c>
      <c r="AH179" s="53">
        <f t="shared" si="177"/>
        <v>58.476541217379854</v>
      </c>
      <c r="AI179" s="53">
        <f t="shared" si="177"/>
        <v>61.542848018882751</v>
      </c>
      <c r="AJ179" s="53">
        <f t="shared" si="177"/>
        <v>64.704055005432494</v>
      </c>
      <c r="AK179" s="53">
        <f t="shared" si="177"/>
        <v>67.962650908033893</v>
      </c>
      <c r="AL179" s="53">
        <f t="shared" si="177"/>
        <v>71.321184568522412</v>
      </c>
      <c r="AM179" s="53">
        <f t="shared" si="177"/>
        <v>74.782266321691154</v>
      </c>
      <c r="AN179" s="53">
        <f t="shared" si="177"/>
        <v>78.348569408175194</v>
      </c>
      <c r="AO179" s="53">
        <f t="shared" si="177"/>
        <v>82.022831418764511</v>
      </c>
      <c r="AP179" s="53">
        <f t="shared" si="177"/>
        <v>85.807855770825114</v>
      </c>
      <c r="AQ179" s="53">
        <f t="shared" si="177"/>
        <v>89.70651321752959</v>
      </c>
    </row>
    <row r="180" spans="1:43" s="16" customFormat="1" hidden="1" outlineLevel="5">
      <c r="A180" s="53"/>
      <c r="B180" s="53"/>
      <c r="C180" s="53"/>
      <c r="D180" s="53"/>
      <c r="E180" s="53"/>
      <c r="F180" s="53" t="s">
        <v>436</v>
      </c>
      <c r="G180" s="53"/>
      <c r="H180" s="53">
        <f t="shared" ref="H180:AQ180" si="178">H165</f>
        <v>921.5</v>
      </c>
      <c r="I180" s="53">
        <f t="shared" si="178"/>
        <v>924.51675120929633</v>
      </c>
      <c r="J180" s="53">
        <f t="shared" si="178"/>
        <v>927.54337847703948</v>
      </c>
      <c r="K180" s="53">
        <f t="shared" si="178"/>
        <v>930.5799141348748</v>
      </c>
      <c r="L180" s="53">
        <f t="shared" si="178"/>
        <v>933.62639062029325</v>
      </c>
      <c r="M180" s="53">
        <f t="shared" si="178"/>
        <v>936.68284047697773</v>
      </c>
      <c r="N180" s="53">
        <f t="shared" si="178"/>
        <v>939.74929635515025</v>
      </c>
      <c r="O180" s="53">
        <f t="shared" si="178"/>
        <v>942.82579101192141</v>
      </c>
      <c r="P180" s="53">
        <f t="shared" si="178"/>
        <v>945.91235731164022</v>
      </c>
      <c r="Q180" s="53">
        <f t="shared" si="178"/>
        <v>949.00902822624494</v>
      </c>
      <c r="R180" s="53">
        <f t="shared" si="178"/>
        <v>952.11583683561526</v>
      </c>
      <c r="S180" s="53">
        <f t="shared" si="178"/>
        <v>955.23281632792555</v>
      </c>
      <c r="T180" s="53">
        <f t="shared" si="178"/>
        <v>958.36</v>
      </c>
      <c r="U180" s="53">
        <f t="shared" si="178"/>
        <v>961.49742125766818</v>
      </c>
      <c r="V180" s="53">
        <f t="shared" si="178"/>
        <v>964.64511361612097</v>
      </c>
      <c r="W180" s="53">
        <f t="shared" si="178"/>
        <v>967.80311070026983</v>
      </c>
      <c r="X180" s="53">
        <f t="shared" si="178"/>
        <v>970.97144624510508</v>
      </c>
      <c r="Y180" s="53">
        <f t="shared" si="178"/>
        <v>974.15015409605701</v>
      </c>
      <c r="Z180" s="53">
        <f t="shared" si="178"/>
        <v>977.33926820935631</v>
      </c>
      <c r="AA180" s="53">
        <f t="shared" si="178"/>
        <v>980.53882265239827</v>
      </c>
      <c r="AB180" s="53">
        <f t="shared" si="178"/>
        <v>983.74885160410599</v>
      </c>
      <c r="AC180" s="53">
        <f t="shared" si="178"/>
        <v>986.96938935529477</v>
      </c>
      <c r="AD180" s="53">
        <f t="shared" si="178"/>
        <v>990.20047030903982</v>
      </c>
      <c r="AE180" s="53">
        <f t="shared" si="178"/>
        <v>993.44212898104252</v>
      </c>
      <c r="AF180" s="53">
        <f t="shared" si="178"/>
        <v>996.69440000000009</v>
      </c>
      <c r="AG180" s="53">
        <f t="shared" si="178"/>
        <v>999.95731810797486</v>
      </c>
      <c r="AH180" s="53">
        <f t="shared" si="178"/>
        <v>1003.2309181607659</v>
      </c>
      <c r="AI180" s="53">
        <f t="shared" si="178"/>
        <v>1006.5152351282807</v>
      </c>
      <c r="AJ180" s="53">
        <f t="shared" si="178"/>
        <v>1009.8103040949094</v>
      </c>
      <c r="AK180" s="53">
        <f t="shared" si="178"/>
        <v>1013.1161602598993</v>
      </c>
      <c r="AL180" s="53">
        <f t="shared" si="178"/>
        <v>1016.4328389377307</v>
      </c>
      <c r="AM180" s="53">
        <f t="shared" si="178"/>
        <v>1019.7603755584944</v>
      </c>
      <c r="AN180" s="53">
        <f t="shared" si="178"/>
        <v>1023.0988056682702</v>
      </c>
      <c r="AO180" s="53">
        <f t="shared" si="178"/>
        <v>1026.4481649295064</v>
      </c>
      <c r="AP180" s="53">
        <f t="shared" si="178"/>
        <v>1029.8084891214014</v>
      </c>
      <c r="AQ180" s="53">
        <f t="shared" si="178"/>
        <v>1033.1798141402844</v>
      </c>
    </row>
    <row r="181" spans="1:43" s="16" customFormat="1" outlineLevel="4" collapsed="1">
      <c r="A181" s="53"/>
      <c r="B181" s="53"/>
      <c r="C181" s="53"/>
      <c r="D181" s="53"/>
      <c r="E181" s="53" t="s">
        <v>442</v>
      </c>
      <c r="F181" s="53"/>
      <c r="G181" s="53"/>
      <c r="H181" s="53">
        <f t="shared" ref="H181:AQ181" si="179">(H182*H183)</f>
        <v>38799.86892695917</v>
      </c>
      <c r="I181" s="53">
        <f t="shared" si="179"/>
        <v>45526.550155204117</v>
      </c>
      <c r="J181" s="53">
        <f t="shared" si="179"/>
        <v>52548.590414307881</v>
      </c>
      <c r="K181" s="53">
        <f t="shared" si="179"/>
        <v>59876.1763448653</v>
      </c>
      <c r="L181" s="53">
        <f t="shared" si="179"/>
        <v>67519.81083749955</v>
      </c>
      <c r="M181" s="53">
        <f t="shared" si="179"/>
        <v>75490.322288359937</v>
      </c>
      <c r="N181" s="53">
        <f t="shared" si="179"/>
        <v>83798.874115476225</v>
      </c>
      <c r="O181" s="53">
        <f t="shared" si="179"/>
        <v>92456.974543131262</v>
      </c>
      <c r="P181" s="53">
        <f t="shared" si="179"/>
        <v>101476.48666160896</v>
      </c>
      <c r="Q181" s="53">
        <f t="shared" si="179"/>
        <v>110869.63876987071</v>
      </c>
      <c r="R181" s="53">
        <f t="shared" si="179"/>
        <v>120649.03500891798</v>
      </c>
      <c r="S181" s="53">
        <f t="shared" si="179"/>
        <v>130827.66629380663</v>
      </c>
      <c r="T181" s="53">
        <f t="shared" si="179"/>
        <v>141418.92155249411</v>
      </c>
      <c r="U181" s="53">
        <f t="shared" si="179"/>
        <v>152436.59927991987</v>
      </c>
      <c r="V181" s="53">
        <f t="shared" si="179"/>
        <v>163894.91941594362</v>
      </c>
      <c r="W181" s="53">
        <f t="shared" si="179"/>
        <v>175808.535556002</v>
      </c>
      <c r="X181" s="53">
        <f t="shared" si="179"/>
        <v>188192.54750357691</v>
      </c>
      <c r="Y181" s="53">
        <f t="shared" si="179"/>
        <v>201062.5141738189</v>
      </c>
      <c r="Z181" s="53">
        <f t="shared" si="179"/>
        <v>214434.46685791237</v>
      </c>
      <c r="AA181" s="53">
        <f t="shared" si="179"/>
        <v>228324.92285803545</v>
      </c>
      <c r="AB181" s="53">
        <f t="shared" si="179"/>
        <v>242750.89950302363</v>
      </c>
      <c r="AC181" s="53">
        <f t="shared" si="179"/>
        <v>257729.92855512167</v>
      </c>
      <c r="AD181" s="53">
        <f t="shared" si="179"/>
        <v>273280.07101848803</v>
      </c>
      <c r="AE181" s="53">
        <f t="shared" si="179"/>
        <v>289419.93236039486</v>
      </c>
      <c r="AF181" s="53">
        <f t="shared" si="179"/>
        <v>306168.67815637082</v>
      </c>
      <c r="AG181" s="53">
        <f t="shared" si="179"/>
        <v>323546.05017082189</v>
      </c>
      <c r="AH181" s="53">
        <f t="shared" si="179"/>
        <v>341572.38288498728</v>
      </c>
      <c r="AI181" s="53">
        <f t="shared" si="179"/>
        <v>360268.62048439443</v>
      </c>
      <c r="AJ181" s="53">
        <f t="shared" si="179"/>
        <v>379656.33431830828</v>
      </c>
      <c r="AK181" s="53">
        <f t="shared" si="179"/>
        <v>399757.7408440038</v>
      </c>
      <c r="AL181" s="53">
        <f t="shared" si="179"/>
        <v>420595.72006902978</v>
      </c>
      <c r="AM181" s="53">
        <f t="shared" si="179"/>
        <v>442193.83450499037</v>
      </c>
      <c r="AN181" s="53">
        <f t="shared" si="179"/>
        <v>464576.34864672204</v>
      </c>
      <c r="AO181" s="53">
        <f t="shared" si="179"/>
        <v>487768.24899113108</v>
      </c>
      <c r="AP181" s="53">
        <f t="shared" si="179"/>
        <v>511795.26461031486</v>
      </c>
      <c r="AQ181" s="53">
        <f t="shared" si="179"/>
        <v>536683.88829400146</v>
      </c>
    </row>
    <row r="182" spans="1:43" s="16" customFormat="1" hidden="1" outlineLevel="5">
      <c r="A182" s="53"/>
      <c r="B182" s="53"/>
      <c r="C182" s="53"/>
      <c r="D182" s="53"/>
      <c r="E182" s="53"/>
      <c r="F182" s="53" t="s">
        <v>363</v>
      </c>
      <c r="G182" s="53"/>
      <c r="H182" s="53">
        <f t="shared" ref="H182:AQ182" si="180">H51</f>
        <v>42.105120919109247</v>
      </c>
      <c r="I182" s="53">
        <f t="shared" si="180"/>
        <v>49.243618458674753</v>
      </c>
      <c r="J182" s="53">
        <f t="shared" si="180"/>
        <v>56.6535125296123</v>
      </c>
      <c r="K182" s="53">
        <f t="shared" si="180"/>
        <v>64.342863450400102</v>
      </c>
      <c r="L182" s="53">
        <f t="shared" si="180"/>
        <v>72.319946732268335</v>
      </c>
      <c r="M182" s="53">
        <f t="shared" si="180"/>
        <v>80.593258492830671</v>
      </c>
      <c r="N182" s="53">
        <f t="shared" si="180"/>
        <v>89.171521000859514</v>
      </c>
      <c r="O182" s="53">
        <f t="shared" si="180"/>
        <v>98.063688355298936</v>
      </c>
      <c r="P182" s="53">
        <f t="shared" si="180"/>
        <v>107.27895230168403</v>
      </c>
      <c r="Q182" s="53">
        <f t="shared" si="180"/>
        <v>116.82674818920611</v>
      </c>
      <c r="R182" s="53">
        <f t="shared" si="180"/>
        <v>126.71676107173951</v>
      </c>
      <c r="S182" s="53">
        <f t="shared" si="180"/>
        <v>136.95893195622196</v>
      </c>
      <c r="T182" s="53">
        <f t="shared" si="180"/>
        <v>147.56346420185955</v>
      </c>
      <c r="U182" s="53">
        <f t="shared" si="180"/>
        <v>158.54083007370744</v>
      </c>
      <c r="V182" s="53">
        <f t="shared" si="180"/>
        <v>169.901777454258</v>
      </c>
      <c r="W182" s="53">
        <f t="shared" si="180"/>
        <v>181.65733671675517</v>
      </c>
      <c r="X182" s="53">
        <f t="shared" si="180"/>
        <v>193.81882776403594</v>
      </c>
      <c r="Y182" s="53">
        <f t="shared" si="180"/>
        <v>206.39786723679248</v>
      </c>
      <c r="Z182" s="53">
        <f t="shared" si="180"/>
        <v>219.40637589523135</v>
      </c>
      <c r="AA182" s="53">
        <f t="shared" si="180"/>
        <v>232.85658617820664</v>
      </c>
      <c r="AB182" s="53">
        <f t="shared" si="180"/>
        <v>246.76104994399003</v>
      </c>
      <c r="AC182" s="53">
        <f t="shared" si="180"/>
        <v>261.13264639694171</v>
      </c>
      <c r="AD182" s="53">
        <f t="shared" si="180"/>
        <v>275.98459020444398</v>
      </c>
      <c r="AE182" s="53">
        <f t="shared" si="180"/>
        <v>291.33043980855552</v>
      </c>
      <c r="AF182" s="53">
        <f t="shared" si="180"/>
        <v>307.18410593695597</v>
      </c>
      <c r="AG182" s="53">
        <f t="shared" si="180"/>
        <v>323.55986031784363</v>
      </c>
      <c r="AH182" s="53">
        <f t="shared" si="180"/>
        <v>340.47234460356907</v>
      </c>
      <c r="AI182" s="53">
        <f t="shared" si="180"/>
        <v>357.93657950788798</v>
      </c>
      <c r="AJ182" s="53">
        <f t="shared" si="180"/>
        <v>375.96797416183364</v>
      </c>
      <c r="AK182" s="53">
        <f t="shared" si="180"/>
        <v>394.58233569332475</v>
      </c>
      <c r="AL182" s="53">
        <f t="shared" si="180"/>
        <v>413.79587903573878</v>
      </c>
      <c r="AM182" s="53">
        <f t="shared" si="180"/>
        <v>433.6252369708061</v>
      </c>
      <c r="AN182" s="53">
        <f t="shared" si="180"/>
        <v>454.08747041129516</v>
      </c>
      <c r="AO182" s="53">
        <f t="shared" si="180"/>
        <v>475.20007892909979</v>
      </c>
      <c r="AP182" s="53">
        <f t="shared" si="180"/>
        <v>496.98101153444725</v>
      </c>
      <c r="AQ182" s="53">
        <f t="shared" si="180"/>
        <v>519.44867771209761</v>
      </c>
    </row>
    <row r="183" spans="1:43" s="16" customFormat="1" hidden="1" outlineLevel="5">
      <c r="A183" s="53"/>
      <c r="B183" s="53"/>
      <c r="C183" s="53"/>
      <c r="D183" s="53"/>
      <c r="E183" s="53"/>
      <c r="F183" s="53" t="s">
        <v>436</v>
      </c>
      <c r="G183" s="53"/>
      <c r="H183" s="53">
        <f t="shared" ref="H183:AQ183" si="181">H165</f>
        <v>921.5</v>
      </c>
      <c r="I183" s="53">
        <f t="shared" si="181"/>
        <v>924.51675120929633</v>
      </c>
      <c r="J183" s="53">
        <f t="shared" si="181"/>
        <v>927.54337847703948</v>
      </c>
      <c r="K183" s="53">
        <f t="shared" si="181"/>
        <v>930.5799141348748</v>
      </c>
      <c r="L183" s="53">
        <f t="shared" si="181"/>
        <v>933.62639062029325</v>
      </c>
      <c r="M183" s="53">
        <f t="shared" si="181"/>
        <v>936.68284047697773</v>
      </c>
      <c r="N183" s="53">
        <f t="shared" si="181"/>
        <v>939.74929635515025</v>
      </c>
      <c r="O183" s="53">
        <f t="shared" si="181"/>
        <v>942.82579101192141</v>
      </c>
      <c r="P183" s="53">
        <f t="shared" si="181"/>
        <v>945.91235731164022</v>
      </c>
      <c r="Q183" s="53">
        <f t="shared" si="181"/>
        <v>949.00902822624494</v>
      </c>
      <c r="R183" s="53">
        <f t="shared" si="181"/>
        <v>952.11583683561526</v>
      </c>
      <c r="S183" s="53">
        <f t="shared" si="181"/>
        <v>955.23281632792555</v>
      </c>
      <c r="T183" s="53">
        <f t="shared" si="181"/>
        <v>958.36</v>
      </c>
      <c r="U183" s="53">
        <f t="shared" si="181"/>
        <v>961.49742125766818</v>
      </c>
      <c r="V183" s="53">
        <f t="shared" si="181"/>
        <v>964.64511361612097</v>
      </c>
      <c r="W183" s="53">
        <f t="shared" si="181"/>
        <v>967.80311070026983</v>
      </c>
      <c r="X183" s="53">
        <f t="shared" si="181"/>
        <v>970.97144624510508</v>
      </c>
      <c r="Y183" s="53">
        <f t="shared" si="181"/>
        <v>974.15015409605701</v>
      </c>
      <c r="Z183" s="53">
        <f t="shared" si="181"/>
        <v>977.33926820935631</v>
      </c>
      <c r="AA183" s="53">
        <f t="shared" si="181"/>
        <v>980.53882265239827</v>
      </c>
      <c r="AB183" s="53">
        <f t="shared" si="181"/>
        <v>983.74885160410599</v>
      </c>
      <c r="AC183" s="53">
        <f t="shared" si="181"/>
        <v>986.96938935529477</v>
      </c>
      <c r="AD183" s="53">
        <f t="shared" si="181"/>
        <v>990.20047030903982</v>
      </c>
      <c r="AE183" s="53">
        <f t="shared" si="181"/>
        <v>993.44212898104252</v>
      </c>
      <c r="AF183" s="53">
        <f t="shared" si="181"/>
        <v>996.69440000000009</v>
      </c>
      <c r="AG183" s="53">
        <f t="shared" si="181"/>
        <v>999.95731810797486</v>
      </c>
      <c r="AH183" s="53">
        <f t="shared" si="181"/>
        <v>1003.2309181607659</v>
      </c>
      <c r="AI183" s="53">
        <f t="shared" si="181"/>
        <v>1006.5152351282807</v>
      </c>
      <c r="AJ183" s="53">
        <f t="shared" si="181"/>
        <v>1009.8103040949094</v>
      </c>
      <c r="AK183" s="53">
        <f t="shared" si="181"/>
        <v>1013.1161602598993</v>
      </c>
      <c r="AL183" s="53">
        <f t="shared" si="181"/>
        <v>1016.4328389377307</v>
      </c>
      <c r="AM183" s="53">
        <f t="shared" si="181"/>
        <v>1019.7603755584944</v>
      </c>
      <c r="AN183" s="53">
        <f t="shared" si="181"/>
        <v>1023.0988056682702</v>
      </c>
      <c r="AO183" s="53">
        <f t="shared" si="181"/>
        <v>1026.4481649295064</v>
      </c>
      <c r="AP183" s="53">
        <f t="shared" si="181"/>
        <v>1029.8084891214014</v>
      </c>
      <c r="AQ183" s="53">
        <f t="shared" si="181"/>
        <v>1033.1798141402844</v>
      </c>
    </row>
    <row r="184" spans="1:43" s="16" customFormat="1" outlineLevel="4" collapsed="1">
      <c r="A184" s="53"/>
      <c r="B184" s="53"/>
      <c r="C184" s="53"/>
      <c r="D184" s="53"/>
      <c r="E184" s="53" t="s">
        <v>443</v>
      </c>
      <c r="F184" s="53"/>
      <c r="G184" s="53"/>
      <c r="H184" s="53">
        <f t="shared" ref="H184:AQ184" si="182">(H185*H186)</f>
        <v>1517.3648170349873</v>
      </c>
      <c r="I184" s="53">
        <f t="shared" si="182"/>
        <v>1800.2149955152199</v>
      </c>
      <c r="J184" s="53">
        <f t="shared" si="182"/>
        <v>2095.0230785953977</v>
      </c>
      <c r="K184" s="53">
        <f t="shared" si="182"/>
        <v>2402.1831892023879</v>
      </c>
      <c r="L184" s="53">
        <f t="shared" si="182"/>
        <v>2722.1011022429884</v>
      </c>
      <c r="M184" s="53">
        <f t="shared" si="182"/>
        <v>3055.1945685589203</v>
      </c>
      <c r="N184" s="53">
        <f t="shared" si="182"/>
        <v>3401.8936475389851</v>
      </c>
      <c r="O184" s="53">
        <f t="shared" si="182"/>
        <v>3762.6410486134055</v>
      </c>
      <c r="P184" s="53">
        <f t="shared" si="182"/>
        <v>4137.8924818611831</v>
      </c>
      <c r="Q184" s="53">
        <f t="shared" si="182"/>
        <v>4528.1170179670444</v>
      </c>
      <c r="R184" s="53">
        <f t="shared" si="182"/>
        <v>4933.7974577707337</v>
      </c>
      <c r="S184" s="53">
        <f t="shared" si="182"/>
        <v>5355.4307116574209</v>
      </c>
      <c r="T184" s="53">
        <f t="shared" si="182"/>
        <v>5793.528189044484</v>
      </c>
      <c r="U184" s="53">
        <f t="shared" si="182"/>
        <v>6248.6161982262674</v>
      </c>
      <c r="V184" s="53">
        <f t="shared" si="182"/>
        <v>6721.2363568451647</v>
      </c>
      <c r="W184" s="53">
        <f t="shared" si="182"/>
        <v>7211.9460132641389</v>
      </c>
      <c r="X184" s="53">
        <f t="shared" si="182"/>
        <v>7721.3186791228109</v>
      </c>
      <c r="Y184" s="53">
        <f t="shared" si="182"/>
        <v>8249.9444733664295</v>
      </c>
      <c r="Z184" s="53">
        <f t="shared" si="182"/>
        <v>8798.4305780442537</v>
      </c>
      <c r="AA184" s="53">
        <f t="shared" si="182"/>
        <v>9367.4017061815975</v>
      </c>
      <c r="AB184" s="53">
        <f t="shared" si="182"/>
        <v>9957.5005820373535</v>
      </c>
      <c r="AC184" s="53">
        <f t="shared" si="182"/>
        <v>10569.388434066685</v>
      </c>
      <c r="AD184" s="53">
        <f t="shared" si="182"/>
        <v>11203.745500916964</v>
      </c>
      <c r="AE184" s="53">
        <f t="shared" si="182"/>
        <v>11861.271550792806</v>
      </c>
      <c r="AF184" s="53">
        <f t="shared" si="182"/>
        <v>12542.686414535297</v>
      </c>
      <c r="AG184" s="53">
        <f t="shared" si="182"/>
        <v>13248.730532768364</v>
      </c>
      <c r="AH184" s="53">
        <f t="shared" si="182"/>
        <v>13980.165517475063</v>
      </c>
      <c r="AI184" s="53">
        <f t="shared" si="182"/>
        <v>14737.774728375018</v>
      </c>
      <c r="AJ184" s="53">
        <f t="shared" si="182"/>
        <v>15522.36386448405</v>
      </c>
      <c r="AK184" s="53">
        <f t="shared" si="182"/>
        <v>16334.761571246547</v>
      </c>
      <c r="AL184" s="53">
        <f t="shared" si="182"/>
        <v>17175.820063640906</v>
      </c>
      <c r="AM184" s="53">
        <f t="shared" si="182"/>
        <v>18046.415765668695</v>
      </c>
      <c r="AN184" s="53">
        <f t="shared" si="182"/>
        <v>18947.449966648255</v>
      </c>
      <c r="AO184" s="53">
        <f t="shared" si="182"/>
        <v>19879.849494744522</v>
      </c>
      <c r="AP184" s="53">
        <f t="shared" si="182"/>
        <v>20844.567408177187</v>
      </c>
      <c r="AQ184" s="53">
        <f t="shared" si="182"/>
        <v>21842.583704560926</v>
      </c>
    </row>
    <row r="185" spans="1:43" s="16" customFormat="1" hidden="1" outlineLevel="5">
      <c r="A185" s="53"/>
      <c r="B185" s="53"/>
      <c r="C185" s="53"/>
      <c r="D185" s="53"/>
      <c r="E185" s="53"/>
      <c r="F185" s="53" t="s">
        <v>404</v>
      </c>
      <c r="G185" s="53"/>
      <c r="H185" s="53">
        <f t="shared" ref="H185:AQ185" si="183">H100</f>
        <v>1.6466248692729106</v>
      </c>
      <c r="I185" s="53">
        <f t="shared" si="183"/>
        <v>1.9471956491437103</v>
      </c>
      <c r="J185" s="53">
        <f t="shared" si="183"/>
        <v>2.2586793536656766</v>
      </c>
      <c r="K185" s="53">
        <f t="shared" si="183"/>
        <v>2.5813830201091408</v>
      </c>
      <c r="L185" s="53">
        <f t="shared" si="183"/>
        <v>2.9156214194357211</v>
      </c>
      <c r="M185" s="53">
        <f t="shared" si="183"/>
        <v>3.2617172393199323</v>
      </c>
      <c r="N185" s="53">
        <f t="shared" si="183"/>
        <v>3.6200012713319882</v>
      </c>
      <c r="O185" s="53">
        <f t="shared" si="183"/>
        <v>3.990812602373782</v>
      </c>
      <c r="P185" s="53">
        <f t="shared" si="183"/>
        <v>4.3744988104621125</v>
      </c>
      <c r="Q185" s="53">
        <f t="shared" si="183"/>
        <v>4.7714161649551086</v>
      </c>
      <c r="R185" s="53">
        <f t="shared" si="183"/>
        <v>5.1819298313200557</v>
      </c>
      <c r="S185" s="53">
        <f t="shared" si="183"/>
        <v>5.606414080542784</v>
      </c>
      <c r="T185" s="53">
        <f t="shared" si="183"/>
        <v>6.0452525032811089</v>
      </c>
      <c r="U185" s="53">
        <f t="shared" si="183"/>
        <v>6.4988382288668909</v>
      </c>
      <c r="V185" s="53">
        <f t="shared" si="183"/>
        <v>6.9675741492636334</v>
      </c>
      <c r="W185" s="53">
        <f t="shared" si="183"/>
        <v>7.4518731480887856</v>
      </c>
      <c r="X185" s="53">
        <f t="shared" si="183"/>
        <v>7.9521583348123466</v>
      </c>
      <c r="Y185" s="53">
        <f t="shared" si="183"/>
        <v>8.4688632842457423</v>
      </c>
      <c r="Z185" s="53">
        <f t="shared" si="183"/>
        <v>9.0024322814373381</v>
      </c>
      <c r="AA185" s="53">
        <f t="shared" si="183"/>
        <v>9.5533205720936039</v>
      </c>
      <c r="AB185" s="53">
        <f t="shared" si="183"/>
        <v>10.121994618647433</v>
      </c>
      <c r="AC185" s="53">
        <f t="shared" si="183"/>
        <v>10.708932362097663</v>
      </c>
      <c r="AD185" s="53">
        <f t="shared" si="183"/>
        <v>11.314623489746774</v>
      </c>
      <c r="AE185" s="53">
        <f t="shared" si="183"/>
        <v>11.939569708966058</v>
      </c>
      <c r="AF185" s="53">
        <f t="shared" si="183"/>
        <v>12.584285027120947</v>
      </c>
      <c r="AG185" s="53">
        <f t="shared" si="183"/>
        <v>13.249296037791259</v>
      </c>
      <c r="AH185" s="53">
        <f t="shared" si="183"/>
        <v>13.935142213424854</v>
      </c>
      <c r="AI185" s="53">
        <f t="shared" si="183"/>
        <v>14.642376204565531</v>
      </c>
      <c r="AJ185" s="53">
        <f t="shared" si="183"/>
        <v>15.371564145799352</v>
      </c>
      <c r="AK185" s="53">
        <f t="shared" si="183"/>
        <v>16.123285968566641</v>
      </c>
      <c r="AL185" s="53">
        <f t="shared" si="183"/>
        <v>16.898135720989963</v>
      </c>
      <c r="AM185" s="53">
        <f t="shared" si="183"/>
        <v>17.696721894871796</v>
      </c>
      <c r="AN185" s="53">
        <f t="shared" si="183"/>
        <v>18.519667760018656</v>
      </c>
      <c r="AO185" s="53">
        <f t="shared" si="183"/>
        <v>19.367611706052212</v>
      </c>
      <c r="AP185" s="53">
        <f t="shared" si="183"/>
        <v>20.241207591870875</v>
      </c>
      <c r="AQ185" s="53">
        <f t="shared" si="183"/>
        <v>21.141125102929234</v>
      </c>
    </row>
    <row r="186" spans="1:43" s="16" customFormat="1" hidden="1" outlineLevel="5">
      <c r="A186" s="53"/>
      <c r="B186" s="53"/>
      <c r="C186" s="53"/>
      <c r="D186" s="53"/>
      <c r="E186" s="53"/>
      <c r="F186" s="53" t="s">
        <v>436</v>
      </c>
      <c r="G186" s="53"/>
      <c r="H186" s="53">
        <f t="shared" ref="H186:AQ186" si="184">H165</f>
        <v>921.5</v>
      </c>
      <c r="I186" s="53">
        <f t="shared" si="184"/>
        <v>924.51675120929633</v>
      </c>
      <c r="J186" s="53">
        <f t="shared" si="184"/>
        <v>927.54337847703948</v>
      </c>
      <c r="K186" s="53">
        <f t="shared" si="184"/>
        <v>930.5799141348748</v>
      </c>
      <c r="L186" s="53">
        <f t="shared" si="184"/>
        <v>933.62639062029325</v>
      </c>
      <c r="M186" s="53">
        <f t="shared" si="184"/>
        <v>936.68284047697773</v>
      </c>
      <c r="N186" s="53">
        <f t="shared" si="184"/>
        <v>939.74929635515025</v>
      </c>
      <c r="O186" s="53">
        <f t="shared" si="184"/>
        <v>942.82579101192141</v>
      </c>
      <c r="P186" s="53">
        <f t="shared" si="184"/>
        <v>945.91235731164022</v>
      </c>
      <c r="Q186" s="53">
        <f t="shared" si="184"/>
        <v>949.00902822624494</v>
      </c>
      <c r="R186" s="53">
        <f t="shared" si="184"/>
        <v>952.11583683561526</v>
      </c>
      <c r="S186" s="53">
        <f t="shared" si="184"/>
        <v>955.23281632792555</v>
      </c>
      <c r="T186" s="53">
        <f t="shared" si="184"/>
        <v>958.36</v>
      </c>
      <c r="U186" s="53">
        <f t="shared" si="184"/>
        <v>961.49742125766818</v>
      </c>
      <c r="V186" s="53">
        <f t="shared" si="184"/>
        <v>964.64511361612097</v>
      </c>
      <c r="W186" s="53">
        <f t="shared" si="184"/>
        <v>967.80311070026983</v>
      </c>
      <c r="X186" s="53">
        <f t="shared" si="184"/>
        <v>970.97144624510508</v>
      </c>
      <c r="Y186" s="53">
        <f t="shared" si="184"/>
        <v>974.15015409605701</v>
      </c>
      <c r="Z186" s="53">
        <f t="shared" si="184"/>
        <v>977.33926820935631</v>
      </c>
      <c r="AA186" s="53">
        <f t="shared" si="184"/>
        <v>980.53882265239827</v>
      </c>
      <c r="AB186" s="53">
        <f t="shared" si="184"/>
        <v>983.74885160410599</v>
      </c>
      <c r="AC186" s="53">
        <f t="shared" si="184"/>
        <v>986.96938935529477</v>
      </c>
      <c r="AD186" s="53">
        <f t="shared" si="184"/>
        <v>990.20047030903982</v>
      </c>
      <c r="AE186" s="53">
        <f t="shared" si="184"/>
        <v>993.44212898104252</v>
      </c>
      <c r="AF186" s="53">
        <f t="shared" si="184"/>
        <v>996.69440000000009</v>
      </c>
      <c r="AG186" s="53">
        <f t="shared" si="184"/>
        <v>999.95731810797486</v>
      </c>
      <c r="AH186" s="53">
        <f t="shared" si="184"/>
        <v>1003.2309181607659</v>
      </c>
      <c r="AI186" s="53">
        <f t="shared" si="184"/>
        <v>1006.5152351282807</v>
      </c>
      <c r="AJ186" s="53">
        <f t="shared" si="184"/>
        <v>1009.8103040949094</v>
      </c>
      <c r="AK186" s="53">
        <f t="shared" si="184"/>
        <v>1013.1161602598993</v>
      </c>
      <c r="AL186" s="53">
        <f t="shared" si="184"/>
        <v>1016.4328389377307</v>
      </c>
      <c r="AM186" s="53">
        <f t="shared" si="184"/>
        <v>1019.7603755584944</v>
      </c>
      <c r="AN186" s="53">
        <f t="shared" si="184"/>
        <v>1023.0988056682702</v>
      </c>
      <c r="AO186" s="53">
        <f t="shared" si="184"/>
        <v>1026.4481649295064</v>
      </c>
      <c r="AP186" s="53">
        <f t="shared" si="184"/>
        <v>1029.8084891214014</v>
      </c>
      <c r="AQ186" s="53">
        <f t="shared" si="184"/>
        <v>1033.1798141402844</v>
      </c>
    </row>
    <row r="187" spans="1:43" s="16" customFormat="1" outlineLevel="3">
      <c r="A187" s="53"/>
      <c r="B187" s="53"/>
      <c r="C187" s="53"/>
      <c r="D187" s="53" t="s">
        <v>444</v>
      </c>
      <c r="E187" s="53"/>
      <c r="F187" s="53"/>
      <c r="G187" s="53"/>
      <c r="H187" s="53">
        <f t="shared" ref="H187:AQ187" si="185">(((H188+H191)+H194)+H197)</f>
        <v>1531730.828567883</v>
      </c>
      <c r="I187" s="53">
        <f t="shared" si="185"/>
        <v>2006619.5231046244</v>
      </c>
      <c r="J187" s="53">
        <f t="shared" si="185"/>
        <v>2502847.1959906737</v>
      </c>
      <c r="K187" s="53">
        <f t="shared" si="185"/>
        <v>3021152.2149733203</v>
      </c>
      <c r="L187" s="53">
        <f t="shared" si="185"/>
        <v>3562295.832511567</v>
      </c>
      <c r="M187" s="53">
        <f t="shared" si="185"/>
        <v>4127062.8532605767</v>
      </c>
      <c r="N187" s="53">
        <f t="shared" si="185"/>
        <v>4716262.3202929348</v>
      </c>
      <c r="O187" s="53">
        <f t="shared" si="185"/>
        <v>5330728.2205690099</v>
      </c>
      <c r="P187" s="53">
        <f t="shared" si="185"/>
        <v>5971320.210182569</v>
      </c>
      <c r="Q187" s="53">
        <f t="shared" si="185"/>
        <v>6638924.3599217879</v>
      </c>
      <c r="R187" s="53">
        <f t="shared" si="185"/>
        <v>7334453.921700364</v>
      </c>
      <c r="S187" s="53">
        <f t="shared" si="185"/>
        <v>8058850.1164282653</v>
      </c>
      <c r="T187" s="53">
        <f t="shared" si="185"/>
        <v>8813082.9439069182</v>
      </c>
      <c r="U187" s="53">
        <f t="shared" si="185"/>
        <v>9598152.0153493453</v>
      </c>
      <c r="V187" s="53">
        <f t="shared" si="185"/>
        <v>10415087.409141684</v>
      </c>
      <c r="W187" s="53">
        <f t="shared" si="185"/>
        <v>11264950.550479271</v>
      </c>
      <c r="X187" s="53">
        <f t="shared" si="185"/>
        <v>12148835.115527133</v>
      </c>
      <c r="Y187" s="53">
        <f t="shared" si="185"/>
        <v>13067867.960772386</v>
      </c>
      <c r="Z187" s="53">
        <f t="shared" si="185"/>
        <v>14023210.07825358</v>
      </c>
      <c r="AA187" s="53">
        <f t="shared" si="185"/>
        <v>15016057.57737066</v>
      </c>
      <c r="AB187" s="53">
        <f t="shared" si="185"/>
        <v>16047642.693997746</v>
      </c>
      <c r="AC187" s="53">
        <f t="shared" si="185"/>
        <v>17119234.827640392</v>
      </c>
      <c r="AD187" s="53">
        <f t="shared" si="185"/>
        <v>18232141.607398674</v>
      </c>
      <c r="AE187" s="53">
        <f t="shared" si="185"/>
        <v>19387709.987517804</v>
      </c>
      <c r="AF187" s="53">
        <f t="shared" si="185"/>
        <v>20587327.373329051</v>
      </c>
      <c r="AG187" s="53">
        <f t="shared" si="185"/>
        <v>21832422.778404571</v>
      </c>
      <c r="AH187" s="53">
        <f t="shared" si="185"/>
        <v>23124468.013772458</v>
      </c>
      <c r="AI187" s="53">
        <f t="shared" si="185"/>
        <v>24464978.910060313</v>
      </c>
      <c r="AJ187" s="53">
        <f t="shared" si="185"/>
        <v>25855516.573459003</v>
      </c>
      <c r="AK187" s="53">
        <f t="shared" si="185"/>
        <v>27297688.676422004</v>
      </c>
      <c r="AL187" s="53">
        <f t="shared" si="185"/>
        <v>28793150.784040108</v>
      </c>
      <c r="AM187" s="53">
        <f t="shared" si="185"/>
        <v>30343607.717056315</v>
      </c>
      <c r="AN187" s="53">
        <f t="shared" si="185"/>
        <v>31950814.952511024</v>
      </c>
      <c r="AO187" s="53">
        <f t="shared" si="185"/>
        <v>33616580.063035004</v>
      </c>
      <c r="AP187" s="53">
        <f t="shared" si="185"/>
        <v>35342764.195833117</v>
      </c>
      <c r="AQ187" s="53">
        <f t="shared" si="185"/>
        <v>37131283.592431068</v>
      </c>
    </row>
    <row r="188" spans="1:43" s="16" customFormat="1" outlineLevel="4">
      <c r="A188" s="53"/>
      <c r="B188" s="53"/>
      <c r="C188" s="53"/>
      <c r="D188" s="53"/>
      <c r="E188" s="53" t="s">
        <v>445</v>
      </c>
      <c r="F188" s="53"/>
      <c r="G188" s="53"/>
      <c r="H188" s="53">
        <f t="shared" ref="H188:AQ188" si="186">(H189*H190)</f>
        <v>600268.60053723992</v>
      </c>
      <c r="I188" s="53">
        <f t="shared" si="186"/>
        <v>849665.39863373595</v>
      </c>
      <c r="J188" s="53">
        <f t="shared" si="186"/>
        <v>1110351.1535579921</v>
      </c>
      <c r="K188" s="53">
        <f t="shared" si="186"/>
        <v>1382716.8816509966</v>
      </c>
      <c r="L188" s="53">
        <f t="shared" si="186"/>
        <v>1667165.7119649407</v>
      </c>
      <c r="M188" s="53">
        <f t="shared" si="186"/>
        <v>1964113.2391836767</v>
      </c>
      <c r="N188" s="53">
        <f t="shared" si="186"/>
        <v>2273987.8864374338</v>
      </c>
      <c r="O188" s="53">
        <f t="shared" si="186"/>
        <v>2597231.2782819537</v>
      </c>
      <c r="P188" s="53">
        <f t="shared" si="186"/>
        <v>2934298.6241194969</v>
      </c>
      <c r="Q188" s="53">
        <f t="shared" si="186"/>
        <v>3285659.1123465835</v>
      </c>
      <c r="R188" s="53">
        <f t="shared" si="186"/>
        <v>3651796.3155209422</v>
      </c>
      <c r="S188" s="53">
        <f t="shared" si="186"/>
        <v>4033208.6068479898</v>
      </c>
      <c r="T188" s="53">
        <f t="shared" si="186"/>
        <v>4430409.5882952046</v>
      </c>
      <c r="U188" s="53">
        <f t="shared" si="186"/>
        <v>4843928.5306509929</v>
      </c>
      <c r="V188" s="53">
        <f t="shared" si="186"/>
        <v>5274310.8258530879</v>
      </c>
      <c r="W188" s="53">
        <f t="shared" si="186"/>
        <v>5722118.4519202812</v>
      </c>
      <c r="X188" s="53">
        <f t="shared" si="186"/>
        <v>6187930.4508300945</v>
      </c>
      <c r="Y188" s="53">
        <f t="shared" si="186"/>
        <v>6672343.4196943026</v>
      </c>
      <c r="Z188" s="53">
        <f t="shared" si="186"/>
        <v>7175972.0155934151</v>
      </c>
      <c r="AA188" s="53">
        <f t="shared" si="186"/>
        <v>7699449.4744410804</v>
      </c>
      <c r="AB188" s="53">
        <f t="shared" si="186"/>
        <v>8243428.1442590794</v>
      </c>
      <c r="AC188" s="53">
        <f t="shared" si="186"/>
        <v>8808580.0332538895</v>
      </c>
      <c r="AD188" s="53">
        <f t="shared" si="186"/>
        <v>9395597.3730960749</v>
      </c>
      <c r="AE188" s="53">
        <f t="shared" si="186"/>
        <v>10005193.197814567</v>
      </c>
      <c r="AF188" s="53">
        <f t="shared" si="186"/>
        <v>10638101.938728919</v>
      </c>
      <c r="AG188" s="53">
        <f t="shared" si="186"/>
        <v>11295080.035853622</v>
      </c>
      <c r="AH188" s="53">
        <f t="shared" si="186"/>
        <v>11976906.566220492</v>
      </c>
      <c r="AI188" s="53">
        <f t="shared" si="186"/>
        <v>12684383.889576772</v>
      </c>
      <c r="AJ188" s="53">
        <f t="shared" si="186"/>
        <v>13418338.311928799</v>
      </c>
      <c r="AK188" s="53">
        <f t="shared" si="186"/>
        <v>14179620.767413674</v>
      </c>
      <c r="AL188" s="53">
        <f t="shared" si="186"/>
        <v>14969107.518994097</v>
      </c>
      <c r="AM188" s="53">
        <f t="shared" si="186"/>
        <v>15787700.878484853</v>
      </c>
      <c r="AN188" s="53">
        <f t="shared" si="186"/>
        <v>16636329.946432561</v>
      </c>
      <c r="AO188" s="53">
        <f t="shared" si="186"/>
        <v>17515951.372384902</v>
      </c>
      <c r="AP188" s="53">
        <f t="shared" si="186"/>
        <v>18427550.13609875</v>
      </c>
      <c r="AQ188" s="53">
        <f t="shared" si="186"/>
        <v>19372140.350252267</v>
      </c>
    </row>
    <row r="189" spans="1:43" s="16" customFormat="1" outlineLevel="5">
      <c r="A189" s="53"/>
      <c r="B189" s="53"/>
      <c r="C189" s="53"/>
      <c r="D189" s="53"/>
      <c r="E189" s="53"/>
      <c r="F189" s="53" t="s">
        <v>324</v>
      </c>
      <c r="G189" s="53"/>
      <c r="H189" s="53">
        <f t="shared" ref="H189:AQ189" si="187">H6</f>
        <v>250.11191689051665</v>
      </c>
      <c r="I189" s="53">
        <f t="shared" si="187"/>
        <v>352.8720382012383</v>
      </c>
      <c r="J189" s="53">
        <f t="shared" si="187"/>
        <v>459.63195708956715</v>
      </c>
      <c r="K189" s="53">
        <f t="shared" si="187"/>
        <v>570.51056151812998</v>
      </c>
      <c r="L189" s="53">
        <f t="shared" si="187"/>
        <v>685.62989926971431</v>
      </c>
      <c r="M189" s="53">
        <f t="shared" si="187"/>
        <v>805.11525695386615</v>
      </c>
      <c r="N189" s="53">
        <f t="shared" si="187"/>
        <v>929.09524091491096</v>
      </c>
      <c r="O189" s="53">
        <f t="shared" si="187"/>
        <v>1057.7018600859767</v>
      </c>
      <c r="P189" s="53">
        <f t="shared" si="187"/>
        <v>1191.0706108346458</v>
      </c>
      <c r="Q189" s="53">
        <f t="shared" si="187"/>
        <v>1329.3405638468985</v>
      </c>
      <c r="R189" s="53">
        <f t="shared" si="187"/>
        <v>1472.6544530970873</v>
      </c>
      <c r="S189" s="53">
        <f t="shared" si="187"/>
        <v>1621.158766952778</v>
      </c>
      <c r="T189" s="53">
        <f t="shared" si="187"/>
        <v>1775.0038414644248</v>
      </c>
      <c r="U189" s="53">
        <f t="shared" si="187"/>
        <v>1934.3439558909834</v>
      </c>
      <c r="V189" s="53">
        <f t="shared" si="187"/>
        <v>2099.3374305137468</v>
      </c>
      <c r="W189" s="53">
        <f t="shared" si="187"/>
        <v>2270.1467267918879</v>
      </c>
      <c r="X189" s="53">
        <f t="shared" si="187"/>
        <v>2446.9385499144205</v>
      </c>
      <c r="Y189" s="53">
        <f t="shared" si="187"/>
        <v>2629.8839538045586</v>
      </c>
      <c r="Z189" s="53">
        <f t="shared" si="187"/>
        <v>2819.1584486337038</v>
      </c>
      <c r="AA189" s="53">
        <f t="shared" si="187"/>
        <v>3014.9421109036552</v>
      </c>
      <c r="AB189" s="53">
        <f t="shared" si="187"/>
        <v>3217.4196961569273</v>
      </c>
      <c r="AC189" s="53">
        <f t="shared" si="187"/>
        <v>3426.7807543764911</v>
      </c>
      <c r="AD189" s="53">
        <f t="shared" si="187"/>
        <v>3643.2197481375802</v>
      </c>
      <c r="AE189" s="53">
        <f t="shared" si="187"/>
        <v>3866.9361735757352</v>
      </c>
      <c r="AF189" s="53">
        <f t="shared" si="187"/>
        <v>4098.1346842366702</v>
      </c>
      <c r="AG189" s="53">
        <f t="shared" si="187"/>
        <v>4337.0252178750234</v>
      </c>
      <c r="AH189" s="53">
        <f t="shared" si="187"/>
        <v>4583.8231262706695</v>
      </c>
      <c r="AI189" s="53">
        <f t="shared" si="187"/>
        <v>4838.7493081327902</v>
      </c>
      <c r="AJ189" s="53">
        <f t="shared" si="187"/>
        <v>5102.0303451634863</v>
      </c>
      <c r="AK189" s="53">
        <f t="shared" si="187"/>
        <v>5373.8986413544153</v>
      </c>
      <c r="AL189" s="53">
        <f t="shared" si="187"/>
        <v>5654.5925655915862</v>
      </c>
      <c r="AM189" s="53">
        <f t="shared" si="187"/>
        <v>5944.3565976451646</v>
      </c>
      <c r="AN189" s="53">
        <f t="shared" si="187"/>
        <v>6243.4414776228405</v>
      </c>
      <c r="AO189" s="53">
        <f t="shared" si="187"/>
        <v>6552.1043589673127</v>
      </c>
      <c r="AP189" s="53">
        <f t="shared" si="187"/>
        <v>6870.6089650799277</v>
      </c>
      <c r="AQ189" s="53">
        <f t="shared" si="187"/>
        <v>7199.2257496547818</v>
      </c>
    </row>
    <row r="190" spans="1:43" s="16" customFormat="1" outlineLevel="5">
      <c r="A190" s="53"/>
      <c r="B190" s="53"/>
      <c r="C190" s="53"/>
      <c r="D190" s="53"/>
      <c r="E190" s="53"/>
      <c r="F190" s="53" t="s">
        <v>446</v>
      </c>
      <c r="G190" s="53"/>
      <c r="H190" s="53">
        <f t="shared" ref="H190:AQ190" si="188">central_public_distribution_cost_per_dose_positive*(1+central_public_distribution_cost_per_dose_positive_growth)^((COLUMN()-8)/12)</f>
        <v>2400</v>
      </c>
      <c r="I190" s="53">
        <f t="shared" si="188"/>
        <v>2407.8569754772775</v>
      </c>
      <c r="J190" s="53">
        <f t="shared" si="188"/>
        <v>2415.7396726477423</v>
      </c>
      <c r="K190" s="53">
        <f t="shared" si="188"/>
        <v>2423.6481757175252</v>
      </c>
      <c r="L190" s="53">
        <f t="shared" si="188"/>
        <v>2431.5825691684254</v>
      </c>
      <c r="M190" s="53">
        <f t="shared" si="188"/>
        <v>2439.5429377588134</v>
      </c>
      <c r="N190" s="53">
        <f t="shared" si="188"/>
        <v>2447.5293665245367</v>
      </c>
      <c r="O190" s="53">
        <f t="shared" si="188"/>
        <v>2455.5419407798281</v>
      </c>
      <c r="P190" s="53">
        <f t="shared" si="188"/>
        <v>2463.5807461182167</v>
      </c>
      <c r="Q190" s="53">
        <f t="shared" si="188"/>
        <v>2471.6458684134432</v>
      </c>
      <c r="R190" s="53">
        <f t="shared" si="188"/>
        <v>2479.7373938203759</v>
      </c>
      <c r="S190" s="53">
        <f t="shared" si="188"/>
        <v>2487.8554087759321</v>
      </c>
      <c r="T190" s="53">
        <f t="shared" si="188"/>
        <v>2496</v>
      </c>
      <c r="U190" s="53">
        <f t="shared" si="188"/>
        <v>2504.1712544963689</v>
      </c>
      <c r="V190" s="53">
        <f t="shared" si="188"/>
        <v>2512.3692595536518</v>
      </c>
      <c r="W190" s="53">
        <f t="shared" si="188"/>
        <v>2520.5941027462263</v>
      </c>
      <c r="X190" s="53">
        <f t="shared" si="188"/>
        <v>2528.8458719351624</v>
      </c>
      <c r="Y190" s="53">
        <f t="shared" si="188"/>
        <v>2537.1246552691664</v>
      </c>
      <c r="Z190" s="53">
        <f t="shared" si="188"/>
        <v>2545.4305411855185</v>
      </c>
      <c r="AA190" s="53">
        <f t="shared" si="188"/>
        <v>2553.7636184110211</v>
      </c>
      <c r="AB190" s="53">
        <f t="shared" si="188"/>
        <v>2562.1239759629457</v>
      </c>
      <c r="AC190" s="53">
        <f t="shared" si="188"/>
        <v>2570.5117031499808</v>
      </c>
      <c r="AD190" s="53">
        <f t="shared" si="188"/>
        <v>2578.9268895731911</v>
      </c>
      <c r="AE190" s="53">
        <f t="shared" si="188"/>
        <v>2587.3696251269694</v>
      </c>
      <c r="AF190" s="53">
        <f t="shared" si="188"/>
        <v>2595.84</v>
      </c>
      <c r="AG190" s="53">
        <f t="shared" si="188"/>
        <v>2604.3381046762233</v>
      </c>
      <c r="AH190" s="53">
        <f t="shared" si="188"/>
        <v>2612.8640299357985</v>
      </c>
      <c r="AI190" s="53">
        <f t="shared" si="188"/>
        <v>2621.4178668560758</v>
      </c>
      <c r="AJ190" s="53">
        <f t="shared" si="188"/>
        <v>2629.999706812569</v>
      </c>
      <c r="AK190" s="53">
        <f t="shared" si="188"/>
        <v>2638.6096414799331</v>
      </c>
      <c r="AL190" s="53">
        <f t="shared" si="188"/>
        <v>2647.2477628329393</v>
      </c>
      <c r="AM190" s="53">
        <f t="shared" si="188"/>
        <v>2655.9141631474622</v>
      </c>
      <c r="AN190" s="53">
        <f t="shared" si="188"/>
        <v>2664.6089350014636</v>
      </c>
      <c r="AO190" s="53">
        <f t="shared" si="188"/>
        <v>2673.3321712759803</v>
      </c>
      <c r="AP190" s="53">
        <f t="shared" si="188"/>
        <v>2682.0839651561187</v>
      </c>
      <c r="AQ190" s="53">
        <f t="shared" si="188"/>
        <v>2690.8644101320483</v>
      </c>
    </row>
    <row r="191" spans="1:43" s="16" customFormat="1" outlineLevel="4" collapsed="1">
      <c r="A191" s="53"/>
      <c r="B191" s="53"/>
      <c r="C191" s="53"/>
      <c r="D191" s="53"/>
      <c r="E191" s="53" t="s">
        <v>447</v>
      </c>
      <c r="F191" s="53"/>
      <c r="G191" s="53"/>
      <c r="H191" s="53">
        <f t="shared" ref="H191:AQ191" si="189">(H192*H193)</f>
        <v>396463.24661080824</v>
      </c>
      <c r="I191" s="53">
        <f t="shared" si="189"/>
        <v>513190.74739371066</v>
      </c>
      <c r="J191" s="53">
        <f t="shared" si="189"/>
        <v>635155.30581427144</v>
      </c>
      <c r="K191" s="53">
        <f t="shared" si="189"/>
        <v>762538.09476469026</v>
      </c>
      <c r="L191" s="53">
        <f t="shared" si="189"/>
        <v>895525.90296373912</v>
      </c>
      <c r="M191" s="53">
        <f t="shared" si="189"/>
        <v>1034311.2987916581</v>
      </c>
      <c r="N191" s="53">
        <f t="shared" si="189"/>
        <v>1179092.7987252451</v>
      </c>
      <c r="O191" s="53">
        <f t="shared" si="189"/>
        <v>1330075.0404989531</v>
      </c>
      <c r="P191" s="53">
        <f t="shared" si="189"/>
        <v>1487468.9611212139</v>
      </c>
      <c r="Q191" s="53">
        <f t="shared" si="189"/>
        <v>1651491.979878634</v>
      </c>
      <c r="R191" s="53">
        <f t="shared" si="189"/>
        <v>1822368.1864642941</v>
      </c>
      <c r="S191" s="53">
        <f t="shared" si="189"/>
        <v>2000328.5343700321</v>
      </c>
      <c r="T191" s="53">
        <f t="shared" si="189"/>
        <v>2185611.0396863283</v>
      </c>
      <c r="U191" s="53">
        <f t="shared" si="189"/>
        <v>2378460.9854572713</v>
      </c>
      <c r="V191" s="53">
        <f t="shared" si="189"/>
        <v>2579131.1317420127</v>
      </c>
      <c r="W191" s="53">
        <f t="shared" si="189"/>
        <v>2787881.9315381977</v>
      </c>
      <c r="X191" s="53">
        <f t="shared" si="189"/>
        <v>3004981.7527269949</v>
      </c>
      <c r="Y191" s="53">
        <f t="shared" si="189"/>
        <v>3230707.1062036548</v>
      </c>
      <c r="Z191" s="53">
        <f t="shared" si="189"/>
        <v>3465342.8803618453</v>
      </c>
      <c r="AA191" s="53">
        <f t="shared" si="189"/>
        <v>3709182.5821045889</v>
      </c>
      <c r="AB191" s="53">
        <f t="shared" si="189"/>
        <v>3962528.5845591887</v>
      </c>
      <c r="AC191" s="53">
        <f t="shared" si="189"/>
        <v>4225692.3816782879</v>
      </c>
      <c r="AD191" s="53">
        <f t="shared" si="189"/>
        <v>4498994.8499140684</v>
      </c>
      <c r="AE191" s="53">
        <f t="shared" si="189"/>
        <v>4782766.5171575882</v>
      </c>
      <c r="AF191" s="53">
        <f t="shared" si="189"/>
        <v>5077347.8391404171</v>
      </c>
      <c r="AG191" s="53">
        <f t="shared" si="189"/>
        <v>5383089.4835008681</v>
      </c>
      <c r="AH191" s="53">
        <f t="shared" si="189"/>
        <v>5700352.6217227122</v>
      </c>
      <c r="AI191" s="53">
        <f t="shared" si="189"/>
        <v>6029509.2291596001</v>
      </c>
      <c r="AJ191" s="53">
        <f t="shared" si="189"/>
        <v>6370942.3933642656</v>
      </c>
      <c r="AK191" s="53">
        <f t="shared" si="189"/>
        <v>6725046.6309473086</v>
      </c>
      <c r="AL191" s="53">
        <f t="shared" si="189"/>
        <v>7092228.213196395</v>
      </c>
      <c r="AM191" s="53">
        <f t="shared" si="189"/>
        <v>7472905.5006928854</v>
      </c>
      <c r="AN191" s="53">
        <f t="shared" si="189"/>
        <v>7867509.2871690756</v>
      </c>
      <c r="AO191" s="53">
        <f t="shared" si="189"/>
        <v>8276483.1528559569</v>
      </c>
      <c r="AP191" s="53">
        <f t="shared" si="189"/>
        <v>8700283.8275777157</v>
      </c>
      <c r="AQ191" s="53">
        <f t="shared" si="189"/>
        <v>9139381.5638563409</v>
      </c>
    </row>
    <row r="192" spans="1:43" s="16" customFormat="1" hidden="1" outlineLevel="5">
      <c r="A192" s="53"/>
      <c r="B192" s="53"/>
      <c r="C192" s="53"/>
      <c r="D192" s="53"/>
      <c r="E192" s="53"/>
      <c r="F192" s="53" t="s">
        <v>337</v>
      </c>
      <c r="G192" s="53"/>
      <c r="H192" s="53">
        <f t="shared" ref="H192:AQ192" si="190">H21</f>
        <v>121.46545545674272</v>
      </c>
      <c r="I192" s="53">
        <f t="shared" si="190"/>
        <v>156.71451487050922</v>
      </c>
      <c r="J192" s="53">
        <f t="shared" si="190"/>
        <v>193.326278259807</v>
      </c>
      <c r="K192" s="53">
        <f t="shared" si="190"/>
        <v>231.34124052319564</v>
      </c>
      <c r="L192" s="53">
        <f t="shared" si="190"/>
        <v>270.80097422930589</v>
      </c>
      <c r="M192" s="53">
        <f t="shared" si="190"/>
        <v>311.74815661005806</v>
      </c>
      <c r="N192" s="53">
        <f t="shared" si="190"/>
        <v>354.22659720474843</v>
      </c>
      <c r="O192" s="53">
        <f t="shared" si="190"/>
        <v>398.28126617029511</v>
      </c>
      <c r="P192" s="53">
        <f t="shared" si="190"/>
        <v>443.95832327329242</v>
      </c>
      <c r="Q192" s="53">
        <f t="shared" si="190"/>
        <v>491.30514757987481</v>
      </c>
      <c r="R192" s="53">
        <f t="shared" si="190"/>
        <v>540.37036785976591</v>
      </c>
      <c r="S192" s="53">
        <f t="shared" si="190"/>
        <v>591.20389372126772</v>
      </c>
      <c r="T192" s="53">
        <f t="shared" si="190"/>
        <v>643.85694749432275</v>
      </c>
      <c r="U192" s="53">
        <f t="shared" si="190"/>
        <v>698.38209687918709</v>
      </c>
      <c r="V192" s="53">
        <f t="shared" si="190"/>
        <v>754.83328837864451</v>
      </c>
      <c r="W192" s="53">
        <f t="shared" si="190"/>
        <v>813.26588153211367</v>
      </c>
      <c r="X192" s="53">
        <f t="shared" si="190"/>
        <v>873.73668397041752</v>
      </c>
      <c r="Y192" s="53">
        <f t="shared" si="190"/>
        <v>936.30398731042158</v>
      </c>
      <c r="Z192" s="53">
        <f t="shared" si="190"/>
        <v>1001.0276039091775</v>
      </c>
      <c r="AA192" s="53">
        <f t="shared" si="190"/>
        <v>1067.9689044976735</v>
      </c>
      <c r="AB192" s="53">
        <f t="shared" si="190"/>
        <v>1137.1908567147477</v>
      </c>
      <c r="AC192" s="53">
        <f t="shared" si="190"/>
        <v>1208.7580645621922</v>
      </c>
      <c r="AD192" s="53">
        <f t="shared" si="190"/>
        <v>1282.7368088025598</v>
      </c>
      <c r="AE192" s="53">
        <f t="shared" si="190"/>
        <v>1359.1950883216809</v>
      </c>
      <c r="AF192" s="53">
        <f t="shared" si="190"/>
        <v>1438.2026624784089</v>
      </c>
      <c r="AG192" s="53">
        <f t="shared" si="190"/>
        <v>1519.8310944646023</v>
      </c>
      <c r="AH192" s="53">
        <f t="shared" si="190"/>
        <v>1604.153795698925</v>
      </c>
      <c r="AI192" s="53">
        <f t="shared" si="190"/>
        <v>1691.2460712785389</v>
      </c>
      <c r="AJ192" s="53">
        <f t="shared" si="190"/>
        <v>1781.1851665133545</v>
      </c>
      <c r="AK192" s="53">
        <f t="shared" si="190"/>
        <v>1874.0503145680382</v>
      </c>
      <c r="AL192" s="53">
        <f t="shared" si="190"/>
        <v>1969.9227852375814</v>
      </c>
      <c r="AM192" s="53">
        <f t="shared" si="190"/>
        <v>2068.8859348828078</v>
      </c>
      <c r="AN192" s="53">
        <f t="shared" si="190"/>
        <v>2171.0252575527934</v>
      </c>
      <c r="AO192" s="53">
        <f t="shared" si="190"/>
        <v>2276.4284373218352</v>
      </c>
      <c r="AP192" s="53">
        <f t="shared" si="190"/>
        <v>2385.185401869162</v>
      </c>
      <c r="AQ192" s="53">
        <f t="shared" si="190"/>
        <v>2497.388377330305</v>
      </c>
    </row>
    <row r="193" spans="1:43" s="16" customFormat="1" hidden="1" outlineLevel="5">
      <c r="A193" s="53"/>
      <c r="B193" s="53"/>
      <c r="C193" s="53"/>
      <c r="D193" s="53"/>
      <c r="E193" s="53"/>
      <c r="F193" s="53" t="s">
        <v>448</v>
      </c>
      <c r="G193" s="53"/>
      <c r="H193" s="53">
        <f t="shared" ref="H193:AQ193" si="191">western_public_distribution_cost_per_dose_positive*(1+western_public_distribution_cost_per_dose_positive_growth)^((COLUMN()-8)/12)</f>
        <v>3264</v>
      </c>
      <c r="I193" s="53">
        <f t="shared" si="191"/>
        <v>3274.6854866490971</v>
      </c>
      <c r="J193" s="53">
        <f t="shared" si="191"/>
        <v>3285.4059548009295</v>
      </c>
      <c r="K193" s="53">
        <f t="shared" si="191"/>
        <v>3296.161518975834</v>
      </c>
      <c r="L193" s="53">
        <f t="shared" si="191"/>
        <v>3306.9522940690586</v>
      </c>
      <c r="M193" s="53">
        <f t="shared" si="191"/>
        <v>3317.7783953519861</v>
      </c>
      <c r="N193" s="53">
        <f t="shared" si="191"/>
        <v>3328.63993847337</v>
      </c>
      <c r="O193" s="53">
        <f t="shared" si="191"/>
        <v>3339.5370394605661</v>
      </c>
      <c r="P193" s="53">
        <f t="shared" si="191"/>
        <v>3350.4698147207746</v>
      </c>
      <c r="Q193" s="53">
        <f t="shared" si="191"/>
        <v>3361.4383810422823</v>
      </c>
      <c r="R193" s="53">
        <f t="shared" si="191"/>
        <v>3372.4428555957115</v>
      </c>
      <c r="S193" s="53">
        <f t="shared" si="191"/>
        <v>3383.4833559352674</v>
      </c>
      <c r="T193" s="53">
        <f t="shared" si="191"/>
        <v>3394.56</v>
      </c>
      <c r="U193" s="53">
        <f t="shared" si="191"/>
        <v>3405.6729061150613</v>
      </c>
      <c r="V193" s="53">
        <f t="shared" si="191"/>
        <v>3416.8221929929668</v>
      </c>
      <c r="W193" s="53">
        <f t="shared" si="191"/>
        <v>3428.0079797348681</v>
      </c>
      <c r="X193" s="53">
        <f t="shared" si="191"/>
        <v>3439.230385831821</v>
      </c>
      <c r="Y193" s="53">
        <f t="shared" si="191"/>
        <v>3450.4895311660662</v>
      </c>
      <c r="Z193" s="53">
        <f t="shared" si="191"/>
        <v>3461.7855360123049</v>
      </c>
      <c r="AA193" s="53">
        <f t="shared" si="191"/>
        <v>3473.1185210389885</v>
      </c>
      <c r="AB193" s="53">
        <f t="shared" si="191"/>
        <v>3484.4886073096059</v>
      </c>
      <c r="AC193" s="53">
        <f t="shared" si="191"/>
        <v>3495.8959162839737</v>
      </c>
      <c r="AD193" s="53">
        <f t="shared" si="191"/>
        <v>3507.3405698195402</v>
      </c>
      <c r="AE193" s="53">
        <f t="shared" si="191"/>
        <v>3518.822690172678</v>
      </c>
      <c r="AF193" s="53">
        <f t="shared" si="191"/>
        <v>3530.3424000000005</v>
      </c>
      <c r="AG193" s="53">
        <f t="shared" si="191"/>
        <v>3541.8998223596636</v>
      </c>
      <c r="AH193" s="53">
        <f t="shared" si="191"/>
        <v>3553.4950807126856</v>
      </c>
      <c r="AI193" s="53">
        <f t="shared" si="191"/>
        <v>3565.1282989242627</v>
      </c>
      <c r="AJ193" s="53">
        <f t="shared" si="191"/>
        <v>3576.7996012650938</v>
      </c>
      <c r="AK193" s="53">
        <f t="shared" si="191"/>
        <v>3588.5091124127089</v>
      </c>
      <c r="AL193" s="53">
        <f t="shared" si="191"/>
        <v>3600.2569574527975</v>
      </c>
      <c r="AM193" s="53">
        <f t="shared" si="191"/>
        <v>3612.0432618805485</v>
      </c>
      <c r="AN193" s="53">
        <f t="shared" si="191"/>
        <v>3623.8681516019901</v>
      </c>
      <c r="AO193" s="53">
        <f t="shared" si="191"/>
        <v>3635.7317529353331</v>
      </c>
      <c r="AP193" s="53">
        <f t="shared" si="191"/>
        <v>3647.6341926123209</v>
      </c>
      <c r="AQ193" s="53">
        <f t="shared" si="191"/>
        <v>3659.5755977795857</v>
      </c>
    </row>
    <row r="194" spans="1:43" s="16" customFormat="1" outlineLevel="4" collapsed="1">
      <c r="A194" s="53"/>
      <c r="B194" s="53"/>
      <c r="C194" s="53"/>
      <c r="D194" s="53"/>
      <c r="E194" s="53" t="s">
        <v>449</v>
      </c>
      <c r="F194" s="53"/>
      <c r="G194" s="53"/>
      <c r="H194" s="53">
        <f t="shared" ref="H194:AQ194" si="192">(H195*H196)</f>
        <v>308641.85135870357</v>
      </c>
      <c r="I194" s="53">
        <f t="shared" si="192"/>
        <v>378163.01502142363</v>
      </c>
      <c r="J194" s="53">
        <f t="shared" si="192"/>
        <v>450774.02791811823</v>
      </c>
      <c r="K194" s="53">
        <f t="shared" si="192"/>
        <v>526581.64004434459</v>
      </c>
      <c r="L194" s="53">
        <f t="shared" si="192"/>
        <v>605695.91257757274</v>
      </c>
      <c r="M194" s="53">
        <f t="shared" si="192"/>
        <v>688230.31461001374</v>
      </c>
      <c r="N194" s="53">
        <f t="shared" si="192"/>
        <v>774301.82260198682</v>
      </c>
      <c r="O194" s="53">
        <f t="shared" si="192"/>
        <v>864031.02263034612</v>
      </c>
      <c r="P194" s="53">
        <f t="shared" si="192"/>
        <v>957542.21550853236</v>
      </c>
      <c r="Q194" s="53">
        <f t="shared" si="192"/>
        <v>1054963.5248568249</v>
      </c>
      <c r="R194" s="53">
        <f t="shared" si="192"/>
        <v>1156427.0082035244</v>
      </c>
      <c r="S194" s="53">
        <f t="shared" si="192"/>
        <v>1262068.7711999298</v>
      </c>
      <c r="T194" s="53">
        <f t="shared" si="192"/>
        <v>1372029.0850342219</v>
      </c>
      <c r="U194" s="53">
        <f t="shared" si="192"/>
        <v>1486452.5071316413</v>
      </c>
      <c r="V194" s="53">
        <f t="shared" si="192"/>
        <v>1605488.0052306703</v>
      </c>
      <c r="W194" s="53">
        <f t="shared" si="192"/>
        <v>1729289.0849273938</v>
      </c>
      <c r="X194" s="53">
        <f t="shared" si="192"/>
        <v>1858013.9207826001</v>
      </c>
      <c r="Y194" s="53">
        <f t="shared" si="192"/>
        <v>1991825.4910888069</v>
      </c>
      <c r="Z194" s="53">
        <f t="shared" si="192"/>
        <v>2130891.7163969222</v>
      </c>
      <c r="AA194" s="53">
        <f t="shared" si="192"/>
        <v>2275385.6019049706</v>
      </c>
      <c r="AB194" s="53">
        <f t="shared" si="192"/>
        <v>2425485.3838140359</v>
      </c>
      <c r="AC194" s="53">
        <f t="shared" si="192"/>
        <v>2581374.6797594004</v>
      </c>
      <c r="AD194" s="53">
        <f t="shared" si="192"/>
        <v>2743242.6434277166</v>
      </c>
      <c r="AE194" s="53">
        <f t="shared" si="192"/>
        <v>2911284.1234740452</v>
      </c>
      <c r="AF194" s="53">
        <f t="shared" si="192"/>
        <v>3085699.8268556441</v>
      </c>
      <c r="AG194" s="53">
        <f t="shared" si="192"/>
        <v>3266696.4867024506</v>
      </c>
      <c r="AH194" s="53">
        <f t="shared" si="192"/>
        <v>3454487.0348474933</v>
      </c>
      <c r="AI194" s="53">
        <f t="shared" si="192"/>
        <v>3649290.7791436878</v>
      </c>
      <c r="AJ194" s="53">
        <f t="shared" si="192"/>
        <v>3851333.5856968914</v>
      </c>
      <c r="AK194" s="53">
        <f t="shared" si="192"/>
        <v>4060848.0661485274</v>
      </c>
      <c r="AL194" s="53">
        <f t="shared" si="192"/>
        <v>4278073.770144674</v>
      </c>
      <c r="AM194" s="53">
        <f t="shared" si="192"/>
        <v>4503257.3831321541</v>
      </c>
      <c r="AN194" s="53">
        <f t="shared" si="192"/>
        <v>4736652.9296258511</v>
      </c>
      <c r="AO194" s="53">
        <f t="shared" si="192"/>
        <v>4978521.982095479</v>
      </c>
      <c r="AP194" s="53">
        <f t="shared" si="192"/>
        <v>5229133.8756237673</v>
      </c>
      <c r="AQ194" s="53">
        <f t="shared" si="192"/>
        <v>5488765.928492236</v>
      </c>
    </row>
    <row r="195" spans="1:43" s="16" customFormat="1" hidden="1" outlineLevel="5">
      <c r="A195" s="53"/>
      <c r="B195" s="53"/>
      <c r="C195" s="53"/>
      <c r="D195" s="53"/>
      <c r="E195" s="53"/>
      <c r="F195" s="53" t="s">
        <v>350</v>
      </c>
      <c r="G195" s="53"/>
      <c r="H195" s="53">
        <f t="shared" ref="H195:AQ195" si="193">H36</f>
        <v>76.548078213964175</v>
      </c>
      <c r="I195" s="53">
        <f t="shared" si="193"/>
        <v>93.484386756912514</v>
      </c>
      <c r="J195" s="53">
        <f t="shared" si="193"/>
        <v>111.07069060413205</v>
      </c>
      <c r="K195" s="53">
        <f t="shared" si="193"/>
        <v>129.32630055290642</v>
      </c>
      <c r="L195" s="53">
        <f t="shared" si="193"/>
        <v>148.27104202325017</v>
      </c>
      <c r="M195" s="53">
        <f t="shared" si="193"/>
        <v>167.92526797250449</v>
      </c>
      <c r="N195" s="53">
        <f t="shared" si="193"/>
        <v>188.30987212196604</v>
      </c>
      <c r="O195" s="53">
        <f t="shared" si="193"/>
        <v>209.44630250289219</v>
      </c>
      <c r="P195" s="53">
        <f t="shared" si="193"/>
        <v>231.35657532940238</v>
      </c>
      <c r="Q195" s="53">
        <f t="shared" si="193"/>
        <v>254.0632892059611</v>
      </c>
      <c r="R195" s="53">
        <f t="shared" si="193"/>
        <v>277.58963967731205</v>
      </c>
      <c r="S195" s="53">
        <f t="shared" si="193"/>
        <v>301.95943412891046</v>
      </c>
      <c r="T195" s="53">
        <f t="shared" si="193"/>
        <v>327.19710704608849</v>
      </c>
      <c r="U195" s="53">
        <f t="shared" si="193"/>
        <v>353.32773564037905</v>
      </c>
      <c r="V195" s="53">
        <f t="shared" si="193"/>
        <v>380.37705585161228</v>
      </c>
      <c r="W195" s="53">
        <f t="shared" si="193"/>
        <v>408.37147873460862</v>
      </c>
      <c r="X195" s="53">
        <f t="shared" si="193"/>
        <v>437.33810723948142</v>
      </c>
      <c r="Y195" s="53">
        <f t="shared" si="193"/>
        <v>467.30475339478437</v>
      </c>
      <c r="Z195" s="53">
        <f t="shared" si="193"/>
        <v>498.29995590293959</v>
      </c>
      <c r="AA195" s="53">
        <f t="shared" si="193"/>
        <v>530.35299815760595</v>
      </c>
      <c r="AB195" s="53">
        <f t="shared" si="193"/>
        <v>563.49392669286942</v>
      </c>
      <c r="AC195" s="53">
        <f t="shared" si="193"/>
        <v>597.75357007436355</v>
      </c>
      <c r="AD195" s="53">
        <f t="shared" si="193"/>
        <v>633.1635582426577</v>
      </c>
      <c r="AE195" s="53">
        <f t="shared" si="193"/>
        <v>669.75634231949368</v>
      </c>
      <c r="AF195" s="53">
        <f t="shared" si="193"/>
        <v>707.56521488769476</v>
      </c>
      <c r="AG195" s="53">
        <f t="shared" si="193"/>
        <v>746.6243307558118</v>
      </c>
      <c r="AH195" s="53">
        <f t="shared" si="193"/>
        <v>786.96872821883574</v>
      </c>
      <c r="AI195" s="53">
        <f t="shared" si="193"/>
        <v>828.63435082656133</v>
      </c>
      <c r="AJ195" s="53">
        <f t="shared" si="193"/>
        <v>871.6580696714492</v>
      </c>
      <c r="AK195" s="53">
        <f t="shared" si="193"/>
        <v>916.07770620811436</v>
      </c>
      <c r="AL195" s="53">
        <f t="shared" si="193"/>
        <v>961.93205561684078</v>
      </c>
      <c r="AM195" s="53">
        <f t="shared" si="193"/>
        <v>1009.2609107238098</v>
      </c>
      <c r="AN195" s="53">
        <f t="shared" si="193"/>
        <v>1058.1050864910076</v>
      </c>
      <c r="AO195" s="53">
        <f t="shared" si="193"/>
        <v>1108.5064450891141</v>
      </c>
      <c r="AP195" s="53">
        <f t="shared" si="193"/>
        <v>1160.5079215669198</v>
      </c>
      <c r="AQ195" s="53">
        <f t="shared" si="193"/>
        <v>1214.1535501311816</v>
      </c>
    </row>
    <row r="196" spans="1:43" s="16" customFormat="1" hidden="1" outlineLevel="5">
      <c r="A196" s="53"/>
      <c r="B196" s="53"/>
      <c r="C196" s="53"/>
      <c r="D196" s="53"/>
      <c r="E196" s="53"/>
      <c r="F196" s="53" t="s">
        <v>450</v>
      </c>
      <c r="G196" s="53"/>
      <c r="H196" s="53">
        <f t="shared" ref="H196:AQ196" si="194">eastern_public_distribution_cost_per_dose_positive*(1+eastern_public_distribution_cost_per_dose_positive_growth)^((COLUMN()-8)/12)</f>
        <v>4032</v>
      </c>
      <c r="I196" s="53">
        <f t="shared" si="194"/>
        <v>4045.1997188018258</v>
      </c>
      <c r="J196" s="53">
        <f t="shared" si="194"/>
        <v>4058.4426500482073</v>
      </c>
      <c r="K196" s="53">
        <f t="shared" si="194"/>
        <v>4071.7289352054422</v>
      </c>
      <c r="L196" s="53">
        <f t="shared" si="194"/>
        <v>4085.0587162029547</v>
      </c>
      <c r="M196" s="53">
        <f t="shared" si="194"/>
        <v>4098.4321354348067</v>
      </c>
      <c r="N196" s="53">
        <f t="shared" si="194"/>
        <v>4111.8493357612224</v>
      </c>
      <c r="O196" s="53">
        <f t="shared" si="194"/>
        <v>4125.3104605101107</v>
      </c>
      <c r="P196" s="53">
        <f t="shared" si="194"/>
        <v>4138.815653478604</v>
      </c>
      <c r="Q196" s="53">
        <f t="shared" si="194"/>
        <v>4152.3650589345843</v>
      </c>
      <c r="R196" s="53">
        <f t="shared" si="194"/>
        <v>4165.9588216182319</v>
      </c>
      <c r="S196" s="53">
        <f t="shared" si="194"/>
        <v>4179.5970867435653</v>
      </c>
      <c r="T196" s="53">
        <f t="shared" si="194"/>
        <v>4193.28</v>
      </c>
      <c r="U196" s="53">
        <f t="shared" si="194"/>
        <v>4207.0077075538993</v>
      </c>
      <c r="V196" s="53">
        <f t="shared" si="194"/>
        <v>4220.7803560501352</v>
      </c>
      <c r="W196" s="53">
        <f t="shared" si="194"/>
        <v>4234.5980926136608</v>
      </c>
      <c r="X196" s="53">
        <f t="shared" si="194"/>
        <v>4248.4610648510734</v>
      </c>
      <c r="Y196" s="53">
        <f t="shared" si="194"/>
        <v>4262.3694208521993</v>
      </c>
      <c r="Z196" s="53">
        <f t="shared" si="194"/>
        <v>4276.3233091916709</v>
      </c>
      <c r="AA196" s="53">
        <f t="shared" si="194"/>
        <v>4290.3228789305158</v>
      </c>
      <c r="AB196" s="53">
        <f t="shared" si="194"/>
        <v>4304.3682796177482</v>
      </c>
      <c r="AC196" s="53">
        <f t="shared" si="194"/>
        <v>4318.4596612919677</v>
      </c>
      <c r="AD196" s="53">
        <f t="shared" si="194"/>
        <v>4332.5971744829612</v>
      </c>
      <c r="AE196" s="53">
        <f t="shared" si="194"/>
        <v>4346.7809702133081</v>
      </c>
      <c r="AF196" s="53">
        <f t="shared" si="194"/>
        <v>4361.0112000000008</v>
      </c>
      <c r="AG196" s="53">
        <f t="shared" si="194"/>
        <v>4375.2880158560547</v>
      </c>
      <c r="AH196" s="53">
        <f t="shared" si="194"/>
        <v>4389.6115702921416</v>
      </c>
      <c r="AI196" s="53">
        <f t="shared" si="194"/>
        <v>4403.9820163182067</v>
      </c>
      <c r="AJ196" s="53">
        <f t="shared" si="194"/>
        <v>4418.3995074451159</v>
      </c>
      <c r="AK196" s="53">
        <f t="shared" si="194"/>
        <v>4432.8641976862873</v>
      </c>
      <c r="AL196" s="53">
        <f t="shared" si="194"/>
        <v>4447.3762415593383</v>
      </c>
      <c r="AM196" s="53">
        <f t="shared" si="194"/>
        <v>4461.9357940877362</v>
      </c>
      <c r="AN196" s="53">
        <f t="shared" si="194"/>
        <v>4476.5430108024584</v>
      </c>
      <c r="AO196" s="53">
        <f t="shared" si="194"/>
        <v>4491.1980477436464</v>
      </c>
      <c r="AP196" s="53">
        <f t="shared" si="194"/>
        <v>4505.9010614622794</v>
      </c>
      <c r="AQ196" s="53">
        <f t="shared" si="194"/>
        <v>4520.6522090218405</v>
      </c>
    </row>
    <row r="197" spans="1:43" s="16" customFormat="1" outlineLevel="4" collapsed="1">
      <c r="A197" s="53"/>
      <c r="B197" s="53"/>
      <c r="C197" s="53"/>
      <c r="D197" s="53"/>
      <c r="E197" s="53" t="s">
        <v>451</v>
      </c>
      <c r="F197" s="53"/>
      <c r="G197" s="53"/>
      <c r="H197" s="53">
        <f t="shared" ref="H197:AQ197" si="195">(H198*H199)</f>
        <v>226357.13006113132</v>
      </c>
      <c r="I197" s="53">
        <f t="shared" si="195"/>
        <v>265600.36205575406</v>
      </c>
      <c r="J197" s="53">
        <f t="shared" si="195"/>
        <v>306566.7087002921</v>
      </c>
      <c r="K197" s="53">
        <f t="shared" si="195"/>
        <v>349315.59851328901</v>
      </c>
      <c r="L197" s="53">
        <f t="shared" si="195"/>
        <v>393908.30500531482</v>
      </c>
      <c r="M197" s="53">
        <f t="shared" si="195"/>
        <v>440408.00067522848</v>
      </c>
      <c r="N197" s="53">
        <f t="shared" si="195"/>
        <v>488879.81252826942</v>
      </c>
      <c r="O197" s="53">
        <f t="shared" si="195"/>
        <v>539390.87915775774</v>
      </c>
      <c r="P197" s="53">
        <f t="shared" si="195"/>
        <v>592010.40943332587</v>
      </c>
      <c r="Q197" s="53">
        <f t="shared" si="195"/>
        <v>646809.7428397449</v>
      </c>
      <c r="R197" s="53">
        <f t="shared" si="195"/>
        <v>703862.41151160398</v>
      </c>
      <c r="S197" s="53">
        <f t="shared" si="195"/>
        <v>763244.20401031408</v>
      </c>
      <c r="T197" s="53">
        <f t="shared" si="195"/>
        <v>825033.23089116474</v>
      </c>
      <c r="U197" s="53">
        <f t="shared" si="195"/>
        <v>889309.99210944038</v>
      </c>
      <c r="V197" s="53">
        <f t="shared" si="195"/>
        <v>956157.44631591183</v>
      </c>
      <c r="W197" s="53">
        <f t="shared" si="195"/>
        <v>1025661.0820933986</v>
      </c>
      <c r="X197" s="53">
        <f t="shared" si="195"/>
        <v>1097908.991187444</v>
      </c>
      <c r="Y197" s="53">
        <f t="shared" si="195"/>
        <v>1172991.9437856216</v>
      </c>
      <c r="Z197" s="53">
        <f t="shared" si="195"/>
        <v>1251003.4659013965</v>
      </c>
      <c r="AA197" s="53">
        <f t="shared" si="195"/>
        <v>1332039.9189200201</v>
      </c>
      <c r="AB197" s="53">
        <f t="shared" si="195"/>
        <v>1416200.5813654421</v>
      </c>
      <c r="AC197" s="53">
        <f t="shared" si="195"/>
        <v>1503587.7329488161</v>
      </c>
      <c r="AD197" s="53">
        <f t="shared" si="195"/>
        <v>1594306.7409608159</v>
      </c>
      <c r="AE197" s="53">
        <f t="shared" si="195"/>
        <v>1688466.1490716038</v>
      </c>
      <c r="AF197" s="53">
        <f t="shared" si="195"/>
        <v>1786177.768604069</v>
      </c>
      <c r="AG197" s="53">
        <f t="shared" si="195"/>
        <v>1887556.7723476272</v>
      </c>
      <c r="AH197" s="53">
        <f t="shared" si="195"/>
        <v>1992721.7909817598</v>
      </c>
      <c r="AI197" s="53">
        <f t="shared" si="195"/>
        <v>2101795.0121802543</v>
      </c>
      <c r="AJ197" s="53">
        <f t="shared" si="195"/>
        <v>2214902.2824690454</v>
      </c>
      <c r="AK197" s="53">
        <f t="shared" si="195"/>
        <v>2332173.2119124951</v>
      </c>
      <c r="AL197" s="53">
        <f t="shared" si="195"/>
        <v>2453741.2817049422</v>
      </c>
      <c r="AM197" s="53">
        <f t="shared" si="195"/>
        <v>2579743.9547464224</v>
      </c>
      <c r="AN197" s="53">
        <f t="shared" si="195"/>
        <v>2710322.7892835354</v>
      </c>
      <c r="AO197" s="53">
        <f t="shared" si="195"/>
        <v>2845623.5556986663</v>
      </c>
      <c r="AP197" s="53">
        <f t="shared" si="195"/>
        <v>2985796.3565328843</v>
      </c>
      <c r="AQ197" s="53">
        <f t="shared" si="195"/>
        <v>3130995.7498302241</v>
      </c>
    </row>
    <row r="198" spans="1:43" s="16" customFormat="1" hidden="1" outlineLevel="5">
      <c r="A198" s="53"/>
      <c r="B198" s="53"/>
      <c r="C198" s="53"/>
      <c r="D198" s="53"/>
      <c r="E198" s="53"/>
      <c r="F198" s="53" t="s">
        <v>363</v>
      </c>
      <c r="G198" s="53"/>
      <c r="H198" s="53">
        <f t="shared" ref="H198:AQ198" si="196">H51</f>
        <v>42.105120919109247</v>
      </c>
      <c r="I198" s="53">
        <f t="shared" si="196"/>
        <v>49.243618458674753</v>
      </c>
      <c r="J198" s="53">
        <f t="shared" si="196"/>
        <v>56.6535125296123</v>
      </c>
      <c r="K198" s="53">
        <f t="shared" si="196"/>
        <v>64.342863450400102</v>
      </c>
      <c r="L198" s="53">
        <f t="shared" si="196"/>
        <v>72.319946732268335</v>
      </c>
      <c r="M198" s="53">
        <f t="shared" si="196"/>
        <v>80.593258492830671</v>
      </c>
      <c r="N198" s="53">
        <f t="shared" si="196"/>
        <v>89.171521000859514</v>
      </c>
      <c r="O198" s="53">
        <f t="shared" si="196"/>
        <v>98.063688355298936</v>
      </c>
      <c r="P198" s="53">
        <f t="shared" si="196"/>
        <v>107.27895230168403</v>
      </c>
      <c r="Q198" s="53">
        <f t="shared" si="196"/>
        <v>116.82674818920611</v>
      </c>
      <c r="R198" s="53">
        <f t="shared" si="196"/>
        <v>126.71676107173951</v>
      </c>
      <c r="S198" s="53">
        <f t="shared" si="196"/>
        <v>136.95893195622196</v>
      </c>
      <c r="T198" s="53">
        <f t="shared" si="196"/>
        <v>147.56346420185955</v>
      </c>
      <c r="U198" s="53">
        <f t="shared" si="196"/>
        <v>158.54083007370744</v>
      </c>
      <c r="V198" s="53">
        <f t="shared" si="196"/>
        <v>169.901777454258</v>
      </c>
      <c r="W198" s="53">
        <f t="shared" si="196"/>
        <v>181.65733671675517</v>
      </c>
      <c r="X198" s="53">
        <f t="shared" si="196"/>
        <v>193.81882776403594</v>
      </c>
      <c r="Y198" s="53">
        <f t="shared" si="196"/>
        <v>206.39786723679248</v>
      </c>
      <c r="Z198" s="53">
        <f t="shared" si="196"/>
        <v>219.40637589523135</v>
      </c>
      <c r="AA198" s="53">
        <f t="shared" si="196"/>
        <v>232.85658617820664</v>
      </c>
      <c r="AB198" s="53">
        <f t="shared" si="196"/>
        <v>246.76104994399003</v>
      </c>
      <c r="AC198" s="53">
        <f t="shared" si="196"/>
        <v>261.13264639694171</v>
      </c>
      <c r="AD198" s="53">
        <f t="shared" si="196"/>
        <v>275.98459020444398</v>
      </c>
      <c r="AE198" s="53">
        <f t="shared" si="196"/>
        <v>291.33043980855552</v>
      </c>
      <c r="AF198" s="53">
        <f t="shared" si="196"/>
        <v>307.18410593695597</v>
      </c>
      <c r="AG198" s="53">
        <f t="shared" si="196"/>
        <v>323.55986031784363</v>
      </c>
      <c r="AH198" s="53">
        <f t="shared" si="196"/>
        <v>340.47234460356907</v>
      </c>
      <c r="AI198" s="53">
        <f t="shared" si="196"/>
        <v>357.93657950788798</v>
      </c>
      <c r="AJ198" s="53">
        <f t="shared" si="196"/>
        <v>375.96797416183364</v>
      </c>
      <c r="AK198" s="53">
        <f t="shared" si="196"/>
        <v>394.58233569332475</v>
      </c>
      <c r="AL198" s="53">
        <f t="shared" si="196"/>
        <v>413.79587903573878</v>
      </c>
      <c r="AM198" s="53">
        <f t="shared" si="196"/>
        <v>433.6252369708061</v>
      </c>
      <c r="AN198" s="53">
        <f t="shared" si="196"/>
        <v>454.08747041129516</v>
      </c>
      <c r="AO198" s="53">
        <f t="shared" si="196"/>
        <v>475.20007892909979</v>
      </c>
      <c r="AP198" s="53">
        <f t="shared" si="196"/>
        <v>496.98101153444725</v>
      </c>
      <c r="AQ198" s="53">
        <f t="shared" si="196"/>
        <v>519.44867771209761</v>
      </c>
    </row>
    <row r="199" spans="1:43" s="16" customFormat="1" hidden="1" outlineLevel="5">
      <c r="A199" s="53"/>
      <c r="B199" s="53"/>
      <c r="C199" s="53"/>
      <c r="D199" s="53"/>
      <c r="E199" s="53"/>
      <c r="F199" s="53" t="s">
        <v>452</v>
      </c>
      <c r="G199" s="53"/>
      <c r="H199" s="53">
        <f t="shared" ref="H199:AQ199" si="197">northern_public_distribution_cost_per_dose_positive*(1+northern_public_distribution_cost_per_dose_positive_growth)^((COLUMN()-8)/12)</f>
        <v>5376</v>
      </c>
      <c r="I199" s="53">
        <f t="shared" si="197"/>
        <v>5393.5996250691014</v>
      </c>
      <c r="J199" s="53">
        <f t="shared" si="197"/>
        <v>5411.2568667309433</v>
      </c>
      <c r="K199" s="53">
        <f t="shared" si="197"/>
        <v>5428.9719136072563</v>
      </c>
      <c r="L199" s="53">
        <f t="shared" si="197"/>
        <v>5446.7449549372723</v>
      </c>
      <c r="M199" s="53">
        <f t="shared" si="197"/>
        <v>5464.576180579742</v>
      </c>
      <c r="N199" s="53">
        <f t="shared" si="197"/>
        <v>5482.4657810149629</v>
      </c>
      <c r="O199" s="53">
        <f t="shared" si="197"/>
        <v>5500.4139473468149</v>
      </c>
      <c r="P199" s="53">
        <f t="shared" si="197"/>
        <v>5518.4208713048056</v>
      </c>
      <c r="Q199" s="53">
        <f t="shared" si="197"/>
        <v>5536.4867452461122</v>
      </c>
      <c r="R199" s="53">
        <f t="shared" si="197"/>
        <v>5554.6117621576423</v>
      </c>
      <c r="S199" s="53">
        <f t="shared" si="197"/>
        <v>5572.7961156580877</v>
      </c>
      <c r="T199" s="53">
        <f t="shared" si="197"/>
        <v>5591.04</v>
      </c>
      <c r="U199" s="53">
        <f t="shared" si="197"/>
        <v>5609.3436100718664</v>
      </c>
      <c r="V199" s="53">
        <f t="shared" si="197"/>
        <v>5627.7071414001803</v>
      </c>
      <c r="W199" s="53">
        <f t="shared" si="197"/>
        <v>5646.1307901515474</v>
      </c>
      <c r="X199" s="53">
        <f t="shared" si="197"/>
        <v>5664.6147531347642</v>
      </c>
      <c r="Y199" s="53">
        <f t="shared" si="197"/>
        <v>5683.159227802932</v>
      </c>
      <c r="Z199" s="53">
        <f t="shared" si="197"/>
        <v>5701.7644122555612</v>
      </c>
      <c r="AA199" s="53">
        <f t="shared" si="197"/>
        <v>5720.4305052406871</v>
      </c>
      <c r="AB199" s="53">
        <f t="shared" si="197"/>
        <v>5739.1577061569978</v>
      </c>
      <c r="AC199" s="53">
        <f t="shared" si="197"/>
        <v>5757.9462150559575</v>
      </c>
      <c r="AD199" s="53">
        <f t="shared" si="197"/>
        <v>5776.7962326439483</v>
      </c>
      <c r="AE199" s="53">
        <f t="shared" si="197"/>
        <v>5795.7079602844115</v>
      </c>
      <c r="AF199" s="53">
        <f t="shared" si="197"/>
        <v>5814.6816000000008</v>
      </c>
      <c r="AG199" s="53">
        <f t="shared" si="197"/>
        <v>5833.7173544747402</v>
      </c>
      <c r="AH199" s="53">
        <f t="shared" si="197"/>
        <v>5852.8154270561881</v>
      </c>
      <c r="AI199" s="53">
        <f t="shared" si="197"/>
        <v>5871.9760217576095</v>
      </c>
      <c r="AJ199" s="53">
        <f t="shared" si="197"/>
        <v>5891.1993432601548</v>
      </c>
      <c r="AK199" s="53">
        <f t="shared" si="197"/>
        <v>5910.4855969150494</v>
      </c>
      <c r="AL199" s="53">
        <f t="shared" si="197"/>
        <v>5929.8349887457844</v>
      </c>
      <c r="AM199" s="53">
        <f t="shared" si="197"/>
        <v>5949.2477254503156</v>
      </c>
      <c r="AN199" s="53">
        <f t="shared" si="197"/>
        <v>5968.7240144032785</v>
      </c>
      <c r="AO199" s="53">
        <f t="shared" si="197"/>
        <v>5988.2640636581955</v>
      </c>
      <c r="AP199" s="53">
        <f t="shared" si="197"/>
        <v>6007.8680819497058</v>
      </c>
      <c r="AQ199" s="53">
        <f t="shared" si="197"/>
        <v>6027.5362786957876</v>
      </c>
    </row>
    <row r="200" spans="1:43" s="16" customFormat="1" outlineLevel="3" collapsed="1">
      <c r="A200" s="53"/>
      <c r="B200" s="53"/>
      <c r="C200" s="53"/>
      <c r="D200" s="53" t="s">
        <v>453</v>
      </c>
      <c r="E200" s="53"/>
      <c r="F200" s="53"/>
      <c r="G200" s="53"/>
      <c r="H200" s="53">
        <f t="shared" ref="H200:AQ200" si="198">(((H201+H204)+H207)+H210)</f>
        <v>249741.54391922904</v>
      </c>
      <c r="I200" s="53">
        <f t="shared" si="198"/>
        <v>358447.28638679895</v>
      </c>
      <c r="J200" s="53">
        <f t="shared" si="198"/>
        <v>471800.52165931062</v>
      </c>
      <c r="K200" s="53">
        <f t="shared" si="198"/>
        <v>589952.92120668793</v>
      </c>
      <c r="L200" s="53">
        <f t="shared" si="198"/>
        <v>713060.57895939867</v>
      </c>
      <c r="M200" s="53">
        <f t="shared" si="198"/>
        <v>841284.13251585013</v>
      </c>
      <c r="N200" s="53">
        <f t="shared" si="198"/>
        <v>974788.88754457992</v>
      </c>
      <c r="O200" s="53">
        <f t="shared" si="198"/>
        <v>1113744.9454632106</v>
      </c>
      <c r="P200" s="53">
        <f t="shared" si="198"/>
        <v>1258327.3344782402</v>
      </c>
      <c r="Q200" s="53">
        <f t="shared" si="198"/>
        <v>1408716.1440718179</v>
      </c>
      <c r="R200" s="53">
        <f t="shared" si="198"/>
        <v>1565096.6630238511</v>
      </c>
      <c r="S200" s="53">
        <f t="shared" si="198"/>
        <v>1727659.5210599913</v>
      </c>
      <c r="T200" s="53">
        <f t="shared" si="198"/>
        <v>1896600.8342183321</v>
      </c>
      <c r="U200" s="53">
        <f t="shared" si="198"/>
        <v>2072122.3540299928</v>
      </c>
      <c r="V200" s="53">
        <f t="shared" si="198"/>
        <v>2254431.6206111205</v>
      </c>
      <c r="W200" s="53">
        <f t="shared" si="198"/>
        <v>2443742.1197663397</v>
      </c>
      <c r="X200" s="53">
        <f t="shared" si="198"/>
        <v>2640273.4442061414</v>
      </c>
      <c r="Y200" s="53">
        <f t="shared" si="198"/>
        <v>2844251.4589833217</v>
      </c>
      <c r="Z200" s="53">
        <f t="shared" si="198"/>
        <v>3055908.4712561695</v>
      </c>
      <c r="AA200" s="53">
        <f t="shared" si="198"/>
        <v>3275483.4044888448</v>
      </c>
      <c r="AB200" s="53">
        <f t="shared" si="198"/>
        <v>3503221.9772021268</v>
      </c>
      <c r="AC200" s="53">
        <f t="shared" si="198"/>
        <v>3739376.8863905822</v>
      </c>
      <c r="AD200" s="53">
        <f t="shared" si="198"/>
        <v>3984207.995725059</v>
      </c>
      <c r="AE200" s="53">
        <f t="shared" si="198"/>
        <v>4237982.5286624301</v>
      </c>
      <c r="AF200" s="53">
        <f t="shared" si="198"/>
        <v>4500975.266587602</v>
      </c>
      <c r="AG200" s="53">
        <f t="shared" si="198"/>
        <v>4773468.7521157814</v>
      </c>
      <c r="AH200" s="53">
        <f t="shared" si="198"/>
        <v>5055753.497686401</v>
      </c>
      <c r="AI200" s="53">
        <f t="shared" si="198"/>
        <v>5348128.1995832212</v>
      </c>
      <c r="AJ200" s="53">
        <f t="shared" si="198"/>
        <v>5650899.9575185878</v>
      </c>
      <c r="AK200" s="53">
        <f t="shared" si="198"/>
        <v>5964384.499923232</v>
      </c>
      <c r="AL200" s="53">
        <f t="shared" si="198"/>
        <v>6288906.4150865395</v>
      </c>
      <c r="AM200" s="53">
        <f t="shared" si="198"/>
        <v>6624799.3882958479</v>
      </c>
      <c r="AN200" s="53">
        <f t="shared" si="198"/>
        <v>6972406.445127002</v>
      </c>
      <c r="AO200" s="53">
        <f t="shared" si="198"/>
        <v>7332080.2010423038</v>
      </c>
      <c r="AP200" s="53">
        <f t="shared" si="198"/>
        <v>7704183.1174556781</v>
      </c>
      <c r="AQ200" s="53">
        <f t="shared" si="198"/>
        <v>8089087.7644291585</v>
      </c>
    </row>
    <row r="201" spans="1:43" s="16" customFormat="1" hidden="1" outlineLevel="4" collapsed="1">
      <c r="A201" s="53"/>
      <c r="B201" s="53"/>
      <c r="C201" s="53"/>
      <c r="D201" s="53"/>
      <c r="E201" s="53" t="s">
        <v>454</v>
      </c>
      <c r="F201" s="53"/>
      <c r="G201" s="53"/>
      <c r="H201" s="53">
        <f t="shared" ref="H201:AQ201" si="199">(H202*H203)</f>
        <v>153225.31221986515</v>
      </c>
      <c r="I201" s="53">
        <f t="shared" si="199"/>
        <v>232162.51939565502</v>
      </c>
      <c r="J201" s="53">
        <f t="shared" si="199"/>
        <v>314478.89577145613</v>
      </c>
      <c r="K201" s="53">
        <f t="shared" si="199"/>
        <v>400284.59529059957</v>
      </c>
      <c r="L201" s="53">
        <f t="shared" si="199"/>
        <v>489692.97859254666</v>
      </c>
      <c r="M201" s="53">
        <f t="shared" si="199"/>
        <v>582820.70075020683</v>
      </c>
      <c r="N201" s="53">
        <f t="shared" si="199"/>
        <v>679787.80131600681</v>
      </c>
      <c r="O201" s="53">
        <f t="shared" si="199"/>
        <v>780717.79673585272</v>
      </c>
      <c r="P201" s="53">
        <f t="shared" si="199"/>
        <v>885737.77519164351</v>
      </c>
      <c r="Q201" s="53">
        <f t="shared" si="199"/>
        <v>994978.49393448839</v>
      </c>
      <c r="R201" s="53">
        <f t="shared" si="199"/>
        <v>1108574.4791723697</v>
      </c>
      <c r="S201" s="53">
        <f t="shared" si="199"/>
        <v>1226664.1285775669</v>
      </c>
      <c r="T201" s="53">
        <f t="shared" si="199"/>
        <v>1349389.8164808182</v>
      </c>
      <c r="U201" s="53">
        <f t="shared" si="199"/>
        <v>1476898.0018208686</v>
      </c>
      <c r="V201" s="53">
        <f t="shared" si="199"/>
        <v>1609339.3389197658</v>
      </c>
      <c r="W201" s="53">
        <f t="shared" si="199"/>
        <v>1746868.7911560482</v>
      </c>
      <c r="X201" s="53">
        <f t="shared" si="199"/>
        <v>1889645.7476097601</v>
      </c>
      <c r="Y201" s="53">
        <f t="shared" si="199"/>
        <v>2037834.1427551014</v>
      </c>
      <c r="Z201" s="53">
        <f t="shared" si="199"/>
        <v>2191602.5792783876</v>
      </c>
      <c r="AA201" s="53">
        <f t="shared" si="199"/>
        <v>2351124.4541009814</v>
      </c>
      <c r="AB201" s="53">
        <f t="shared" si="199"/>
        <v>2516578.0876888013</v>
      </c>
      <c r="AC201" s="53">
        <f t="shared" si="199"/>
        <v>2688146.8567321259</v>
      </c>
      <c r="AD201" s="53">
        <f t="shared" si="199"/>
        <v>2866019.330281409</v>
      </c>
      <c r="AE201" s="53">
        <f t="shared" si="199"/>
        <v>3050389.4094270589</v>
      </c>
      <c r="AF201" s="53">
        <f t="shared" si="199"/>
        <v>3241456.4706133008</v>
      </c>
      <c r="AG201" s="53">
        <f t="shared" si="199"/>
        <v>3439425.5126784388</v>
      </c>
      <c r="AH201" s="53">
        <f t="shared" si="199"/>
        <v>3644507.3077162346</v>
      </c>
      <c r="AI201" s="53">
        <f t="shared" si="199"/>
        <v>3856918.5558554255</v>
      </c>
      <c r="AJ201" s="53">
        <f t="shared" si="199"/>
        <v>4076882.0440568309</v>
      </c>
      <c r="AK201" s="53">
        <f t="shared" si="199"/>
        <v>4304626.8090300076</v>
      </c>
      <c r="AL201" s="53">
        <f t="shared" si="199"/>
        <v>4540388.3043739172</v>
      </c>
      <c r="AM201" s="53">
        <f t="shared" si="199"/>
        <v>4784408.5720487209</v>
      </c>
      <c r="AN201" s="53">
        <f t="shared" si="199"/>
        <v>5036936.4182884358</v>
      </c>
      <c r="AO201" s="53">
        <f t="shared" si="199"/>
        <v>5298227.5940670017</v>
      </c>
      <c r="AP201" s="53">
        <f t="shared" si="199"/>
        <v>5568544.9802329708</v>
      </c>
      <c r="AQ201" s="53">
        <f t="shared" si="199"/>
        <v>5848158.777431109</v>
      </c>
    </row>
    <row r="202" spans="1:43" s="16" customFormat="1" hidden="1" outlineLevel="5">
      <c r="A202" s="53"/>
      <c r="B202" s="53"/>
      <c r="C202" s="53"/>
      <c r="D202" s="53"/>
      <c r="E202" s="53"/>
      <c r="F202" s="53" t="s">
        <v>377</v>
      </c>
      <c r="G202" s="53"/>
      <c r="H202" s="53">
        <f t="shared" ref="H202:AQ202" si="200">H67</f>
        <v>49.878031321570688</v>
      </c>
      <c r="I202" s="53">
        <f t="shared" si="200"/>
        <v>75.32713534278902</v>
      </c>
      <c r="J202" s="53">
        <f t="shared" si="200"/>
        <v>101.70244753739058</v>
      </c>
      <c r="K202" s="53">
        <f t="shared" si="200"/>
        <v>129.02959398312791</v>
      </c>
      <c r="L202" s="53">
        <f t="shared" si="200"/>
        <v>157.33483385524627</v>
      </c>
      <c r="M202" s="53">
        <f t="shared" si="200"/>
        <v>186.64507412991284</v>
      </c>
      <c r="N202" s="53">
        <f t="shared" si="200"/>
        <v>216.98788461617673</v>
      </c>
      <c r="O202" s="53">
        <f t="shared" si="200"/>
        <v>248.39151332360558</v>
      </c>
      <c r="P202" s="53">
        <f t="shared" si="200"/>
        <v>280.88490217290655</v>
      </c>
      <c r="Q202" s="53">
        <f t="shared" si="200"/>
        <v>314.49770305698672</v>
      </c>
      <c r="R202" s="53">
        <f t="shared" si="200"/>
        <v>349.26029426007409</v>
      </c>
      <c r="S202" s="53">
        <f t="shared" si="200"/>
        <v>385.20379724267815</v>
      </c>
      <c r="T202" s="53">
        <f t="shared" si="200"/>
        <v>422.36009380033619</v>
      </c>
      <c r="U202" s="53">
        <f t="shared" si="200"/>
        <v>460.76184360426566</v>
      </c>
      <c r="V202" s="53">
        <f t="shared" si="200"/>
        <v>500.4425021322059</v>
      </c>
      <c r="W202" s="53">
        <f t="shared" si="200"/>
        <v>541.43633899791951</v>
      </c>
      <c r="X202" s="53">
        <f t="shared" si="200"/>
        <v>583.77845668799853</v>
      </c>
      <c r="Y202" s="53">
        <f t="shared" si="200"/>
        <v>627.50480971480681</v>
      </c>
      <c r="Z202" s="53">
        <f t="shared" si="200"/>
        <v>672.6522241945753</v>
      </c>
      <c r="AA202" s="53">
        <f t="shared" si="200"/>
        <v>719.25841785986358</v>
      </c>
      <c r="AB202" s="53">
        <f t="shared" si="200"/>
        <v>767.36202051579039</v>
      </c>
      <c r="AC202" s="53">
        <f t="shared" si="200"/>
        <v>817.0025949496478</v>
      </c>
      <c r="AD202" s="53">
        <f t="shared" si="200"/>
        <v>868.22065830370047</v>
      </c>
      <c r="AE202" s="53">
        <f t="shared" si="200"/>
        <v>921.05770392119518</v>
      </c>
      <c r="AF202" s="53">
        <f t="shared" si="200"/>
        <v>975.55622367582009</v>
      </c>
      <c r="AG202" s="53">
        <f t="shared" si="200"/>
        <v>1031.7597307950498</v>
      </c>
      <c r="AH202" s="53">
        <f t="shared" si="200"/>
        <v>1089.7127831880596</v>
      </c>
      <c r="AI202" s="53">
        <f t="shared" si="200"/>
        <v>1149.4610072891087</v>
      </c>
      <c r="AJ202" s="53">
        <f t="shared" si="200"/>
        <v>1211.0511224275158</v>
      </c>
      <c r="AK202" s="53">
        <f t="shared" si="200"/>
        <v>1274.5309657356036</v>
      </c>
      <c r="AL202" s="53">
        <f t="shared" si="200"/>
        <v>1339.9495176062126</v>
      </c>
      <c r="AM202" s="53">
        <f t="shared" si="200"/>
        <v>1407.3569277116471</v>
      </c>
      <c r="AN202" s="53">
        <f t="shared" si="200"/>
        <v>1476.8045415961496</v>
      </c>
      <c r="AO202" s="53">
        <f t="shared" si="200"/>
        <v>1548.3449278542844</v>
      </c>
      <c r="AP202" s="53">
        <f t="shared" si="200"/>
        <v>1622.0319059078297</v>
      </c>
      <c r="AQ202" s="53">
        <f t="shared" si="200"/>
        <v>1697.920574394102</v>
      </c>
    </row>
    <row r="203" spans="1:43" s="16" customFormat="1" hidden="1" outlineLevel="5">
      <c r="A203" s="53"/>
      <c r="B203" s="53"/>
      <c r="C203" s="53"/>
      <c r="D203" s="53"/>
      <c r="E203" s="53"/>
      <c r="F203" s="53" t="s">
        <v>455</v>
      </c>
      <c r="G203" s="53"/>
      <c r="H203" s="53">
        <f t="shared" ref="H203:AQ203" si="201">central_private_distribution_cost_per_dose_positive*(1+central_private_distribution_cost_per_dose_positive_growth)^((COLUMN()-8)/12)</f>
        <v>3072</v>
      </c>
      <c r="I203" s="53">
        <f t="shared" si="201"/>
        <v>3082.0569286109148</v>
      </c>
      <c r="J203" s="53">
        <f t="shared" si="201"/>
        <v>3092.1467809891101</v>
      </c>
      <c r="K203" s="53">
        <f t="shared" si="201"/>
        <v>3102.2696649184322</v>
      </c>
      <c r="L203" s="53">
        <f t="shared" si="201"/>
        <v>3112.4256885355844</v>
      </c>
      <c r="M203" s="53">
        <f t="shared" si="201"/>
        <v>3122.6149603312811</v>
      </c>
      <c r="N203" s="53">
        <f t="shared" si="201"/>
        <v>3132.837589151407</v>
      </c>
      <c r="O203" s="53">
        <f t="shared" si="201"/>
        <v>3143.0936841981797</v>
      </c>
      <c r="P203" s="53">
        <f t="shared" si="201"/>
        <v>3153.3833550313175</v>
      </c>
      <c r="Q203" s="53">
        <f t="shared" si="201"/>
        <v>3163.7067115692071</v>
      </c>
      <c r="R203" s="53">
        <f t="shared" si="201"/>
        <v>3174.0638640900816</v>
      </c>
      <c r="S203" s="53">
        <f t="shared" si="201"/>
        <v>3184.4549232331929</v>
      </c>
      <c r="T203" s="53">
        <f t="shared" si="201"/>
        <v>3194.88</v>
      </c>
      <c r="U203" s="53">
        <f t="shared" si="201"/>
        <v>3205.3392057553519</v>
      </c>
      <c r="V203" s="53">
        <f t="shared" si="201"/>
        <v>3215.8326522286743</v>
      </c>
      <c r="W203" s="53">
        <f t="shared" si="201"/>
        <v>3226.3604515151701</v>
      </c>
      <c r="X203" s="53">
        <f t="shared" si="201"/>
        <v>3236.9227160770079</v>
      </c>
      <c r="Y203" s="53">
        <f t="shared" si="201"/>
        <v>3247.5195587445328</v>
      </c>
      <c r="Z203" s="53">
        <f t="shared" si="201"/>
        <v>3258.1510927174636</v>
      </c>
      <c r="AA203" s="53">
        <f t="shared" si="201"/>
        <v>3268.8174315661072</v>
      </c>
      <c r="AB203" s="53">
        <f t="shared" si="201"/>
        <v>3279.5186892325701</v>
      </c>
      <c r="AC203" s="53">
        <f t="shared" si="201"/>
        <v>3290.2549800319757</v>
      </c>
      <c r="AD203" s="53">
        <f t="shared" si="201"/>
        <v>3301.0264186536847</v>
      </c>
      <c r="AE203" s="53">
        <f t="shared" si="201"/>
        <v>3311.8331201625206</v>
      </c>
      <c r="AF203" s="53">
        <f t="shared" si="201"/>
        <v>3322.6752000000006</v>
      </c>
      <c r="AG203" s="53">
        <f t="shared" si="201"/>
        <v>3333.5527739855656</v>
      </c>
      <c r="AH203" s="53">
        <f t="shared" si="201"/>
        <v>3344.4659583178218</v>
      </c>
      <c r="AI203" s="53">
        <f t="shared" si="201"/>
        <v>3355.4148695757767</v>
      </c>
      <c r="AJ203" s="53">
        <f t="shared" si="201"/>
        <v>3366.3996247200885</v>
      </c>
      <c r="AK203" s="53">
        <f t="shared" si="201"/>
        <v>3377.4203410943142</v>
      </c>
      <c r="AL203" s="53">
        <f t="shared" si="201"/>
        <v>3388.4771364261624</v>
      </c>
      <c r="AM203" s="53">
        <f t="shared" si="201"/>
        <v>3399.5701288287519</v>
      </c>
      <c r="AN203" s="53">
        <f t="shared" si="201"/>
        <v>3410.6994368018732</v>
      </c>
      <c r="AO203" s="53">
        <f t="shared" si="201"/>
        <v>3421.8651792332548</v>
      </c>
      <c r="AP203" s="53">
        <f t="shared" si="201"/>
        <v>3433.0674753998319</v>
      </c>
      <c r="AQ203" s="53">
        <f t="shared" si="201"/>
        <v>3444.3064449690219</v>
      </c>
    </row>
    <row r="204" spans="1:43" s="16" customFormat="1" hidden="1" outlineLevel="4" collapsed="1">
      <c r="A204" s="53"/>
      <c r="B204" s="53"/>
      <c r="C204" s="53"/>
      <c r="D204" s="53"/>
      <c r="E204" s="53" t="s">
        <v>456</v>
      </c>
      <c r="F204" s="53"/>
      <c r="G204" s="53"/>
      <c r="H204" s="53">
        <f t="shared" ref="H204:AQ204" si="202">(H205*H206)</f>
        <v>60816.151804921305</v>
      </c>
      <c r="I204" s="53">
        <f t="shared" si="202"/>
        <v>82149.838108856304</v>
      </c>
      <c r="J204" s="53">
        <f t="shared" si="202"/>
        <v>104393.76892504467</v>
      </c>
      <c r="K204" s="53">
        <f t="shared" si="202"/>
        <v>127577.70291764023</v>
      </c>
      <c r="L204" s="53">
        <f t="shared" si="202"/>
        <v>151732.26863670393</v>
      </c>
      <c r="M204" s="53">
        <f t="shared" si="202"/>
        <v>176888.98842204423</v>
      </c>
      <c r="N204" s="53">
        <f t="shared" si="202"/>
        <v>203080.30293872702</v>
      </c>
      <c r="O204" s="53">
        <f t="shared" si="202"/>
        <v>230339.59636050108</v>
      </c>
      <c r="P204" s="53">
        <f t="shared" si="202"/>
        <v>258701.22221780365</v>
      </c>
      <c r="Q204" s="53">
        <f t="shared" si="202"/>
        <v>288200.52992742055</v>
      </c>
      <c r="R204" s="53">
        <f t="shared" si="202"/>
        <v>318873.89202131511</v>
      </c>
      <c r="S204" s="53">
        <f t="shared" si="202"/>
        <v>350758.7320925754</v>
      </c>
      <c r="T204" s="53">
        <f t="shared" si="202"/>
        <v>383893.55347688298</v>
      </c>
      <c r="U204" s="53">
        <f t="shared" si="202"/>
        <v>418317.96868837497</v>
      </c>
      <c r="V204" s="53">
        <f t="shared" si="202"/>
        <v>454072.72962923435</v>
      </c>
      <c r="W204" s="53">
        <f t="shared" si="202"/>
        <v>491199.75859284442</v>
      </c>
      <c r="X204" s="53">
        <f t="shared" si="202"/>
        <v>529742.18008082965</v>
      </c>
      <c r="Y204" s="53">
        <f t="shared" si="202"/>
        <v>569744.35345482838</v>
      </c>
      <c r="Z204" s="53">
        <f t="shared" si="202"/>
        <v>611251.90644435328</v>
      </c>
      <c r="AA204" s="53">
        <f t="shared" si="202"/>
        <v>654311.76953264489</v>
      </c>
      <c r="AB204" s="53">
        <f t="shared" si="202"/>
        <v>698972.21124296554</v>
      </c>
      <c r="AC204" s="53">
        <f t="shared" si="202"/>
        <v>745282.87434834859</v>
      </c>
      <c r="AD204" s="53">
        <f t="shared" si="202"/>
        <v>793294.81302839424</v>
      </c>
      <c r="AE204" s="53">
        <f t="shared" si="202"/>
        <v>843060.53099729447</v>
      </c>
      <c r="AF204" s="53">
        <f t="shared" si="202"/>
        <v>894634.02062788385</v>
      </c>
      <c r="AG204" s="53">
        <f t="shared" si="202"/>
        <v>948070.80309711711</v>
      </c>
      <c r="AH204" s="53">
        <f t="shared" si="202"/>
        <v>1003427.9695790346</v>
      </c>
      <c r="AI204" s="53">
        <f t="shared" si="202"/>
        <v>1060764.2235119115</v>
      </c>
      <c r="AJ204" s="53">
        <f t="shared" si="202"/>
        <v>1120139.9239669624</v>
      </c>
      <c r="AK204" s="53">
        <f t="shared" si="202"/>
        <v>1181617.1301466648</v>
      </c>
      <c r="AL204" s="53">
        <f t="shared" si="202"/>
        <v>1245259.6470414493</v>
      </c>
      <c r="AM204" s="53">
        <f t="shared" si="202"/>
        <v>1311133.0722742539</v>
      </c>
      <c r="AN204" s="53">
        <f t="shared" si="202"/>
        <v>1379304.8441631347</v>
      </c>
      <c r="AO204" s="53">
        <f t="shared" si="202"/>
        <v>1449844.2910329395</v>
      </c>
      <c r="AP204" s="53">
        <f t="shared" si="202"/>
        <v>1522822.6818077555</v>
      </c>
      <c r="AQ204" s="53">
        <f t="shared" si="202"/>
        <v>1598313.2779167045</v>
      </c>
    </row>
    <row r="205" spans="1:43" s="16" customFormat="1" hidden="1" outlineLevel="5">
      <c r="A205" s="53"/>
      <c r="B205" s="53"/>
      <c r="C205" s="53"/>
      <c r="D205" s="53"/>
      <c r="E205" s="53"/>
      <c r="F205" s="53" t="s">
        <v>386</v>
      </c>
      <c r="G205" s="53"/>
      <c r="H205" s="53">
        <f t="shared" ref="H205:AQ205" si="203">H78</f>
        <v>14.732594913982874</v>
      </c>
      <c r="I205" s="53">
        <f t="shared" si="203"/>
        <v>19.835702149523083</v>
      </c>
      <c r="J205" s="53">
        <f t="shared" si="203"/>
        <v>25.1244173318081</v>
      </c>
      <c r="K205" s="53">
        <f t="shared" si="203"/>
        <v>30.60389863297392</v>
      </c>
      <c r="L205" s="53">
        <f t="shared" si="203"/>
        <v>36.279432322163217</v>
      </c>
      <c r="M205" s="53">
        <f t="shared" si="203"/>
        <v>42.156435755779697</v>
      </c>
      <c r="N205" s="53">
        <f t="shared" si="203"/>
        <v>48.240460434877342</v>
      </c>
      <c r="O205" s="53">
        <f t="shared" si="203"/>
        <v>54.537195131151321</v>
      </c>
      <c r="P205" s="53">
        <f t="shared" si="203"/>
        <v>61.052469083030793</v>
      </c>
      <c r="Q205" s="53">
        <f t="shared" si="203"/>
        <v>67.792255263403689</v>
      </c>
      <c r="R205" s="53">
        <f t="shared" si="203"/>
        <v>74.762673720538444</v>
      </c>
      <c r="S205" s="53">
        <f t="shared" si="203"/>
        <v>81.969994993799489</v>
      </c>
      <c r="T205" s="53">
        <f t="shared" si="203"/>
        <v>89.420643605788555</v>
      </c>
      <c r="U205" s="53">
        <f t="shared" si="203"/>
        <v>97.121201632579172</v>
      </c>
      <c r="V205" s="53">
        <f t="shared" si="203"/>
        <v>105.07841235374535</v>
      </c>
      <c r="W205" s="53">
        <f t="shared" si="203"/>
        <v>113.29918398392449</v>
      </c>
      <c r="X205" s="53">
        <f t="shared" si="203"/>
        <v>121.79059348768973</v>
      </c>
      <c r="Y205" s="53">
        <f t="shared" si="203"/>
        <v>130.55989047954677</v>
      </c>
      <c r="Z205" s="53">
        <f t="shared" si="203"/>
        <v>139.61450121090652</v>
      </c>
      <c r="AA205" s="53">
        <f t="shared" si="203"/>
        <v>148.96203264592722</v>
      </c>
      <c r="AB205" s="53">
        <f t="shared" si="203"/>
        <v>158.61027662815826</v>
      </c>
      <c r="AC205" s="53">
        <f t="shared" si="203"/>
        <v>168.56721413996002</v>
      </c>
      <c r="AD205" s="53">
        <f t="shared" si="203"/>
        <v>178.84101965671579</v>
      </c>
      <c r="AE205" s="53">
        <f t="shared" si="203"/>
        <v>189.44006559789537</v>
      </c>
      <c r="AF205" s="53">
        <f t="shared" si="203"/>
        <v>200.37292687707392</v>
      </c>
      <c r="AG205" s="53">
        <f t="shared" si="203"/>
        <v>211.64838555305337</v>
      </c>
      <c r="AH205" s="53">
        <f t="shared" si="203"/>
        <v>223.27543558428113</v>
      </c>
      <c r="AI205" s="53">
        <f t="shared" si="203"/>
        <v>235.2632876888068</v>
      </c>
      <c r="AJ205" s="53">
        <f t="shared" si="203"/>
        <v>247.62137431206531</v>
      </c>
      <c r="AK205" s="53">
        <f t="shared" si="203"/>
        <v>260.359354704824</v>
      </c>
      <c r="AL205" s="53">
        <f t="shared" si="203"/>
        <v>273.48712011368031</v>
      </c>
      <c r="AM205" s="53">
        <f t="shared" si="203"/>
        <v>287.01479908655017</v>
      </c>
      <c r="AN205" s="53">
        <f t="shared" si="203"/>
        <v>300.95276289563219</v>
      </c>
      <c r="AO205" s="53">
        <f t="shared" si="203"/>
        <v>315.3116310803984</v>
      </c>
      <c r="AP205" s="53">
        <f t="shared" si="203"/>
        <v>330.10227711319976</v>
      </c>
      <c r="AQ205" s="53">
        <f t="shared" si="203"/>
        <v>345.33583419014599</v>
      </c>
    </row>
    <row r="206" spans="1:43" s="16" customFormat="1" hidden="1" outlineLevel="5">
      <c r="A206" s="53"/>
      <c r="B206" s="53"/>
      <c r="C206" s="53"/>
      <c r="D206" s="53"/>
      <c r="E206" s="53"/>
      <c r="F206" s="53" t="s">
        <v>457</v>
      </c>
      <c r="G206" s="53"/>
      <c r="H206" s="53">
        <f t="shared" ref="H206:AQ206" si="204">western_private_distribution_cost_per_dose_positive*(1+western_private_distribution_cost_per_dose_positive_growth)^((COLUMN()-8)/12)</f>
        <v>4128</v>
      </c>
      <c r="I206" s="53">
        <f t="shared" si="204"/>
        <v>4141.5139978209172</v>
      </c>
      <c r="J206" s="53">
        <f t="shared" si="204"/>
        <v>4155.0722369541172</v>
      </c>
      <c r="K206" s="53">
        <f t="shared" si="204"/>
        <v>4168.6748622341429</v>
      </c>
      <c r="L206" s="53">
        <f t="shared" si="204"/>
        <v>4182.3220189696913</v>
      </c>
      <c r="M206" s="53">
        <f t="shared" si="204"/>
        <v>4196.0138529451588</v>
      </c>
      <c r="N206" s="53">
        <f t="shared" si="204"/>
        <v>4209.7505104222037</v>
      </c>
      <c r="O206" s="53">
        <f t="shared" si="204"/>
        <v>4223.5321381413041</v>
      </c>
      <c r="P206" s="53">
        <f t="shared" si="204"/>
        <v>4237.3588833233325</v>
      </c>
      <c r="Q206" s="53">
        <f t="shared" si="204"/>
        <v>4251.2308936711224</v>
      </c>
      <c r="R206" s="53">
        <f t="shared" si="204"/>
        <v>4265.1483173710467</v>
      </c>
      <c r="S206" s="53">
        <f t="shared" si="204"/>
        <v>4279.1113030946026</v>
      </c>
      <c r="T206" s="53">
        <f t="shared" si="204"/>
        <v>4293.12</v>
      </c>
      <c r="U206" s="53">
        <f t="shared" si="204"/>
        <v>4307.1745577337542</v>
      </c>
      <c r="V206" s="53">
        <f t="shared" si="204"/>
        <v>4321.2751264322815</v>
      </c>
      <c r="W206" s="53">
        <f t="shared" si="204"/>
        <v>4335.4218567235093</v>
      </c>
      <c r="X206" s="53">
        <f t="shared" si="204"/>
        <v>4349.6148997284799</v>
      </c>
      <c r="Y206" s="53">
        <f t="shared" si="204"/>
        <v>4363.8544070629659</v>
      </c>
      <c r="Z206" s="53">
        <f t="shared" si="204"/>
        <v>4378.1405308390913</v>
      </c>
      <c r="AA206" s="53">
        <f t="shared" si="204"/>
        <v>4392.4734236669565</v>
      </c>
      <c r="AB206" s="53">
        <f t="shared" si="204"/>
        <v>4406.8532386562665</v>
      </c>
      <c r="AC206" s="53">
        <f t="shared" si="204"/>
        <v>4421.2801294179671</v>
      </c>
      <c r="AD206" s="53">
        <f t="shared" si="204"/>
        <v>4435.7542500658892</v>
      </c>
      <c r="AE206" s="53">
        <f t="shared" si="204"/>
        <v>4450.2757552183866</v>
      </c>
      <c r="AF206" s="53">
        <f t="shared" si="204"/>
        <v>4464.8448000000008</v>
      </c>
      <c r="AG206" s="53">
        <f t="shared" si="204"/>
        <v>4479.4615400431039</v>
      </c>
      <c r="AH206" s="53">
        <f t="shared" si="204"/>
        <v>4494.1261314895728</v>
      </c>
      <c r="AI206" s="53">
        <f t="shared" si="204"/>
        <v>4508.8387309924501</v>
      </c>
      <c r="AJ206" s="53">
        <f t="shared" si="204"/>
        <v>4523.599495717619</v>
      </c>
      <c r="AK206" s="53">
        <f t="shared" si="204"/>
        <v>4538.4085833454847</v>
      </c>
      <c r="AL206" s="53">
        <f t="shared" si="204"/>
        <v>4553.266152072656</v>
      </c>
      <c r="AM206" s="53">
        <f t="shared" si="204"/>
        <v>4568.1723606136347</v>
      </c>
      <c r="AN206" s="53">
        <f t="shared" si="204"/>
        <v>4583.1273682025167</v>
      </c>
      <c r="AO206" s="53">
        <f t="shared" si="204"/>
        <v>4598.1313345946855</v>
      </c>
      <c r="AP206" s="53">
        <f t="shared" si="204"/>
        <v>4613.1844200685237</v>
      </c>
      <c r="AQ206" s="53">
        <f t="shared" si="204"/>
        <v>4628.2867854271226</v>
      </c>
    </row>
    <row r="207" spans="1:43" s="16" customFormat="1" hidden="1" outlineLevel="4" collapsed="1">
      <c r="A207" s="53"/>
      <c r="B207" s="53"/>
      <c r="C207" s="53"/>
      <c r="D207" s="53"/>
      <c r="E207" s="53" t="s">
        <v>458</v>
      </c>
      <c r="F207" s="53"/>
      <c r="G207" s="53"/>
      <c r="H207" s="53">
        <f t="shared" ref="H207:AQ207" si="205">(H208*H209)</f>
        <v>25267.06472272941</v>
      </c>
      <c r="I207" s="53">
        <f t="shared" si="205"/>
        <v>31757.107708566051</v>
      </c>
      <c r="J207" s="53">
        <f t="shared" si="205"/>
        <v>38523.010271566796</v>
      </c>
      <c r="K207" s="53">
        <f t="shared" si="205"/>
        <v>45573.821385006682</v>
      </c>
      <c r="L207" s="53">
        <f t="shared" si="205"/>
        <v>52918.855784611937</v>
      </c>
      <c r="M207" s="53">
        <f t="shared" si="205"/>
        <v>60567.701307365387</v>
      </c>
      <c r="N207" s="53">
        <f t="shared" si="205"/>
        <v>68530.226425161352</v>
      </c>
      <c r="O207" s="53">
        <f t="shared" si="205"/>
        <v>76816.587978343916</v>
      </c>
      <c r="P207" s="53">
        <f t="shared" si="205"/>
        <v>85437.239114292432</v>
      </c>
      <c r="Q207" s="53">
        <f t="shared" si="205"/>
        <v>94402.937436344961</v>
      </c>
      <c r="R207" s="53">
        <f t="shared" si="205"/>
        <v>103724.75336848927</v>
      </c>
      <c r="S207" s="53">
        <f t="shared" si="205"/>
        <v>113414.07874138294</v>
      </c>
      <c r="T207" s="53">
        <f t="shared" si="205"/>
        <v>123482.63560541029</v>
      </c>
      <c r="U207" s="53">
        <f t="shared" si="205"/>
        <v>133942.48527662354</v>
      </c>
      <c r="V207" s="53">
        <f t="shared" si="205"/>
        <v>144806.03762156583</v>
      </c>
      <c r="W207" s="53">
        <f t="shared" si="205"/>
        <v>156086.06058712542</v>
      </c>
      <c r="X207" s="53">
        <f t="shared" si="205"/>
        <v>167795.68998172411</v>
      </c>
      <c r="Y207" s="53">
        <f t="shared" si="205"/>
        <v>179948.43951430405</v>
      </c>
      <c r="Z207" s="53">
        <f t="shared" si="205"/>
        <v>192558.21109773815</v>
      </c>
      <c r="AA207" s="53">
        <f t="shared" si="205"/>
        <v>205639.30542345857</v>
      </c>
      <c r="AB207" s="53">
        <f t="shared" si="205"/>
        <v>219206.43281426776</v>
      </c>
      <c r="AC207" s="53">
        <f t="shared" si="205"/>
        <v>233274.72436247228</v>
      </c>
      <c r="AD207" s="53">
        <f t="shared" si="205"/>
        <v>247859.74336066024</v>
      </c>
      <c r="AE207" s="53">
        <f t="shared" si="205"/>
        <v>262977.49703262612</v>
      </c>
      <c r="AF207" s="53">
        <f t="shared" si="205"/>
        <v>278644.44857214059</v>
      </c>
      <c r="AG207" s="53">
        <f t="shared" si="205"/>
        <v>294877.52949744754</v>
      </c>
      <c r="AH207" s="53">
        <f t="shared" si="205"/>
        <v>311694.15232957783</v>
      </c>
      <c r="AI207" s="53">
        <f t="shared" si="205"/>
        <v>329112.22360277083</v>
      </c>
      <c r="AJ207" s="53">
        <f t="shared" si="205"/>
        <v>347150.1572154985</v>
      </c>
      <c r="AK207" s="53">
        <f t="shared" si="205"/>
        <v>365826.88813080522</v>
      </c>
      <c r="AL207" s="53">
        <f t="shared" si="205"/>
        <v>385161.88643489685</v>
      </c>
      <c r="AM207" s="53">
        <f t="shared" si="205"/>
        <v>405175.1717631318</v>
      </c>
      <c r="AN207" s="53">
        <f t="shared" si="205"/>
        <v>425887.32810279611</v>
      </c>
      <c r="AO207" s="53">
        <f t="shared" si="205"/>
        <v>447319.51898229599</v>
      </c>
      <c r="AP207" s="53">
        <f t="shared" si="205"/>
        <v>469493.50305661222</v>
      </c>
      <c r="AQ207" s="53">
        <f t="shared" si="205"/>
        <v>492431.65009914467</v>
      </c>
    </row>
    <row r="208" spans="1:43" s="16" customFormat="1" hidden="1" outlineLevel="5">
      <c r="A208" s="53"/>
      <c r="B208" s="53"/>
      <c r="C208" s="53"/>
      <c r="D208" s="53"/>
      <c r="E208" s="53"/>
      <c r="F208" s="53" t="s">
        <v>395</v>
      </c>
      <c r="G208" s="53"/>
      <c r="H208" s="53">
        <f t="shared" ref="H208:AQ208" si="206">H89</f>
        <v>5.1607566835640135</v>
      </c>
      <c r="I208" s="53">
        <f t="shared" si="206"/>
        <v>6.4651720677786981</v>
      </c>
      <c r="J208" s="53">
        <f t="shared" si="206"/>
        <v>7.8169964993769936</v>
      </c>
      <c r="K208" s="53">
        <f t="shared" si="206"/>
        <v>9.2175542415302392</v>
      </c>
      <c r="L208" s="53">
        <f t="shared" si="206"/>
        <v>10.668202638729859</v>
      </c>
      <c r="M208" s="53">
        <f t="shared" si="206"/>
        <v>12.170332893484227</v>
      </c>
      <c r="N208" s="53">
        <f t="shared" si="206"/>
        <v>13.725370860546663</v>
      </c>
      <c r="O208" s="53">
        <f t="shared" si="206"/>
        <v>15.334777859059585</v>
      </c>
      <c r="P208" s="53">
        <f t="shared" si="206"/>
        <v>17.000051503008432</v>
      </c>
      <c r="Q208" s="53">
        <f t="shared" si="206"/>
        <v>18.722726550386923</v>
      </c>
      <c r="R208" s="53">
        <f t="shared" si="206"/>
        <v>20.50437577148454</v>
      </c>
      <c r="S208" s="53">
        <f t="shared" si="206"/>
        <v>22.346610836715218</v>
      </c>
      <c r="T208" s="53">
        <f t="shared" si="206"/>
        <v>24.251083224415986</v>
      </c>
      <c r="U208" s="53">
        <f t="shared" si="206"/>
        <v>26.219485149052904</v>
      </c>
      <c r="V208" s="53">
        <f t="shared" si="206"/>
        <v>28.253550510281393</v>
      </c>
      <c r="W208" s="53">
        <f t="shared" si="206"/>
        <v>30.35505586331756</v>
      </c>
      <c r="X208" s="53">
        <f t="shared" si="206"/>
        <v>32.52582141108693</v>
      </c>
      <c r="Y208" s="53">
        <f t="shared" si="206"/>
        <v>34.76771201862708</v>
      </c>
      <c r="Z208" s="53">
        <f t="shared" si="206"/>
        <v>37.082638250230744</v>
      </c>
      <c r="AA208" s="53">
        <f t="shared" si="206"/>
        <v>39.472557429826544</v>
      </c>
      <c r="AB208" s="53">
        <f t="shared" si="206"/>
        <v>41.939474725105278</v>
      </c>
      <c r="AC208" s="53">
        <f t="shared" si="206"/>
        <v>44.485444255910203</v>
      </c>
      <c r="AD208" s="53">
        <f t="shared" si="206"/>
        <v>47.112570227421273</v>
      </c>
      <c r="AE208" s="53">
        <f t="shared" si="206"/>
        <v>49.823008088674328</v>
      </c>
      <c r="AF208" s="53">
        <f t="shared" si="206"/>
        <v>52.618965716968532</v>
      </c>
      <c r="AG208" s="53">
        <f t="shared" si="206"/>
        <v>55.502704628725873</v>
      </c>
      <c r="AH208" s="53">
        <f t="shared" si="206"/>
        <v>58.476541217379854</v>
      </c>
      <c r="AI208" s="53">
        <f t="shared" si="206"/>
        <v>61.542848018882751</v>
      </c>
      <c r="AJ208" s="53">
        <f t="shared" si="206"/>
        <v>64.704055005432494</v>
      </c>
      <c r="AK208" s="53">
        <f t="shared" si="206"/>
        <v>67.962650908033893</v>
      </c>
      <c r="AL208" s="53">
        <f t="shared" si="206"/>
        <v>71.321184568522412</v>
      </c>
      <c r="AM208" s="53">
        <f t="shared" si="206"/>
        <v>74.782266321691154</v>
      </c>
      <c r="AN208" s="53">
        <f t="shared" si="206"/>
        <v>78.348569408175194</v>
      </c>
      <c r="AO208" s="53">
        <f t="shared" si="206"/>
        <v>82.022831418764511</v>
      </c>
      <c r="AP208" s="53">
        <f t="shared" si="206"/>
        <v>85.807855770825114</v>
      </c>
      <c r="AQ208" s="53">
        <f t="shared" si="206"/>
        <v>89.70651321752959</v>
      </c>
    </row>
    <row r="209" spans="1:43" s="16" customFormat="1" hidden="1" outlineLevel="5">
      <c r="A209" s="53"/>
      <c r="B209" s="53"/>
      <c r="C209" s="53"/>
      <c r="D209" s="53"/>
      <c r="E209" s="53"/>
      <c r="F209" s="53" t="s">
        <v>459</v>
      </c>
      <c r="G209" s="53"/>
      <c r="H209" s="53">
        <f t="shared" ref="H209:AQ209" si="207">eastern_private_distribution_cost_per_dose_positive*(1+eastern_private_distribution_cost_per_dose_positive_growth)^((COLUMN()-8)/12)</f>
        <v>4896</v>
      </c>
      <c r="I209" s="53">
        <f t="shared" si="207"/>
        <v>4912.0282299736455</v>
      </c>
      <c r="J209" s="53">
        <f t="shared" si="207"/>
        <v>4928.108932201395</v>
      </c>
      <c r="K209" s="53">
        <f t="shared" si="207"/>
        <v>4944.2422784637511</v>
      </c>
      <c r="L209" s="53">
        <f t="shared" si="207"/>
        <v>4960.4284411035878</v>
      </c>
      <c r="M209" s="53">
        <f t="shared" si="207"/>
        <v>4976.6675930279789</v>
      </c>
      <c r="N209" s="53">
        <f t="shared" si="207"/>
        <v>4992.9599077100556</v>
      </c>
      <c r="O209" s="53">
        <f t="shared" si="207"/>
        <v>5009.3055591908487</v>
      </c>
      <c r="P209" s="53">
        <f t="shared" si="207"/>
        <v>5025.7047220811619</v>
      </c>
      <c r="Q209" s="53">
        <f t="shared" si="207"/>
        <v>5042.1575715634235</v>
      </c>
      <c r="R209" s="53">
        <f t="shared" si="207"/>
        <v>5058.6642833935675</v>
      </c>
      <c r="S209" s="53">
        <f t="shared" si="207"/>
        <v>5075.2250339029015</v>
      </c>
      <c r="T209" s="53">
        <f t="shared" si="207"/>
        <v>5091.84</v>
      </c>
      <c r="U209" s="53">
        <f t="shared" si="207"/>
        <v>5108.5093591725918</v>
      </c>
      <c r="V209" s="53">
        <f t="shared" si="207"/>
        <v>5125.2332894894498</v>
      </c>
      <c r="W209" s="53">
        <f t="shared" si="207"/>
        <v>5142.0119696023021</v>
      </c>
      <c r="X209" s="53">
        <f t="shared" si="207"/>
        <v>5158.8455787477315</v>
      </c>
      <c r="Y209" s="53">
        <f t="shared" si="207"/>
        <v>5175.7342967490995</v>
      </c>
      <c r="Z209" s="53">
        <f t="shared" si="207"/>
        <v>5192.6783040184573</v>
      </c>
      <c r="AA209" s="53">
        <f t="shared" si="207"/>
        <v>5209.6777815584828</v>
      </c>
      <c r="AB209" s="53">
        <f t="shared" si="207"/>
        <v>5226.7329109644088</v>
      </c>
      <c r="AC209" s="53">
        <f t="shared" si="207"/>
        <v>5243.8438744259611</v>
      </c>
      <c r="AD209" s="53">
        <f t="shared" si="207"/>
        <v>5261.0108547293103</v>
      </c>
      <c r="AE209" s="53">
        <f t="shared" si="207"/>
        <v>5278.2340352590172</v>
      </c>
      <c r="AF209" s="53">
        <f t="shared" si="207"/>
        <v>5295.5136000000002</v>
      </c>
      <c r="AG209" s="53">
        <f t="shared" si="207"/>
        <v>5312.849733539495</v>
      </c>
      <c r="AH209" s="53">
        <f t="shared" si="207"/>
        <v>5330.2426210690282</v>
      </c>
      <c r="AI209" s="53">
        <f t="shared" si="207"/>
        <v>5347.6924483863941</v>
      </c>
      <c r="AJ209" s="53">
        <f t="shared" si="207"/>
        <v>5365.1994018976411</v>
      </c>
      <c r="AK209" s="53">
        <f t="shared" si="207"/>
        <v>5382.7636686190635</v>
      </c>
      <c r="AL209" s="53">
        <f t="shared" si="207"/>
        <v>5400.3854361791964</v>
      </c>
      <c r="AM209" s="53">
        <f t="shared" si="207"/>
        <v>5418.0648928208229</v>
      </c>
      <c r="AN209" s="53">
        <f t="shared" si="207"/>
        <v>5435.8022274029854</v>
      </c>
      <c r="AO209" s="53">
        <f t="shared" si="207"/>
        <v>5453.5976294029997</v>
      </c>
      <c r="AP209" s="53">
        <f t="shared" si="207"/>
        <v>5471.4512889184816</v>
      </c>
      <c r="AQ209" s="53">
        <f t="shared" si="207"/>
        <v>5489.3633966693778</v>
      </c>
    </row>
    <row r="210" spans="1:43" s="16" customFormat="1" hidden="1" outlineLevel="4" collapsed="1">
      <c r="A210" s="53"/>
      <c r="B210" s="53"/>
      <c r="C210" s="53"/>
      <c r="D210" s="53"/>
      <c r="E210" s="53" t="s">
        <v>460</v>
      </c>
      <c r="F210" s="53"/>
      <c r="G210" s="53"/>
      <c r="H210" s="53">
        <f t="shared" ref="H210:AQ210" si="208">(H211*H212)</f>
        <v>10433.015171713161</v>
      </c>
      <c r="I210" s="53">
        <f t="shared" si="208"/>
        <v>12377.821173721577</v>
      </c>
      <c r="J210" s="53">
        <f t="shared" si="208"/>
        <v>14404.846691243016</v>
      </c>
      <c r="K210" s="53">
        <f t="shared" si="208"/>
        <v>16516.801613441487</v>
      </c>
      <c r="L210" s="53">
        <f t="shared" si="208"/>
        <v>18716.475945536164</v>
      </c>
      <c r="M210" s="53">
        <f t="shared" si="208"/>
        <v>21006.74203623366</v>
      </c>
      <c r="N210" s="53">
        <f t="shared" si="208"/>
        <v>23390.556864684768</v>
      </c>
      <c r="O210" s="53">
        <f t="shared" si="208"/>
        <v>25870.964388512792</v>
      </c>
      <c r="P210" s="53">
        <f t="shared" si="208"/>
        <v>28451.097954500769</v>
      </c>
      <c r="Q210" s="53">
        <f t="shared" si="208"/>
        <v>31134.18277356396</v>
      </c>
      <c r="R210" s="53">
        <f t="shared" si="208"/>
        <v>33923.53846167701</v>
      </c>
      <c r="S210" s="53">
        <f t="shared" si="208"/>
        <v>36822.581648465995</v>
      </c>
      <c r="T210" s="53">
        <f t="shared" si="208"/>
        <v>39834.82865522067</v>
      </c>
      <c r="U210" s="53">
        <f t="shared" si="208"/>
        <v>42963.898244125485</v>
      </c>
      <c r="V210" s="53">
        <f t="shared" si="208"/>
        <v>46213.514440554492</v>
      </c>
      <c r="W210" s="53">
        <f t="shared" si="208"/>
        <v>49587.509430321858</v>
      </c>
      <c r="X210" s="53">
        <f t="shared" si="208"/>
        <v>53089.826533827596</v>
      </c>
      <c r="Y210" s="53">
        <f t="shared" si="208"/>
        <v>56724.523259088113</v>
      </c>
      <c r="Z210" s="53">
        <f t="shared" si="208"/>
        <v>60495.774435690066</v>
      </c>
      <c r="AA210" s="53">
        <f t="shared" si="208"/>
        <v>64407.875431759749</v>
      </c>
      <c r="AB210" s="53">
        <f t="shared" si="208"/>
        <v>68465.24545609187</v>
      </c>
      <c r="AC210" s="53">
        <f t="shared" si="208"/>
        <v>72672.430947635934</v>
      </c>
      <c r="AD210" s="53">
        <f t="shared" si="208"/>
        <v>77034.109054595654</v>
      </c>
      <c r="AE210" s="53">
        <f t="shared" si="208"/>
        <v>81555.091205451143</v>
      </c>
      <c r="AF210" s="53">
        <f t="shared" si="208"/>
        <v>86240.326774276342</v>
      </c>
      <c r="AG210" s="53">
        <f t="shared" si="208"/>
        <v>91094.906842778466</v>
      </c>
      <c r="AH210" s="53">
        <f t="shared" si="208"/>
        <v>96124.06806155399</v>
      </c>
      <c r="AI210" s="53">
        <f t="shared" si="208"/>
        <v>101333.19661311353</v>
      </c>
      <c r="AJ210" s="53">
        <f t="shared" si="208"/>
        <v>106727.83227929565</v>
      </c>
      <c r="AK210" s="53">
        <f t="shared" si="208"/>
        <v>112313.67261575487</v>
      </c>
      <c r="AL210" s="53">
        <f t="shared" si="208"/>
        <v>118096.57723627648</v>
      </c>
      <c r="AM210" s="53">
        <f t="shared" si="208"/>
        <v>124082.57220974154</v>
      </c>
      <c r="AN210" s="53">
        <f t="shared" si="208"/>
        <v>130277.85457263522</v>
      </c>
      <c r="AO210" s="53">
        <f t="shared" si="208"/>
        <v>136688.79696006654</v>
      </c>
      <c r="AP210" s="53">
        <f t="shared" si="208"/>
        <v>143321.95235834035</v>
      </c>
      <c r="AQ210" s="53">
        <f t="shared" si="208"/>
        <v>150184.05898220078</v>
      </c>
    </row>
    <row r="211" spans="1:43" s="16" customFormat="1" hidden="1" outlineLevel="5">
      <c r="A211" s="53"/>
      <c r="B211" s="53"/>
      <c r="C211" s="53"/>
      <c r="D211" s="53"/>
      <c r="E211" s="53"/>
      <c r="F211" s="53" t="s">
        <v>404</v>
      </c>
      <c r="G211" s="53"/>
      <c r="H211" s="53">
        <f t="shared" ref="H211:AQ211" si="209">H100</f>
        <v>1.6466248692729106</v>
      </c>
      <c r="I211" s="53">
        <f t="shared" si="209"/>
        <v>1.9471956491437103</v>
      </c>
      <c r="J211" s="53">
        <f t="shared" si="209"/>
        <v>2.2586793536656766</v>
      </c>
      <c r="K211" s="53">
        <f t="shared" si="209"/>
        <v>2.5813830201091408</v>
      </c>
      <c r="L211" s="53">
        <f t="shared" si="209"/>
        <v>2.9156214194357211</v>
      </c>
      <c r="M211" s="53">
        <f t="shared" si="209"/>
        <v>3.2617172393199323</v>
      </c>
      <c r="N211" s="53">
        <f t="shared" si="209"/>
        <v>3.6200012713319882</v>
      </c>
      <c r="O211" s="53">
        <f t="shared" si="209"/>
        <v>3.990812602373782</v>
      </c>
      <c r="P211" s="53">
        <f t="shared" si="209"/>
        <v>4.3744988104621125</v>
      </c>
      <c r="Q211" s="53">
        <f t="shared" si="209"/>
        <v>4.7714161649551086</v>
      </c>
      <c r="R211" s="53">
        <f t="shared" si="209"/>
        <v>5.1819298313200557</v>
      </c>
      <c r="S211" s="53">
        <f t="shared" si="209"/>
        <v>5.606414080542784</v>
      </c>
      <c r="T211" s="53">
        <f t="shared" si="209"/>
        <v>6.0452525032811089</v>
      </c>
      <c r="U211" s="53">
        <f t="shared" si="209"/>
        <v>6.4988382288668909</v>
      </c>
      <c r="V211" s="53">
        <f t="shared" si="209"/>
        <v>6.9675741492636334</v>
      </c>
      <c r="W211" s="53">
        <f t="shared" si="209"/>
        <v>7.4518731480887856</v>
      </c>
      <c r="X211" s="53">
        <f t="shared" si="209"/>
        <v>7.9521583348123466</v>
      </c>
      <c r="Y211" s="53">
        <f t="shared" si="209"/>
        <v>8.4688632842457423</v>
      </c>
      <c r="Z211" s="53">
        <f t="shared" si="209"/>
        <v>9.0024322814373381</v>
      </c>
      <c r="AA211" s="53">
        <f t="shared" si="209"/>
        <v>9.5533205720936039</v>
      </c>
      <c r="AB211" s="53">
        <f t="shared" si="209"/>
        <v>10.121994618647433</v>
      </c>
      <c r="AC211" s="53">
        <f t="shared" si="209"/>
        <v>10.708932362097663</v>
      </c>
      <c r="AD211" s="53">
        <f t="shared" si="209"/>
        <v>11.314623489746774</v>
      </c>
      <c r="AE211" s="53">
        <f t="shared" si="209"/>
        <v>11.939569708966058</v>
      </c>
      <c r="AF211" s="53">
        <f t="shared" si="209"/>
        <v>12.584285027120947</v>
      </c>
      <c r="AG211" s="53">
        <f t="shared" si="209"/>
        <v>13.249296037791259</v>
      </c>
      <c r="AH211" s="53">
        <f t="shared" si="209"/>
        <v>13.935142213424854</v>
      </c>
      <c r="AI211" s="53">
        <f t="shared" si="209"/>
        <v>14.642376204565531</v>
      </c>
      <c r="AJ211" s="53">
        <f t="shared" si="209"/>
        <v>15.371564145799352</v>
      </c>
      <c r="AK211" s="53">
        <f t="shared" si="209"/>
        <v>16.123285968566641</v>
      </c>
      <c r="AL211" s="53">
        <f t="shared" si="209"/>
        <v>16.898135720989963</v>
      </c>
      <c r="AM211" s="53">
        <f t="shared" si="209"/>
        <v>17.696721894871796</v>
      </c>
      <c r="AN211" s="53">
        <f t="shared" si="209"/>
        <v>18.519667760018656</v>
      </c>
      <c r="AO211" s="53">
        <f t="shared" si="209"/>
        <v>19.367611706052212</v>
      </c>
      <c r="AP211" s="53">
        <f t="shared" si="209"/>
        <v>20.241207591870875</v>
      </c>
      <c r="AQ211" s="53">
        <f t="shared" si="209"/>
        <v>21.141125102929234</v>
      </c>
    </row>
    <row r="212" spans="1:43" s="16" customFormat="1" hidden="1" outlineLevel="5">
      <c r="A212" s="53"/>
      <c r="B212" s="53"/>
      <c r="C212" s="53"/>
      <c r="D212" s="53"/>
      <c r="E212" s="53"/>
      <c r="F212" s="53" t="s">
        <v>461</v>
      </c>
      <c r="G212" s="53"/>
      <c r="H212" s="53">
        <f t="shared" ref="H212:AQ212" si="210">northern_private_distribution_cost_per_dose_positive*(1+northern_private_distribution_cost_per_dose_positive_growth)^((COLUMN()-8)/12)</f>
        <v>6336</v>
      </c>
      <c r="I212" s="53">
        <f t="shared" si="210"/>
        <v>6356.7424152600124</v>
      </c>
      <c r="J212" s="53">
        <f t="shared" si="210"/>
        <v>6377.5527357900401</v>
      </c>
      <c r="K212" s="53">
        <f t="shared" si="210"/>
        <v>6398.4311838942667</v>
      </c>
      <c r="L212" s="53">
        <f t="shared" si="210"/>
        <v>6419.377982604643</v>
      </c>
      <c r="M212" s="53">
        <f t="shared" si="210"/>
        <v>6440.3933556832671</v>
      </c>
      <c r="N212" s="53">
        <f t="shared" si="210"/>
        <v>6461.4775276247774</v>
      </c>
      <c r="O212" s="53">
        <f t="shared" si="210"/>
        <v>6482.6307236587454</v>
      </c>
      <c r="P212" s="53">
        <f t="shared" si="210"/>
        <v>6503.8531697520921</v>
      </c>
      <c r="Q212" s="53">
        <f t="shared" si="210"/>
        <v>6525.1450926114894</v>
      </c>
      <c r="R212" s="53">
        <f t="shared" si="210"/>
        <v>6546.5067196857926</v>
      </c>
      <c r="S212" s="53">
        <f t="shared" si="210"/>
        <v>6567.9382791684602</v>
      </c>
      <c r="T212" s="53">
        <f t="shared" si="210"/>
        <v>6589.4400000000005</v>
      </c>
      <c r="U212" s="53">
        <f t="shared" si="210"/>
        <v>6611.0121118704137</v>
      </c>
      <c r="V212" s="53">
        <f t="shared" si="210"/>
        <v>6632.6548452216412</v>
      </c>
      <c r="W212" s="53">
        <f t="shared" si="210"/>
        <v>6654.3684312500382</v>
      </c>
      <c r="X212" s="53">
        <f t="shared" si="210"/>
        <v>6676.1531019088288</v>
      </c>
      <c r="Y212" s="53">
        <f t="shared" si="210"/>
        <v>6698.009089910599</v>
      </c>
      <c r="Z212" s="53">
        <f t="shared" si="210"/>
        <v>6719.9366287297689</v>
      </c>
      <c r="AA212" s="53">
        <f t="shared" si="210"/>
        <v>6741.9359526050957</v>
      </c>
      <c r="AB212" s="53">
        <f t="shared" si="210"/>
        <v>6764.0072965421759</v>
      </c>
      <c r="AC212" s="53">
        <f t="shared" si="210"/>
        <v>6786.1508963159495</v>
      </c>
      <c r="AD212" s="53">
        <f t="shared" si="210"/>
        <v>6808.3669884732244</v>
      </c>
      <c r="AE212" s="53">
        <f t="shared" si="210"/>
        <v>6830.655810335199</v>
      </c>
      <c r="AF212" s="53">
        <f t="shared" si="210"/>
        <v>6853.017600000001</v>
      </c>
      <c r="AG212" s="53">
        <f t="shared" si="210"/>
        <v>6875.4525963452288</v>
      </c>
      <c r="AH212" s="53">
        <f t="shared" si="210"/>
        <v>6897.9610390305079</v>
      </c>
      <c r="AI212" s="53">
        <f t="shared" si="210"/>
        <v>6920.5431685000394</v>
      </c>
      <c r="AJ212" s="53">
        <f t="shared" si="210"/>
        <v>6943.1992259851822</v>
      </c>
      <c r="AK212" s="53">
        <f t="shared" si="210"/>
        <v>6965.929453507023</v>
      </c>
      <c r="AL212" s="53">
        <f t="shared" si="210"/>
        <v>6988.7340938789603</v>
      </c>
      <c r="AM212" s="53">
        <f t="shared" si="210"/>
        <v>7011.6133907092999</v>
      </c>
      <c r="AN212" s="53">
        <f t="shared" si="210"/>
        <v>7034.5675884038637</v>
      </c>
      <c r="AO212" s="53">
        <f t="shared" si="210"/>
        <v>7057.596932168588</v>
      </c>
      <c r="AP212" s="53">
        <f t="shared" si="210"/>
        <v>7080.7016680121524</v>
      </c>
      <c r="AQ212" s="53">
        <f t="shared" si="210"/>
        <v>7103.8820427486071</v>
      </c>
    </row>
    <row r="213" spans="1:43" s="16" customFormat="1" outlineLevel="3">
      <c r="A213" s="53"/>
      <c r="B213" s="53"/>
      <c r="C213" s="53"/>
      <c r="D213" s="53" t="s">
        <v>462</v>
      </c>
      <c r="E213" s="53"/>
      <c r="F213" s="53"/>
      <c r="G213" s="53"/>
      <c r="H213" s="53">
        <f t="shared" ref="H213:AQ213" si="211">(((H214+H218)+H222)+H226)</f>
        <v>374691.77122167853</v>
      </c>
      <c r="I213" s="53">
        <f t="shared" si="211"/>
        <v>492027.23803235957</v>
      </c>
      <c r="J213" s="53">
        <f t="shared" si="211"/>
        <v>614547.26834499056</v>
      </c>
      <c r="K213" s="53">
        <f t="shared" si="211"/>
        <v>742428.15329487866</v>
      </c>
      <c r="L213" s="53">
        <f t="shared" si="211"/>
        <v>875851.5526487052</v>
      </c>
      <c r="M213" s="53">
        <f t="shared" si="211"/>
        <v>1015004.6486583282</v>
      </c>
      <c r="N213" s="53">
        <f t="shared" si="211"/>
        <v>1160080.3041580103</v>
      </c>
      <c r="O213" s="53">
        <f t="shared" si="211"/>
        <v>1311277.2250190661</v>
      </c>
      <c r="P213" s="53">
        <f t="shared" si="211"/>
        <v>1468800.1270789669</v>
      </c>
      <c r="Q213" s="53">
        <f t="shared" si="211"/>
        <v>1632859.9076649824</v>
      </c>
      <c r="R213" s="53">
        <f t="shared" si="211"/>
        <v>1803673.8218356338</v>
      </c>
      <c r="S213" s="53">
        <f t="shared" si="211"/>
        <v>1981465.6634664675</v>
      </c>
      <c r="T213" s="53">
        <f t="shared" si="211"/>
        <v>2166465.9513099855</v>
      </c>
      <c r="U213" s="53">
        <f t="shared" si="211"/>
        <v>2358912.1201630002</v>
      </c>
      <c r="V213" s="53">
        <f t="shared" si="211"/>
        <v>2559048.7172781611</v>
      </c>
      <c r="W213" s="53">
        <f t="shared" si="211"/>
        <v>2767127.604160028</v>
      </c>
      <c r="X213" s="53">
        <f t="shared" si="211"/>
        <v>2983408.1638897303</v>
      </c>
      <c r="Y213" s="53">
        <f t="shared" si="211"/>
        <v>3208157.5141260587</v>
      </c>
      <c r="Z213" s="53">
        <f t="shared" si="211"/>
        <v>3441650.7259346927</v>
      </c>
      <c r="AA213" s="53">
        <f t="shared" si="211"/>
        <v>3684171.0486012828</v>
      </c>
      <c r="AB213" s="53">
        <f t="shared" si="211"/>
        <v>3936010.1405881732</v>
      </c>
      <c r="AC213" s="53">
        <f t="shared" si="211"/>
        <v>4197468.3067987468</v>
      </c>
      <c r="AD213" s="53">
        <f t="shared" si="211"/>
        <v>4468854.7423176812</v>
      </c>
      <c r="AE213" s="53">
        <f t="shared" si="211"/>
        <v>4750487.7827998176</v>
      </c>
      <c r="AF213" s="53">
        <f t="shared" si="211"/>
        <v>5042695.1616848819</v>
      </c>
      <c r="AG213" s="53">
        <f t="shared" si="211"/>
        <v>5345814.2744199056</v>
      </c>
      <c r="AH213" s="53">
        <f t="shared" si="211"/>
        <v>5660192.4498760132</v>
      </c>
      <c r="AI213" s="53">
        <f t="shared" si="211"/>
        <v>5986187.2291510915</v>
      </c>
      <c r="AJ213" s="53">
        <f t="shared" si="211"/>
        <v>6324166.6519548744</v>
      </c>
      <c r="AK213" s="53">
        <f t="shared" si="211"/>
        <v>6674509.5507781515</v>
      </c>
      <c r="AL213" s="53">
        <f t="shared" si="211"/>
        <v>7037605.8530530538</v>
      </c>
      <c r="AM213" s="53">
        <f t="shared" si="211"/>
        <v>7413856.891516814</v>
      </c>
      <c r="AN213" s="53">
        <f t="shared" si="211"/>
        <v>7803675.7229968468</v>
      </c>
      <c r="AO213" s="53">
        <f t="shared" si="211"/>
        <v>8207487.455840962</v>
      </c>
      <c r="AP213" s="53">
        <f t="shared" si="211"/>
        <v>8625729.5862219725</v>
      </c>
      <c r="AQ213" s="53">
        <f t="shared" si="211"/>
        <v>9058852.3435523156</v>
      </c>
    </row>
    <row r="214" spans="1:43" s="16" customFormat="1" outlineLevel="4">
      <c r="A214" s="53"/>
      <c r="B214" s="53"/>
      <c r="C214" s="53"/>
      <c r="D214" s="53"/>
      <c r="E214" s="53" t="s">
        <v>463</v>
      </c>
      <c r="F214" s="53"/>
      <c r="G214" s="53"/>
      <c r="H214" s="53">
        <f t="shared" ref="H214:AQ214" si="212">((H215*H216)*H217)</f>
        <v>153434.2818154486</v>
      </c>
      <c r="I214" s="53">
        <f t="shared" si="212"/>
        <v>217095.23698317687</v>
      </c>
      <c r="J214" s="53">
        <f t="shared" si="212"/>
        <v>283588.29068756691</v>
      </c>
      <c r="K214" s="53">
        <f t="shared" si="212"/>
        <v>353009.82773552166</v>
      </c>
      <c r="L214" s="53">
        <f t="shared" si="212"/>
        <v>425459.1665264378</v>
      </c>
      <c r="M214" s="53">
        <f t="shared" si="212"/>
        <v>501038.64303420816</v>
      </c>
      <c r="N214" s="53">
        <f t="shared" si="212"/>
        <v>579853.69710265426</v>
      </c>
      <c r="O214" s="53">
        <f t="shared" si="212"/>
        <v>662012.96111646073</v>
      </c>
      <c r="P214" s="53">
        <f t="shared" si="212"/>
        <v>747628.3511113259</v>
      </c>
      <c r="Q214" s="53">
        <f t="shared" si="212"/>
        <v>836815.1603887151</v>
      </c>
      <c r="R214" s="53">
        <f t="shared" si="212"/>
        <v>929692.15570232447</v>
      </c>
      <c r="S214" s="53">
        <f t="shared" si="212"/>
        <v>1026381.676085124</v>
      </c>
      <c r="T214" s="53">
        <f t="shared" si="212"/>
        <v>1127009.7343876727</v>
      </c>
      <c r="U214" s="53">
        <f t="shared" si="212"/>
        <v>1231706.1216002384</v>
      </c>
      <c r="V214" s="53">
        <f t="shared" si="212"/>
        <v>1340604.5140331744</v>
      </c>
      <c r="W214" s="53">
        <f t="shared" si="212"/>
        <v>1453842.5834319547</v>
      </c>
      <c r="X214" s="53">
        <f t="shared" si="212"/>
        <v>1571562.1101052754</v>
      </c>
      <c r="Y214" s="53">
        <f t="shared" si="212"/>
        <v>1693909.0991466942</v>
      </c>
      <c r="Z214" s="53">
        <f t="shared" si="212"/>
        <v>1821033.8998323765</v>
      </c>
      <c r="AA214" s="53">
        <f t="shared" si="212"/>
        <v>1953091.3282797027</v>
      </c>
      <c r="AB214" s="53">
        <f t="shared" si="212"/>
        <v>2090240.7934536957</v>
      </c>
      <c r="AC214" s="53">
        <f t="shared" si="212"/>
        <v>2232646.426610522</v>
      </c>
      <c r="AD214" s="53">
        <f t="shared" si="212"/>
        <v>2380477.2142696311</v>
      </c>
      <c r="AE214" s="53">
        <f t="shared" si="212"/>
        <v>2533907.1348085464</v>
      </c>
      <c r="AF214" s="53">
        <f t="shared" si="212"/>
        <v>2693115.298776729</v>
      </c>
      <c r="AG214" s="53">
        <f t="shared" si="212"/>
        <v>2858286.0930274846</v>
      </c>
      <c r="AH214" s="53">
        <f t="shared" si="212"/>
        <v>3029609.3287694808</v>
      </c>
      <c r="AI214" s="53">
        <f t="shared" si="212"/>
        <v>3207280.393642094</v>
      </c>
      <c r="AJ214" s="53">
        <f t="shared" si="212"/>
        <v>3391500.4079214977</v>
      </c>
      <c r="AK214" s="53">
        <f t="shared" si="212"/>
        <v>3582476.3849672684</v>
      </c>
      <c r="AL214" s="53">
        <f t="shared" si="212"/>
        <v>3780421.3960220884</v>
      </c>
      <c r="AM214" s="53">
        <f t="shared" si="212"/>
        <v>3985554.7394801043</v>
      </c>
      <c r="AN214" s="53">
        <f t="shared" si="212"/>
        <v>4198102.1147424672</v>
      </c>
      <c r="AO214" s="53">
        <f t="shared" si="212"/>
        <v>4418295.800781806</v>
      </c>
      <c r="AP214" s="53">
        <f t="shared" si="212"/>
        <v>4646374.8395403409</v>
      </c>
      <c r="AQ214" s="53">
        <f t="shared" si="212"/>
        <v>4882585.2242898513</v>
      </c>
    </row>
    <row r="215" spans="1:43" s="16" customFormat="1" outlineLevel="5">
      <c r="A215" s="53"/>
      <c r="B215" s="53"/>
      <c r="C215" s="53"/>
      <c r="D215" s="53"/>
      <c r="E215" s="53"/>
      <c r="F215" s="53" t="s">
        <v>324</v>
      </c>
      <c r="G215" s="53"/>
      <c r="H215" s="53">
        <f t="shared" ref="H215:AQ215" si="213">H6</f>
        <v>250.11191689051665</v>
      </c>
      <c r="I215" s="53">
        <f t="shared" si="213"/>
        <v>352.8720382012383</v>
      </c>
      <c r="J215" s="53">
        <f t="shared" si="213"/>
        <v>459.63195708956715</v>
      </c>
      <c r="K215" s="53">
        <f t="shared" si="213"/>
        <v>570.51056151812998</v>
      </c>
      <c r="L215" s="53">
        <f t="shared" si="213"/>
        <v>685.62989926971431</v>
      </c>
      <c r="M215" s="53">
        <f t="shared" si="213"/>
        <v>805.11525695386615</v>
      </c>
      <c r="N215" s="53">
        <f t="shared" si="213"/>
        <v>929.09524091491096</v>
      </c>
      <c r="O215" s="53">
        <f t="shared" si="213"/>
        <v>1057.7018600859767</v>
      </c>
      <c r="P215" s="53">
        <f t="shared" si="213"/>
        <v>1191.0706108346458</v>
      </c>
      <c r="Q215" s="53">
        <f t="shared" si="213"/>
        <v>1329.3405638468985</v>
      </c>
      <c r="R215" s="53">
        <f t="shared" si="213"/>
        <v>1472.6544530970873</v>
      </c>
      <c r="S215" s="53">
        <f t="shared" si="213"/>
        <v>1621.158766952778</v>
      </c>
      <c r="T215" s="53">
        <f t="shared" si="213"/>
        <v>1775.0038414644248</v>
      </c>
      <c r="U215" s="53">
        <f t="shared" si="213"/>
        <v>1934.3439558909834</v>
      </c>
      <c r="V215" s="53">
        <f t="shared" si="213"/>
        <v>2099.3374305137468</v>
      </c>
      <c r="W215" s="53">
        <f t="shared" si="213"/>
        <v>2270.1467267918879</v>
      </c>
      <c r="X215" s="53">
        <f t="shared" si="213"/>
        <v>2446.9385499144205</v>
      </c>
      <c r="Y215" s="53">
        <f t="shared" si="213"/>
        <v>2629.8839538045586</v>
      </c>
      <c r="Z215" s="53">
        <f t="shared" si="213"/>
        <v>2819.1584486337038</v>
      </c>
      <c r="AA215" s="53">
        <f t="shared" si="213"/>
        <v>3014.9421109036552</v>
      </c>
      <c r="AB215" s="53">
        <f t="shared" si="213"/>
        <v>3217.4196961569273</v>
      </c>
      <c r="AC215" s="53">
        <f t="shared" si="213"/>
        <v>3426.7807543764911</v>
      </c>
      <c r="AD215" s="53">
        <f t="shared" si="213"/>
        <v>3643.2197481375802</v>
      </c>
      <c r="AE215" s="53">
        <f t="shared" si="213"/>
        <v>3866.9361735757352</v>
      </c>
      <c r="AF215" s="53">
        <f t="shared" si="213"/>
        <v>4098.1346842366702</v>
      </c>
      <c r="AG215" s="53">
        <f t="shared" si="213"/>
        <v>4337.0252178750234</v>
      </c>
      <c r="AH215" s="53">
        <f t="shared" si="213"/>
        <v>4583.8231262706695</v>
      </c>
      <c r="AI215" s="53">
        <f t="shared" si="213"/>
        <v>4838.7493081327902</v>
      </c>
      <c r="AJ215" s="53">
        <f t="shared" si="213"/>
        <v>5102.0303451634863</v>
      </c>
      <c r="AK215" s="53">
        <f t="shared" si="213"/>
        <v>5373.8986413544153</v>
      </c>
      <c r="AL215" s="53">
        <f t="shared" si="213"/>
        <v>5654.5925655915862</v>
      </c>
      <c r="AM215" s="53">
        <f t="shared" si="213"/>
        <v>5944.3565976451646</v>
      </c>
      <c r="AN215" s="53">
        <f t="shared" si="213"/>
        <v>6243.4414776228405</v>
      </c>
      <c r="AO215" s="53">
        <f t="shared" si="213"/>
        <v>6552.1043589673127</v>
      </c>
      <c r="AP215" s="53">
        <f t="shared" si="213"/>
        <v>6870.6089650799277</v>
      </c>
      <c r="AQ215" s="53">
        <f t="shared" si="213"/>
        <v>7199.2257496547818</v>
      </c>
    </row>
    <row r="216" spans="1:43" s="16" customFormat="1" outlineLevel="5">
      <c r="A216" s="53"/>
      <c r="B216" s="53"/>
      <c r="C216" s="53"/>
      <c r="D216" s="53"/>
      <c r="E216" s="53"/>
      <c r="F216" s="53" t="s">
        <v>464</v>
      </c>
      <c r="G216" s="53"/>
      <c r="H216" s="53">
        <f t="shared" ref="H216:AQ216" si="214">central_public_wastage_rate_positive*(1+central_public_wastage_rate_positive_growth)^((COLUMN()-8)/12)</f>
        <v>3.1500000000000007E-2</v>
      </c>
      <c r="I216" s="53">
        <f t="shared" si="214"/>
        <v>3.1500000000000007E-2</v>
      </c>
      <c r="J216" s="53">
        <f t="shared" si="214"/>
        <v>3.1500000000000007E-2</v>
      </c>
      <c r="K216" s="53">
        <f t="shared" si="214"/>
        <v>3.1500000000000007E-2</v>
      </c>
      <c r="L216" s="53">
        <f t="shared" si="214"/>
        <v>3.1500000000000007E-2</v>
      </c>
      <c r="M216" s="53">
        <f t="shared" si="214"/>
        <v>3.1500000000000007E-2</v>
      </c>
      <c r="N216" s="53">
        <f t="shared" si="214"/>
        <v>3.1500000000000007E-2</v>
      </c>
      <c r="O216" s="53">
        <f t="shared" si="214"/>
        <v>3.1500000000000007E-2</v>
      </c>
      <c r="P216" s="53">
        <f t="shared" si="214"/>
        <v>3.1500000000000007E-2</v>
      </c>
      <c r="Q216" s="53">
        <f t="shared" si="214"/>
        <v>3.1500000000000007E-2</v>
      </c>
      <c r="R216" s="53">
        <f t="shared" si="214"/>
        <v>3.1500000000000007E-2</v>
      </c>
      <c r="S216" s="53">
        <f t="shared" si="214"/>
        <v>3.1500000000000007E-2</v>
      </c>
      <c r="T216" s="53">
        <f t="shared" si="214"/>
        <v>3.1500000000000007E-2</v>
      </c>
      <c r="U216" s="53">
        <f t="shared" si="214"/>
        <v>3.1500000000000007E-2</v>
      </c>
      <c r="V216" s="53">
        <f t="shared" si="214"/>
        <v>3.1500000000000007E-2</v>
      </c>
      <c r="W216" s="53">
        <f t="shared" si="214"/>
        <v>3.1500000000000007E-2</v>
      </c>
      <c r="X216" s="53">
        <f t="shared" si="214"/>
        <v>3.1500000000000007E-2</v>
      </c>
      <c r="Y216" s="53">
        <f t="shared" si="214"/>
        <v>3.1500000000000007E-2</v>
      </c>
      <c r="Z216" s="53">
        <f t="shared" si="214"/>
        <v>3.1500000000000007E-2</v>
      </c>
      <c r="AA216" s="53">
        <f t="shared" si="214"/>
        <v>3.1500000000000007E-2</v>
      </c>
      <c r="AB216" s="53">
        <f t="shared" si="214"/>
        <v>3.1500000000000007E-2</v>
      </c>
      <c r="AC216" s="53">
        <f t="shared" si="214"/>
        <v>3.1500000000000007E-2</v>
      </c>
      <c r="AD216" s="53">
        <f t="shared" si="214"/>
        <v>3.1500000000000007E-2</v>
      </c>
      <c r="AE216" s="53">
        <f t="shared" si="214"/>
        <v>3.1500000000000007E-2</v>
      </c>
      <c r="AF216" s="53">
        <f t="shared" si="214"/>
        <v>3.1500000000000007E-2</v>
      </c>
      <c r="AG216" s="53">
        <f t="shared" si="214"/>
        <v>3.1500000000000007E-2</v>
      </c>
      <c r="AH216" s="53">
        <f t="shared" si="214"/>
        <v>3.1500000000000007E-2</v>
      </c>
      <c r="AI216" s="53">
        <f t="shared" si="214"/>
        <v>3.1500000000000007E-2</v>
      </c>
      <c r="AJ216" s="53">
        <f t="shared" si="214"/>
        <v>3.1500000000000007E-2</v>
      </c>
      <c r="AK216" s="53">
        <f t="shared" si="214"/>
        <v>3.1500000000000007E-2</v>
      </c>
      <c r="AL216" s="53">
        <f t="shared" si="214"/>
        <v>3.1500000000000007E-2</v>
      </c>
      <c r="AM216" s="53">
        <f t="shared" si="214"/>
        <v>3.1500000000000007E-2</v>
      </c>
      <c r="AN216" s="53">
        <f t="shared" si="214"/>
        <v>3.1500000000000007E-2</v>
      </c>
      <c r="AO216" s="53">
        <f t="shared" si="214"/>
        <v>3.1500000000000007E-2</v>
      </c>
      <c r="AP216" s="53">
        <f t="shared" si="214"/>
        <v>3.1500000000000007E-2</v>
      </c>
      <c r="AQ216" s="53">
        <f t="shared" si="214"/>
        <v>3.1500000000000007E-2</v>
      </c>
    </row>
    <row r="217" spans="1:43" s="16" customFormat="1" outlineLevel="5">
      <c r="A217" s="53"/>
      <c r="B217" s="53"/>
      <c r="C217" s="53"/>
      <c r="D217" s="53"/>
      <c r="E217" s="53"/>
      <c r="F217" s="53" t="s">
        <v>416</v>
      </c>
      <c r="G217" s="53"/>
      <c r="H217" s="53">
        <f t="shared" ref="H217:AQ217" si="215">H115</f>
        <v>19475</v>
      </c>
      <c r="I217" s="53">
        <f t="shared" si="215"/>
        <v>19530.910752554017</v>
      </c>
      <c r="J217" s="53">
        <f t="shared" si="215"/>
        <v>19586.982019215924</v>
      </c>
      <c r="K217" s="53">
        <f t="shared" si="215"/>
        <v>19643.214260805467</v>
      </c>
      <c r="L217" s="53">
        <f t="shared" si="215"/>
        <v>19699.607939465361</v>
      </c>
      <c r="M217" s="53">
        <f t="shared" si="215"/>
        <v>19756.163518665086</v>
      </c>
      <c r="N217" s="53">
        <f t="shared" si="215"/>
        <v>19812.881463204689</v>
      </c>
      <c r="O217" s="53">
        <f t="shared" si="215"/>
        <v>19869.76223921862</v>
      </c>
      <c r="P217" s="53">
        <f t="shared" si="215"/>
        <v>19926.80631417955</v>
      </c>
      <c r="Q217" s="53">
        <f t="shared" si="215"/>
        <v>19984.014156902216</v>
      </c>
      <c r="R217" s="53">
        <f t="shared" si="215"/>
        <v>20041.386237547275</v>
      </c>
      <c r="S217" s="53">
        <f t="shared" si="215"/>
        <v>20098.923027625169</v>
      </c>
      <c r="T217" s="53">
        <f t="shared" si="215"/>
        <v>20156.625</v>
      </c>
      <c r="U217" s="53">
        <f t="shared" si="215"/>
        <v>20214.492628893408</v>
      </c>
      <c r="V217" s="53">
        <f t="shared" si="215"/>
        <v>20272.52638988848</v>
      </c>
      <c r="W217" s="53">
        <f t="shared" si="215"/>
        <v>20330.726759933656</v>
      </c>
      <c r="X217" s="53">
        <f t="shared" si="215"/>
        <v>20389.094217346646</v>
      </c>
      <c r="Y217" s="53">
        <f t="shared" si="215"/>
        <v>20447.629241818362</v>
      </c>
      <c r="Z217" s="53">
        <f t="shared" si="215"/>
        <v>20506.332314416853</v>
      </c>
      <c r="AA217" s="53">
        <f t="shared" si="215"/>
        <v>20565.203917591269</v>
      </c>
      <c r="AB217" s="53">
        <f t="shared" si="215"/>
        <v>20624.244535175832</v>
      </c>
      <c r="AC217" s="53">
        <f t="shared" si="215"/>
        <v>20683.454652393793</v>
      </c>
      <c r="AD217" s="53">
        <f t="shared" si="215"/>
        <v>20742.834755861426</v>
      </c>
      <c r="AE217" s="53">
        <f t="shared" si="215"/>
        <v>20802.38533359205</v>
      </c>
      <c r="AF217" s="53">
        <f t="shared" si="215"/>
        <v>20862.106874999998</v>
      </c>
      <c r="AG217" s="53">
        <f t="shared" si="215"/>
        <v>20921.999870904674</v>
      </c>
      <c r="AH217" s="53">
        <f t="shared" si="215"/>
        <v>20982.064813534573</v>
      </c>
      <c r="AI217" s="53">
        <f t="shared" si="215"/>
        <v>21042.302196531335</v>
      </c>
      <c r="AJ217" s="53">
        <f t="shared" si="215"/>
        <v>21102.712514953782</v>
      </c>
      <c r="AK217" s="53">
        <f t="shared" si="215"/>
        <v>21163.296265282002</v>
      </c>
      <c r="AL217" s="53">
        <f t="shared" si="215"/>
        <v>21224.053945421438</v>
      </c>
      <c r="AM217" s="53">
        <f t="shared" si="215"/>
        <v>21284.986054706962</v>
      </c>
      <c r="AN217" s="53">
        <f t="shared" si="215"/>
        <v>21346.093093906984</v>
      </c>
      <c r="AO217" s="53">
        <f t="shared" si="215"/>
        <v>21407.375565227576</v>
      </c>
      <c r="AP217" s="53">
        <f t="shared" si="215"/>
        <v>21468.833972316577</v>
      </c>
      <c r="AQ217" s="53">
        <f t="shared" si="215"/>
        <v>21530.468820267768</v>
      </c>
    </row>
    <row r="218" spans="1:43" s="16" customFormat="1" outlineLevel="4" collapsed="1">
      <c r="A218" s="53"/>
      <c r="B218" s="53"/>
      <c r="C218" s="53"/>
      <c r="D218" s="53"/>
      <c r="E218" s="53" t="s">
        <v>465</v>
      </c>
      <c r="F218" s="53"/>
      <c r="G218" s="53"/>
      <c r="H218" s="53">
        <f t="shared" ref="H218:AQ218" si="216">((H219*H220)*H221)</f>
        <v>95804.359673312618</v>
      </c>
      <c r="I218" s="53">
        <f t="shared" si="216"/>
        <v>123961.47674441146</v>
      </c>
      <c r="J218" s="53">
        <f t="shared" si="216"/>
        <v>153360.47261272935</v>
      </c>
      <c r="K218" s="53">
        <f t="shared" si="216"/>
        <v>184043.56497578541</v>
      </c>
      <c r="L218" s="53">
        <f t="shared" si="216"/>
        <v>216054.25738867486</v>
      </c>
      <c r="M218" s="53">
        <f t="shared" si="216"/>
        <v>249437.37612454413</v>
      </c>
      <c r="N218" s="53">
        <f t="shared" si="216"/>
        <v>284239.10805204738</v>
      </c>
      <c r="O218" s="53">
        <f t="shared" si="216"/>
        <v>320507.03955711774</v>
      </c>
      <c r="P218" s="53">
        <f t="shared" si="216"/>
        <v>358290.19653710979</v>
      </c>
      <c r="Q218" s="53">
        <f t="shared" si="216"/>
        <v>397639.08549610357</v>
      </c>
      <c r="R218" s="53">
        <f t="shared" si="216"/>
        <v>438605.73577092437</v>
      </c>
      <c r="S218" s="53">
        <f t="shared" si="216"/>
        <v>481243.7429182101</v>
      </c>
      <c r="T218" s="53">
        <f t="shared" si="216"/>
        <v>525608.31329365401</v>
      </c>
      <c r="U218" s="53">
        <f t="shared" si="216"/>
        <v>571756.30985537567</v>
      </c>
      <c r="V218" s="53">
        <f t="shared" si="216"/>
        <v>619746.29922420613</v>
      </c>
      <c r="W218" s="53">
        <f t="shared" si="216"/>
        <v>669638.60003454203</v>
      </c>
      <c r="X218" s="53">
        <f t="shared" si="216"/>
        <v>721495.33261030738</v>
      </c>
      <c r="Y218" s="53">
        <f t="shared" si="216"/>
        <v>775380.47000146809</v>
      </c>
      <c r="Z218" s="53">
        <f t="shared" si="216"/>
        <v>831359.89041747467</v>
      </c>
      <c r="AA218" s="53">
        <f t="shared" si="216"/>
        <v>889501.43109496904</v>
      </c>
      <c r="AB218" s="53">
        <f t="shared" si="216"/>
        <v>949874.94363806793</v>
      </c>
      <c r="AC218" s="53">
        <f t="shared" si="216"/>
        <v>1012552.3508705394</v>
      </c>
      <c r="AD218" s="53">
        <f t="shared" si="216"/>
        <v>1077607.7052402266</v>
      </c>
      <c r="AE218" s="53">
        <f t="shared" si="216"/>
        <v>1145117.2488171281</v>
      </c>
      <c r="AF218" s="53">
        <f t="shared" si="216"/>
        <v>1215159.4749276317</v>
      </c>
      <c r="AG218" s="53">
        <f t="shared" si="216"/>
        <v>1287815.1914685054</v>
      </c>
      <c r="AH218" s="53">
        <f t="shared" si="216"/>
        <v>1363167.58594541</v>
      </c>
      <c r="AI218" s="53">
        <f t="shared" si="216"/>
        <v>1441302.2922818454</v>
      </c>
      <c r="AJ218" s="53">
        <f t="shared" si="216"/>
        <v>1522307.4594456719</v>
      </c>
      <c r="AK218" s="53">
        <f t="shared" si="216"/>
        <v>1606273.8219415573</v>
      </c>
      <c r="AL218" s="53">
        <f t="shared" si="216"/>
        <v>1693294.7722189899</v>
      </c>
      <c r="AM218" s="53">
        <f t="shared" si="216"/>
        <v>1783466.4350467776</v>
      </c>
      <c r="AN218" s="53">
        <f t="shared" si="216"/>
        <v>1876887.7439062854</v>
      </c>
      <c r="AO218" s="53">
        <f t="shared" si="216"/>
        <v>1973660.5194570622</v>
      </c>
      <c r="AP218" s="53">
        <f t="shared" si="216"/>
        <v>2073889.5501298504</v>
      </c>
      <c r="AQ218" s="53">
        <f t="shared" si="216"/>
        <v>2177682.6749034747</v>
      </c>
    </row>
    <row r="219" spans="1:43" s="16" customFormat="1" hidden="1" outlineLevel="5">
      <c r="A219" s="53"/>
      <c r="B219" s="53"/>
      <c r="C219" s="53"/>
      <c r="D219" s="53"/>
      <c r="E219" s="53"/>
      <c r="F219" s="53" t="s">
        <v>337</v>
      </c>
      <c r="G219" s="53"/>
      <c r="H219" s="53">
        <f t="shared" ref="H219:AQ219" si="217">H21</f>
        <v>121.46545545674272</v>
      </c>
      <c r="I219" s="53">
        <f t="shared" si="217"/>
        <v>156.71451487050922</v>
      </c>
      <c r="J219" s="53">
        <f t="shared" si="217"/>
        <v>193.326278259807</v>
      </c>
      <c r="K219" s="53">
        <f t="shared" si="217"/>
        <v>231.34124052319564</v>
      </c>
      <c r="L219" s="53">
        <f t="shared" si="217"/>
        <v>270.80097422930589</v>
      </c>
      <c r="M219" s="53">
        <f t="shared" si="217"/>
        <v>311.74815661005806</v>
      </c>
      <c r="N219" s="53">
        <f t="shared" si="217"/>
        <v>354.22659720474843</v>
      </c>
      <c r="O219" s="53">
        <f t="shared" si="217"/>
        <v>398.28126617029511</v>
      </c>
      <c r="P219" s="53">
        <f t="shared" si="217"/>
        <v>443.95832327329242</v>
      </c>
      <c r="Q219" s="53">
        <f t="shared" si="217"/>
        <v>491.30514757987481</v>
      </c>
      <c r="R219" s="53">
        <f t="shared" si="217"/>
        <v>540.37036785976591</v>
      </c>
      <c r="S219" s="53">
        <f t="shared" si="217"/>
        <v>591.20389372126772</v>
      </c>
      <c r="T219" s="53">
        <f t="shared" si="217"/>
        <v>643.85694749432275</v>
      </c>
      <c r="U219" s="53">
        <f t="shared" si="217"/>
        <v>698.38209687918709</v>
      </c>
      <c r="V219" s="53">
        <f t="shared" si="217"/>
        <v>754.83328837864451</v>
      </c>
      <c r="W219" s="53">
        <f t="shared" si="217"/>
        <v>813.26588153211367</v>
      </c>
      <c r="X219" s="53">
        <f t="shared" si="217"/>
        <v>873.73668397041752</v>
      </c>
      <c r="Y219" s="53">
        <f t="shared" si="217"/>
        <v>936.30398731042158</v>
      </c>
      <c r="Z219" s="53">
        <f t="shared" si="217"/>
        <v>1001.0276039091775</v>
      </c>
      <c r="AA219" s="53">
        <f t="shared" si="217"/>
        <v>1067.9689044976735</v>
      </c>
      <c r="AB219" s="53">
        <f t="shared" si="217"/>
        <v>1137.1908567147477</v>
      </c>
      <c r="AC219" s="53">
        <f t="shared" si="217"/>
        <v>1208.7580645621922</v>
      </c>
      <c r="AD219" s="53">
        <f t="shared" si="217"/>
        <v>1282.7368088025598</v>
      </c>
      <c r="AE219" s="53">
        <f t="shared" si="217"/>
        <v>1359.1950883216809</v>
      </c>
      <c r="AF219" s="53">
        <f t="shared" si="217"/>
        <v>1438.2026624784089</v>
      </c>
      <c r="AG219" s="53">
        <f t="shared" si="217"/>
        <v>1519.8310944646023</v>
      </c>
      <c r="AH219" s="53">
        <f t="shared" si="217"/>
        <v>1604.153795698925</v>
      </c>
      <c r="AI219" s="53">
        <f t="shared" si="217"/>
        <v>1691.2460712785389</v>
      </c>
      <c r="AJ219" s="53">
        <f t="shared" si="217"/>
        <v>1781.1851665133545</v>
      </c>
      <c r="AK219" s="53">
        <f t="shared" si="217"/>
        <v>1874.0503145680382</v>
      </c>
      <c r="AL219" s="53">
        <f t="shared" si="217"/>
        <v>1969.9227852375814</v>
      </c>
      <c r="AM219" s="53">
        <f t="shared" si="217"/>
        <v>2068.8859348828078</v>
      </c>
      <c r="AN219" s="53">
        <f t="shared" si="217"/>
        <v>2171.0252575527934</v>
      </c>
      <c r="AO219" s="53">
        <f t="shared" si="217"/>
        <v>2276.4284373218352</v>
      </c>
      <c r="AP219" s="53">
        <f t="shared" si="217"/>
        <v>2385.185401869162</v>
      </c>
      <c r="AQ219" s="53">
        <f t="shared" si="217"/>
        <v>2497.388377330305</v>
      </c>
    </row>
    <row r="220" spans="1:43" s="16" customFormat="1" hidden="1" outlineLevel="5">
      <c r="A220" s="53"/>
      <c r="B220" s="53"/>
      <c r="C220" s="53"/>
      <c r="D220" s="53"/>
      <c r="E220" s="53"/>
      <c r="F220" s="53" t="s">
        <v>466</v>
      </c>
      <c r="G220" s="53"/>
      <c r="H220" s="53">
        <f t="shared" ref="H220:AQ220" si="218">western_public_wastage_rate_positive*(1+western_public_wastage_rate_positive_growth)^((COLUMN()-8)/12)</f>
        <v>4.0500000000000001E-2</v>
      </c>
      <c r="I220" s="53">
        <f t="shared" si="218"/>
        <v>4.0500000000000001E-2</v>
      </c>
      <c r="J220" s="53">
        <f t="shared" si="218"/>
        <v>4.0500000000000001E-2</v>
      </c>
      <c r="K220" s="53">
        <f t="shared" si="218"/>
        <v>4.0500000000000001E-2</v>
      </c>
      <c r="L220" s="53">
        <f t="shared" si="218"/>
        <v>4.0500000000000001E-2</v>
      </c>
      <c r="M220" s="53">
        <f t="shared" si="218"/>
        <v>4.0500000000000001E-2</v>
      </c>
      <c r="N220" s="53">
        <f t="shared" si="218"/>
        <v>4.0500000000000001E-2</v>
      </c>
      <c r="O220" s="53">
        <f t="shared" si="218"/>
        <v>4.0500000000000001E-2</v>
      </c>
      <c r="P220" s="53">
        <f t="shared" si="218"/>
        <v>4.0500000000000001E-2</v>
      </c>
      <c r="Q220" s="53">
        <f t="shared" si="218"/>
        <v>4.0500000000000001E-2</v>
      </c>
      <c r="R220" s="53">
        <f t="shared" si="218"/>
        <v>4.0500000000000001E-2</v>
      </c>
      <c r="S220" s="53">
        <f t="shared" si="218"/>
        <v>4.0500000000000001E-2</v>
      </c>
      <c r="T220" s="53">
        <f t="shared" si="218"/>
        <v>4.0500000000000001E-2</v>
      </c>
      <c r="U220" s="53">
        <f t="shared" si="218"/>
        <v>4.0500000000000001E-2</v>
      </c>
      <c r="V220" s="53">
        <f t="shared" si="218"/>
        <v>4.0500000000000001E-2</v>
      </c>
      <c r="W220" s="53">
        <f t="shared" si="218"/>
        <v>4.0500000000000001E-2</v>
      </c>
      <c r="X220" s="53">
        <f t="shared" si="218"/>
        <v>4.0500000000000001E-2</v>
      </c>
      <c r="Y220" s="53">
        <f t="shared" si="218"/>
        <v>4.0500000000000001E-2</v>
      </c>
      <c r="Z220" s="53">
        <f t="shared" si="218"/>
        <v>4.0500000000000001E-2</v>
      </c>
      <c r="AA220" s="53">
        <f t="shared" si="218"/>
        <v>4.0500000000000001E-2</v>
      </c>
      <c r="AB220" s="53">
        <f t="shared" si="218"/>
        <v>4.0500000000000001E-2</v>
      </c>
      <c r="AC220" s="53">
        <f t="shared" si="218"/>
        <v>4.0500000000000001E-2</v>
      </c>
      <c r="AD220" s="53">
        <f t="shared" si="218"/>
        <v>4.0500000000000001E-2</v>
      </c>
      <c r="AE220" s="53">
        <f t="shared" si="218"/>
        <v>4.0500000000000001E-2</v>
      </c>
      <c r="AF220" s="53">
        <f t="shared" si="218"/>
        <v>4.0500000000000001E-2</v>
      </c>
      <c r="AG220" s="53">
        <f t="shared" si="218"/>
        <v>4.0500000000000001E-2</v>
      </c>
      <c r="AH220" s="53">
        <f t="shared" si="218"/>
        <v>4.0500000000000001E-2</v>
      </c>
      <c r="AI220" s="53">
        <f t="shared" si="218"/>
        <v>4.0500000000000001E-2</v>
      </c>
      <c r="AJ220" s="53">
        <f t="shared" si="218"/>
        <v>4.0500000000000001E-2</v>
      </c>
      <c r="AK220" s="53">
        <f t="shared" si="218"/>
        <v>4.0500000000000001E-2</v>
      </c>
      <c r="AL220" s="53">
        <f t="shared" si="218"/>
        <v>4.0500000000000001E-2</v>
      </c>
      <c r="AM220" s="53">
        <f t="shared" si="218"/>
        <v>4.0500000000000001E-2</v>
      </c>
      <c r="AN220" s="53">
        <f t="shared" si="218"/>
        <v>4.0500000000000001E-2</v>
      </c>
      <c r="AO220" s="53">
        <f t="shared" si="218"/>
        <v>4.0500000000000001E-2</v>
      </c>
      <c r="AP220" s="53">
        <f t="shared" si="218"/>
        <v>4.0500000000000001E-2</v>
      </c>
      <c r="AQ220" s="53">
        <f t="shared" si="218"/>
        <v>4.0500000000000001E-2</v>
      </c>
    </row>
    <row r="221" spans="1:43" s="16" customFormat="1" hidden="1" outlineLevel="5">
      <c r="A221" s="53"/>
      <c r="B221" s="53"/>
      <c r="C221" s="53"/>
      <c r="D221" s="53"/>
      <c r="E221" s="53"/>
      <c r="F221" s="53" t="s">
        <v>416</v>
      </c>
      <c r="G221" s="53"/>
      <c r="H221" s="53">
        <f t="shared" ref="H221:AQ221" si="219">H115</f>
        <v>19475</v>
      </c>
      <c r="I221" s="53">
        <f t="shared" si="219"/>
        <v>19530.910752554017</v>
      </c>
      <c r="J221" s="53">
        <f t="shared" si="219"/>
        <v>19586.982019215924</v>
      </c>
      <c r="K221" s="53">
        <f t="shared" si="219"/>
        <v>19643.214260805467</v>
      </c>
      <c r="L221" s="53">
        <f t="shared" si="219"/>
        <v>19699.607939465361</v>
      </c>
      <c r="M221" s="53">
        <f t="shared" si="219"/>
        <v>19756.163518665086</v>
      </c>
      <c r="N221" s="53">
        <f t="shared" si="219"/>
        <v>19812.881463204689</v>
      </c>
      <c r="O221" s="53">
        <f t="shared" si="219"/>
        <v>19869.76223921862</v>
      </c>
      <c r="P221" s="53">
        <f t="shared" si="219"/>
        <v>19926.80631417955</v>
      </c>
      <c r="Q221" s="53">
        <f t="shared" si="219"/>
        <v>19984.014156902216</v>
      </c>
      <c r="R221" s="53">
        <f t="shared" si="219"/>
        <v>20041.386237547275</v>
      </c>
      <c r="S221" s="53">
        <f t="shared" si="219"/>
        <v>20098.923027625169</v>
      </c>
      <c r="T221" s="53">
        <f t="shared" si="219"/>
        <v>20156.625</v>
      </c>
      <c r="U221" s="53">
        <f t="shared" si="219"/>
        <v>20214.492628893408</v>
      </c>
      <c r="V221" s="53">
        <f t="shared" si="219"/>
        <v>20272.52638988848</v>
      </c>
      <c r="W221" s="53">
        <f t="shared" si="219"/>
        <v>20330.726759933656</v>
      </c>
      <c r="X221" s="53">
        <f t="shared" si="219"/>
        <v>20389.094217346646</v>
      </c>
      <c r="Y221" s="53">
        <f t="shared" si="219"/>
        <v>20447.629241818362</v>
      </c>
      <c r="Z221" s="53">
        <f t="shared" si="219"/>
        <v>20506.332314416853</v>
      </c>
      <c r="AA221" s="53">
        <f t="shared" si="219"/>
        <v>20565.203917591269</v>
      </c>
      <c r="AB221" s="53">
        <f t="shared" si="219"/>
        <v>20624.244535175832</v>
      </c>
      <c r="AC221" s="53">
        <f t="shared" si="219"/>
        <v>20683.454652393793</v>
      </c>
      <c r="AD221" s="53">
        <f t="shared" si="219"/>
        <v>20742.834755861426</v>
      </c>
      <c r="AE221" s="53">
        <f t="shared" si="219"/>
        <v>20802.38533359205</v>
      </c>
      <c r="AF221" s="53">
        <f t="shared" si="219"/>
        <v>20862.106874999998</v>
      </c>
      <c r="AG221" s="53">
        <f t="shared" si="219"/>
        <v>20921.999870904674</v>
      </c>
      <c r="AH221" s="53">
        <f t="shared" si="219"/>
        <v>20982.064813534573</v>
      </c>
      <c r="AI221" s="53">
        <f t="shared" si="219"/>
        <v>21042.302196531335</v>
      </c>
      <c r="AJ221" s="53">
        <f t="shared" si="219"/>
        <v>21102.712514953782</v>
      </c>
      <c r="AK221" s="53">
        <f t="shared" si="219"/>
        <v>21163.296265282002</v>
      </c>
      <c r="AL221" s="53">
        <f t="shared" si="219"/>
        <v>21224.053945421438</v>
      </c>
      <c r="AM221" s="53">
        <f t="shared" si="219"/>
        <v>21284.986054706962</v>
      </c>
      <c r="AN221" s="53">
        <f t="shared" si="219"/>
        <v>21346.093093906984</v>
      </c>
      <c r="AO221" s="53">
        <f t="shared" si="219"/>
        <v>21407.375565227576</v>
      </c>
      <c r="AP221" s="53">
        <f t="shared" si="219"/>
        <v>21468.833972316577</v>
      </c>
      <c r="AQ221" s="53">
        <f t="shared" si="219"/>
        <v>21530.468820267768</v>
      </c>
    </row>
    <row r="222" spans="1:43" s="16" customFormat="1" outlineLevel="4" collapsed="1">
      <c r="A222" s="53"/>
      <c r="B222" s="53"/>
      <c r="C222" s="53"/>
      <c r="D222" s="53"/>
      <c r="E222" s="53" t="s">
        <v>467</v>
      </c>
      <c r="F222" s="53"/>
      <c r="G222" s="53"/>
      <c r="H222" s="53">
        <f t="shared" ref="H222:AQ222" si="220">((H223*H224)*H225)</f>
        <v>73793.30424923914</v>
      </c>
      <c r="I222" s="53">
        <f t="shared" si="220"/>
        <v>90378.843118071803</v>
      </c>
      <c r="J222" s="53">
        <f t="shared" si="220"/>
        <v>107689.21117638897</v>
      </c>
      <c r="K222" s="53">
        <f t="shared" si="220"/>
        <v>125749.01945024423</v>
      </c>
      <c r="L222" s="53">
        <f t="shared" si="220"/>
        <v>144583.62913338406</v>
      </c>
      <c r="M222" s="53">
        <f t="shared" si="220"/>
        <v>164219.17312253237</v>
      </c>
      <c r="N222" s="53">
        <f t="shared" si="220"/>
        <v>184682.57814783545</v>
      </c>
      <c r="O222" s="53">
        <f t="shared" si="220"/>
        <v>206001.58751448843</v>
      </c>
      <c r="P222" s="53">
        <f t="shared" si="220"/>
        <v>228204.78447199415</v>
      </c>
      <c r="Q222" s="53">
        <f t="shared" si="220"/>
        <v>251321.61622793291</v>
      </c>
      <c r="R222" s="53">
        <f t="shared" si="220"/>
        <v>275382.41862357216</v>
      </c>
      <c r="S222" s="53">
        <f t="shared" si="220"/>
        <v>300418.44148910011</v>
      </c>
      <c r="T222" s="53">
        <f t="shared" si="220"/>
        <v>326461.87469673675</v>
      </c>
      <c r="U222" s="53">
        <f t="shared" si="220"/>
        <v>353545.87493045907</v>
      </c>
      <c r="V222" s="53">
        <f t="shared" si="220"/>
        <v>381704.59319156478</v>
      </c>
      <c r="W222" s="53">
        <f t="shared" si="220"/>
        <v>410973.20305981761</v>
      </c>
      <c r="X222" s="53">
        <f t="shared" si="220"/>
        <v>441387.92973042099</v>
      </c>
      <c r="Y222" s="53">
        <f t="shared" si="220"/>
        <v>472986.0798476176</v>
      </c>
      <c r="Z222" s="53">
        <f t="shared" si="220"/>
        <v>505806.07215624477</v>
      </c>
      <c r="AA222" s="53">
        <f t="shared" si="220"/>
        <v>539887.46899314516</v>
      </c>
      <c r="AB222" s="53">
        <f t="shared" si="220"/>
        <v>575271.0086409091</v>
      </c>
      <c r="AC222" s="53">
        <f t="shared" si="220"/>
        <v>611998.63856700994</v>
      </c>
      <c r="AD222" s="53">
        <f t="shared" si="220"/>
        <v>650113.54957200424</v>
      </c>
      <c r="AE222" s="53">
        <f t="shared" si="220"/>
        <v>689660.210871091</v>
      </c>
      <c r="AF222" s="53">
        <f t="shared" si="220"/>
        <v>730684.40613396175</v>
      </c>
      <c r="AG222" s="53">
        <f t="shared" si="220"/>
        <v>773233.27050852543</v>
      </c>
      <c r="AH222" s="53">
        <f t="shared" si="220"/>
        <v>817355.32865476806</v>
      </c>
      <c r="AI222" s="53">
        <f t="shared" si="220"/>
        <v>863100.53381569393</v>
      </c>
      <c r="AJ222" s="53">
        <f t="shared" si="220"/>
        <v>910520.30795299937</v>
      </c>
      <c r="AK222" s="53">
        <f t="shared" si="220"/>
        <v>959667.58297586336</v>
      </c>
      <c r="AL222" s="53">
        <f t="shared" si="220"/>
        <v>1010596.8430919772</v>
      </c>
      <c r="AM222" s="53">
        <f t="shared" si="220"/>
        <v>1063364.1683106984</v>
      </c>
      <c r="AN222" s="53">
        <f t="shared" si="220"/>
        <v>1118027.2791289908</v>
      </c>
      <c r="AO222" s="53">
        <f t="shared" si="220"/>
        <v>1174645.5824316503</v>
      </c>
      <c r="AP222" s="53">
        <f t="shared" si="220"/>
        <v>1233280.2186380804</v>
      </c>
      <c r="AQ222" s="53">
        <f t="shared" si="220"/>
        <v>1293994.1101287829</v>
      </c>
    </row>
    <row r="223" spans="1:43" s="16" customFormat="1" hidden="1" outlineLevel="5">
      <c r="A223" s="53"/>
      <c r="B223" s="53"/>
      <c r="C223" s="53"/>
      <c r="D223" s="53"/>
      <c r="E223" s="53"/>
      <c r="F223" s="53" t="s">
        <v>350</v>
      </c>
      <c r="G223" s="53"/>
      <c r="H223" s="53">
        <f t="shared" ref="H223:AQ223" si="221">H36</f>
        <v>76.548078213964175</v>
      </c>
      <c r="I223" s="53">
        <f t="shared" si="221"/>
        <v>93.484386756912514</v>
      </c>
      <c r="J223" s="53">
        <f t="shared" si="221"/>
        <v>111.07069060413205</v>
      </c>
      <c r="K223" s="53">
        <f t="shared" si="221"/>
        <v>129.32630055290642</v>
      </c>
      <c r="L223" s="53">
        <f t="shared" si="221"/>
        <v>148.27104202325017</v>
      </c>
      <c r="M223" s="53">
        <f t="shared" si="221"/>
        <v>167.92526797250449</v>
      </c>
      <c r="N223" s="53">
        <f t="shared" si="221"/>
        <v>188.30987212196604</v>
      </c>
      <c r="O223" s="53">
        <f t="shared" si="221"/>
        <v>209.44630250289219</v>
      </c>
      <c r="P223" s="53">
        <f t="shared" si="221"/>
        <v>231.35657532940238</v>
      </c>
      <c r="Q223" s="53">
        <f t="shared" si="221"/>
        <v>254.0632892059611</v>
      </c>
      <c r="R223" s="53">
        <f t="shared" si="221"/>
        <v>277.58963967731205</v>
      </c>
      <c r="S223" s="53">
        <f t="shared" si="221"/>
        <v>301.95943412891046</v>
      </c>
      <c r="T223" s="53">
        <f t="shared" si="221"/>
        <v>327.19710704608849</v>
      </c>
      <c r="U223" s="53">
        <f t="shared" si="221"/>
        <v>353.32773564037905</v>
      </c>
      <c r="V223" s="53">
        <f t="shared" si="221"/>
        <v>380.37705585161228</v>
      </c>
      <c r="W223" s="53">
        <f t="shared" si="221"/>
        <v>408.37147873460862</v>
      </c>
      <c r="X223" s="53">
        <f t="shared" si="221"/>
        <v>437.33810723948142</v>
      </c>
      <c r="Y223" s="53">
        <f t="shared" si="221"/>
        <v>467.30475339478437</v>
      </c>
      <c r="Z223" s="53">
        <f t="shared" si="221"/>
        <v>498.29995590293959</v>
      </c>
      <c r="AA223" s="53">
        <f t="shared" si="221"/>
        <v>530.35299815760595</v>
      </c>
      <c r="AB223" s="53">
        <f t="shared" si="221"/>
        <v>563.49392669286942</v>
      </c>
      <c r="AC223" s="53">
        <f t="shared" si="221"/>
        <v>597.75357007436355</v>
      </c>
      <c r="AD223" s="53">
        <f t="shared" si="221"/>
        <v>633.1635582426577</v>
      </c>
      <c r="AE223" s="53">
        <f t="shared" si="221"/>
        <v>669.75634231949368</v>
      </c>
      <c r="AF223" s="53">
        <f t="shared" si="221"/>
        <v>707.56521488769476</v>
      </c>
      <c r="AG223" s="53">
        <f t="shared" si="221"/>
        <v>746.6243307558118</v>
      </c>
      <c r="AH223" s="53">
        <f t="shared" si="221"/>
        <v>786.96872821883574</v>
      </c>
      <c r="AI223" s="53">
        <f t="shared" si="221"/>
        <v>828.63435082656133</v>
      </c>
      <c r="AJ223" s="53">
        <f t="shared" si="221"/>
        <v>871.6580696714492</v>
      </c>
      <c r="AK223" s="53">
        <f t="shared" si="221"/>
        <v>916.07770620811436</v>
      </c>
      <c r="AL223" s="53">
        <f t="shared" si="221"/>
        <v>961.93205561684078</v>
      </c>
      <c r="AM223" s="53">
        <f t="shared" si="221"/>
        <v>1009.2609107238098</v>
      </c>
      <c r="AN223" s="53">
        <f t="shared" si="221"/>
        <v>1058.1050864910076</v>
      </c>
      <c r="AO223" s="53">
        <f t="shared" si="221"/>
        <v>1108.5064450891141</v>
      </c>
      <c r="AP223" s="53">
        <f t="shared" si="221"/>
        <v>1160.5079215669198</v>
      </c>
      <c r="AQ223" s="53">
        <f t="shared" si="221"/>
        <v>1214.1535501311816</v>
      </c>
    </row>
    <row r="224" spans="1:43" s="16" customFormat="1" hidden="1" outlineLevel="5">
      <c r="A224" s="53"/>
      <c r="B224" s="53"/>
      <c r="C224" s="53"/>
      <c r="D224" s="53"/>
      <c r="E224" s="53"/>
      <c r="F224" s="53" t="s">
        <v>468</v>
      </c>
      <c r="G224" s="53"/>
      <c r="H224" s="53">
        <f t="shared" ref="H224:AQ224" si="222">eastern_public_wastage_rate_positive*(1+eastern_public_wastage_rate_positive_growth)^((COLUMN()-8)/12)</f>
        <v>4.9500000000000002E-2</v>
      </c>
      <c r="I224" s="53">
        <f t="shared" si="222"/>
        <v>4.9500000000000002E-2</v>
      </c>
      <c r="J224" s="53">
        <f t="shared" si="222"/>
        <v>4.9500000000000002E-2</v>
      </c>
      <c r="K224" s="53">
        <f t="shared" si="222"/>
        <v>4.9500000000000002E-2</v>
      </c>
      <c r="L224" s="53">
        <f t="shared" si="222"/>
        <v>4.9500000000000002E-2</v>
      </c>
      <c r="M224" s="53">
        <f t="shared" si="222"/>
        <v>4.9500000000000002E-2</v>
      </c>
      <c r="N224" s="53">
        <f t="shared" si="222"/>
        <v>4.9500000000000002E-2</v>
      </c>
      <c r="O224" s="53">
        <f t="shared" si="222"/>
        <v>4.9500000000000002E-2</v>
      </c>
      <c r="P224" s="53">
        <f t="shared" si="222"/>
        <v>4.9500000000000002E-2</v>
      </c>
      <c r="Q224" s="53">
        <f t="shared" si="222"/>
        <v>4.9500000000000002E-2</v>
      </c>
      <c r="R224" s="53">
        <f t="shared" si="222"/>
        <v>4.9500000000000002E-2</v>
      </c>
      <c r="S224" s="53">
        <f t="shared" si="222"/>
        <v>4.9500000000000002E-2</v>
      </c>
      <c r="T224" s="53">
        <f t="shared" si="222"/>
        <v>4.9500000000000002E-2</v>
      </c>
      <c r="U224" s="53">
        <f t="shared" si="222"/>
        <v>4.9500000000000002E-2</v>
      </c>
      <c r="V224" s="53">
        <f t="shared" si="222"/>
        <v>4.9500000000000002E-2</v>
      </c>
      <c r="W224" s="53">
        <f t="shared" si="222"/>
        <v>4.9500000000000002E-2</v>
      </c>
      <c r="X224" s="53">
        <f t="shared" si="222"/>
        <v>4.9500000000000002E-2</v>
      </c>
      <c r="Y224" s="53">
        <f t="shared" si="222"/>
        <v>4.9500000000000002E-2</v>
      </c>
      <c r="Z224" s="53">
        <f t="shared" si="222"/>
        <v>4.9500000000000002E-2</v>
      </c>
      <c r="AA224" s="53">
        <f t="shared" si="222"/>
        <v>4.9500000000000002E-2</v>
      </c>
      <c r="AB224" s="53">
        <f t="shared" si="222"/>
        <v>4.9500000000000002E-2</v>
      </c>
      <c r="AC224" s="53">
        <f t="shared" si="222"/>
        <v>4.9500000000000002E-2</v>
      </c>
      <c r="AD224" s="53">
        <f t="shared" si="222"/>
        <v>4.9500000000000002E-2</v>
      </c>
      <c r="AE224" s="53">
        <f t="shared" si="222"/>
        <v>4.9500000000000002E-2</v>
      </c>
      <c r="AF224" s="53">
        <f t="shared" si="222"/>
        <v>4.9500000000000002E-2</v>
      </c>
      <c r="AG224" s="53">
        <f t="shared" si="222"/>
        <v>4.9500000000000002E-2</v>
      </c>
      <c r="AH224" s="53">
        <f t="shared" si="222"/>
        <v>4.9500000000000002E-2</v>
      </c>
      <c r="AI224" s="53">
        <f t="shared" si="222"/>
        <v>4.9500000000000002E-2</v>
      </c>
      <c r="AJ224" s="53">
        <f t="shared" si="222"/>
        <v>4.9500000000000002E-2</v>
      </c>
      <c r="AK224" s="53">
        <f t="shared" si="222"/>
        <v>4.9500000000000002E-2</v>
      </c>
      <c r="AL224" s="53">
        <f t="shared" si="222"/>
        <v>4.9500000000000002E-2</v>
      </c>
      <c r="AM224" s="53">
        <f t="shared" si="222"/>
        <v>4.9500000000000002E-2</v>
      </c>
      <c r="AN224" s="53">
        <f t="shared" si="222"/>
        <v>4.9500000000000002E-2</v>
      </c>
      <c r="AO224" s="53">
        <f t="shared" si="222"/>
        <v>4.9500000000000002E-2</v>
      </c>
      <c r="AP224" s="53">
        <f t="shared" si="222"/>
        <v>4.9500000000000002E-2</v>
      </c>
      <c r="AQ224" s="53">
        <f t="shared" si="222"/>
        <v>4.9500000000000002E-2</v>
      </c>
    </row>
    <row r="225" spans="1:43" s="16" customFormat="1" hidden="1" outlineLevel="5">
      <c r="A225" s="53"/>
      <c r="B225" s="53"/>
      <c r="C225" s="53"/>
      <c r="D225" s="53"/>
      <c r="E225" s="53"/>
      <c r="F225" s="53" t="s">
        <v>416</v>
      </c>
      <c r="G225" s="53"/>
      <c r="H225" s="53">
        <f t="shared" ref="H225:AQ225" si="223">H115</f>
        <v>19475</v>
      </c>
      <c r="I225" s="53">
        <f t="shared" si="223"/>
        <v>19530.910752554017</v>
      </c>
      <c r="J225" s="53">
        <f t="shared" si="223"/>
        <v>19586.982019215924</v>
      </c>
      <c r="K225" s="53">
        <f t="shared" si="223"/>
        <v>19643.214260805467</v>
      </c>
      <c r="L225" s="53">
        <f t="shared" si="223"/>
        <v>19699.607939465361</v>
      </c>
      <c r="M225" s="53">
        <f t="shared" si="223"/>
        <v>19756.163518665086</v>
      </c>
      <c r="N225" s="53">
        <f t="shared" si="223"/>
        <v>19812.881463204689</v>
      </c>
      <c r="O225" s="53">
        <f t="shared" si="223"/>
        <v>19869.76223921862</v>
      </c>
      <c r="P225" s="53">
        <f t="shared" si="223"/>
        <v>19926.80631417955</v>
      </c>
      <c r="Q225" s="53">
        <f t="shared" si="223"/>
        <v>19984.014156902216</v>
      </c>
      <c r="R225" s="53">
        <f t="shared" si="223"/>
        <v>20041.386237547275</v>
      </c>
      <c r="S225" s="53">
        <f t="shared" si="223"/>
        <v>20098.923027625169</v>
      </c>
      <c r="T225" s="53">
        <f t="shared" si="223"/>
        <v>20156.625</v>
      </c>
      <c r="U225" s="53">
        <f t="shared" si="223"/>
        <v>20214.492628893408</v>
      </c>
      <c r="V225" s="53">
        <f t="shared" si="223"/>
        <v>20272.52638988848</v>
      </c>
      <c r="W225" s="53">
        <f t="shared" si="223"/>
        <v>20330.726759933656</v>
      </c>
      <c r="X225" s="53">
        <f t="shared" si="223"/>
        <v>20389.094217346646</v>
      </c>
      <c r="Y225" s="53">
        <f t="shared" si="223"/>
        <v>20447.629241818362</v>
      </c>
      <c r="Z225" s="53">
        <f t="shared" si="223"/>
        <v>20506.332314416853</v>
      </c>
      <c r="AA225" s="53">
        <f t="shared" si="223"/>
        <v>20565.203917591269</v>
      </c>
      <c r="AB225" s="53">
        <f t="shared" si="223"/>
        <v>20624.244535175832</v>
      </c>
      <c r="AC225" s="53">
        <f t="shared" si="223"/>
        <v>20683.454652393793</v>
      </c>
      <c r="AD225" s="53">
        <f t="shared" si="223"/>
        <v>20742.834755861426</v>
      </c>
      <c r="AE225" s="53">
        <f t="shared" si="223"/>
        <v>20802.38533359205</v>
      </c>
      <c r="AF225" s="53">
        <f t="shared" si="223"/>
        <v>20862.106874999998</v>
      </c>
      <c r="AG225" s="53">
        <f t="shared" si="223"/>
        <v>20921.999870904674</v>
      </c>
      <c r="AH225" s="53">
        <f t="shared" si="223"/>
        <v>20982.064813534573</v>
      </c>
      <c r="AI225" s="53">
        <f t="shared" si="223"/>
        <v>21042.302196531335</v>
      </c>
      <c r="AJ225" s="53">
        <f t="shared" si="223"/>
        <v>21102.712514953782</v>
      </c>
      <c r="AK225" s="53">
        <f t="shared" si="223"/>
        <v>21163.296265282002</v>
      </c>
      <c r="AL225" s="53">
        <f t="shared" si="223"/>
        <v>21224.053945421438</v>
      </c>
      <c r="AM225" s="53">
        <f t="shared" si="223"/>
        <v>21284.986054706962</v>
      </c>
      <c r="AN225" s="53">
        <f t="shared" si="223"/>
        <v>21346.093093906984</v>
      </c>
      <c r="AO225" s="53">
        <f t="shared" si="223"/>
        <v>21407.375565227576</v>
      </c>
      <c r="AP225" s="53">
        <f t="shared" si="223"/>
        <v>21468.833972316577</v>
      </c>
      <c r="AQ225" s="53">
        <f t="shared" si="223"/>
        <v>21530.468820267768</v>
      </c>
    </row>
    <row r="226" spans="1:43" s="16" customFormat="1" outlineLevel="4" collapsed="1">
      <c r="A226" s="53"/>
      <c r="B226" s="53"/>
      <c r="C226" s="53"/>
      <c r="D226" s="53"/>
      <c r="E226" s="53" t="s">
        <v>469</v>
      </c>
      <c r="F226" s="53"/>
      <c r="G226" s="53"/>
      <c r="H226" s="53">
        <f t="shared" ref="H226:AQ226" si="224">((H227*H228)*H229)</f>
        <v>51659.825483678127</v>
      </c>
      <c r="I226" s="53">
        <f t="shared" si="224"/>
        <v>60591.681186699498</v>
      </c>
      <c r="J226" s="53">
        <f t="shared" si="224"/>
        <v>69909.293868305249</v>
      </c>
      <c r="K226" s="53">
        <f t="shared" si="224"/>
        <v>79625.741133327392</v>
      </c>
      <c r="L226" s="53">
        <f t="shared" si="224"/>
        <v>89754.499600208452</v>
      </c>
      <c r="M226" s="53">
        <f t="shared" si="224"/>
        <v>100309.45637704362</v>
      </c>
      <c r="N226" s="53">
        <f t="shared" si="224"/>
        <v>111304.92085547294</v>
      </c>
      <c r="O226" s="53">
        <f t="shared" si="224"/>
        <v>122755.63683099918</v>
      </c>
      <c r="P226" s="53">
        <f t="shared" si="224"/>
        <v>134676.79495853718</v>
      </c>
      <c r="Q226" s="53">
        <f t="shared" si="224"/>
        <v>147084.04555223059</v>
      </c>
      <c r="R226" s="53">
        <f t="shared" si="224"/>
        <v>159993.51173881281</v>
      </c>
      <c r="S226" s="53">
        <f t="shared" si="224"/>
        <v>173421.80297403311</v>
      </c>
      <c r="T226" s="53">
        <f t="shared" si="224"/>
        <v>187386.02893192187</v>
      </c>
      <c r="U226" s="53">
        <f t="shared" si="224"/>
        <v>201903.81377692692</v>
      </c>
      <c r="V226" s="53">
        <f t="shared" si="224"/>
        <v>216993.31082921557</v>
      </c>
      <c r="W226" s="53">
        <f t="shared" si="224"/>
        <v>232673.21763371368</v>
      </c>
      <c r="X226" s="53">
        <f t="shared" si="224"/>
        <v>248962.79144372654</v>
      </c>
      <c r="Y226" s="53">
        <f t="shared" si="224"/>
        <v>265881.86513027892</v>
      </c>
      <c r="Z226" s="53">
        <f t="shared" si="224"/>
        <v>283450.86352859688</v>
      </c>
      <c r="AA226" s="53">
        <f t="shared" si="224"/>
        <v>301690.82023346605</v>
      </c>
      <c r="AB226" s="53">
        <f t="shared" si="224"/>
        <v>320623.39485550008</v>
      </c>
      <c r="AC226" s="53">
        <f t="shared" si="224"/>
        <v>340270.89075067593</v>
      </c>
      <c r="AD226" s="53">
        <f t="shared" si="224"/>
        <v>360656.27323581959</v>
      </c>
      <c r="AE226" s="53">
        <f t="shared" si="224"/>
        <v>381803.18830305233</v>
      </c>
      <c r="AF226" s="53">
        <f t="shared" si="224"/>
        <v>403735.98184656014</v>
      </c>
      <c r="AG226" s="53">
        <f t="shared" si="224"/>
        <v>426479.71941539116</v>
      </c>
      <c r="AH226" s="53">
        <f t="shared" si="224"/>
        <v>450060.20650635444</v>
      </c>
      <c r="AI226" s="53">
        <f t="shared" si="224"/>
        <v>474504.00941145798</v>
      </c>
      <c r="AJ226" s="53">
        <f t="shared" si="224"/>
        <v>499838.47663470521</v>
      </c>
      <c r="AK226" s="53">
        <f t="shared" si="224"/>
        <v>526091.76089346188</v>
      </c>
      <c r="AL226" s="53">
        <f t="shared" si="224"/>
        <v>553292.84171999921</v>
      </c>
      <c r="AM226" s="53">
        <f t="shared" si="224"/>
        <v>581471.54867923458</v>
      </c>
      <c r="AN226" s="53">
        <f t="shared" si="224"/>
        <v>610658.58521910326</v>
      </c>
      <c r="AO226" s="53">
        <f t="shared" si="224"/>
        <v>640885.55317044479</v>
      </c>
      <c r="AP226" s="53">
        <f t="shared" si="224"/>
        <v>672184.97791370098</v>
      </c>
      <c r="AQ226" s="53">
        <f t="shared" si="224"/>
        <v>704590.33423020726</v>
      </c>
    </row>
    <row r="227" spans="1:43" s="16" customFormat="1" hidden="1" outlineLevel="5">
      <c r="A227" s="53"/>
      <c r="B227" s="53"/>
      <c r="C227" s="53"/>
      <c r="D227" s="53"/>
      <c r="E227" s="53"/>
      <c r="F227" s="53" t="s">
        <v>363</v>
      </c>
      <c r="G227" s="53"/>
      <c r="H227" s="53">
        <f t="shared" ref="H227:AQ227" si="225">H51</f>
        <v>42.105120919109247</v>
      </c>
      <c r="I227" s="53">
        <f t="shared" si="225"/>
        <v>49.243618458674753</v>
      </c>
      <c r="J227" s="53">
        <f t="shared" si="225"/>
        <v>56.6535125296123</v>
      </c>
      <c r="K227" s="53">
        <f t="shared" si="225"/>
        <v>64.342863450400102</v>
      </c>
      <c r="L227" s="53">
        <f t="shared" si="225"/>
        <v>72.319946732268335</v>
      </c>
      <c r="M227" s="53">
        <f t="shared" si="225"/>
        <v>80.593258492830671</v>
      </c>
      <c r="N227" s="53">
        <f t="shared" si="225"/>
        <v>89.171521000859514</v>
      </c>
      <c r="O227" s="53">
        <f t="shared" si="225"/>
        <v>98.063688355298936</v>
      </c>
      <c r="P227" s="53">
        <f t="shared" si="225"/>
        <v>107.27895230168403</v>
      </c>
      <c r="Q227" s="53">
        <f t="shared" si="225"/>
        <v>116.82674818920611</v>
      </c>
      <c r="R227" s="53">
        <f t="shared" si="225"/>
        <v>126.71676107173951</v>
      </c>
      <c r="S227" s="53">
        <f t="shared" si="225"/>
        <v>136.95893195622196</v>
      </c>
      <c r="T227" s="53">
        <f t="shared" si="225"/>
        <v>147.56346420185955</v>
      </c>
      <c r="U227" s="53">
        <f t="shared" si="225"/>
        <v>158.54083007370744</v>
      </c>
      <c r="V227" s="53">
        <f t="shared" si="225"/>
        <v>169.901777454258</v>
      </c>
      <c r="W227" s="53">
        <f t="shared" si="225"/>
        <v>181.65733671675517</v>
      </c>
      <c r="X227" s="53">
        <f t="shared" si="225"/>
        <v>193.81882776403594</v>
      </c>
      <c r="Y227" s="53">
        <f t="shared" si="225"/>
        <v>206.39786723679248</v>
      </c>
      <c r="Z227" s="53">
        <f t="shared" si="225"/>
        <v>219.40637589523135</v>
      </c>
      <c r="AA227" s="53">
        <f t="shared" si="225"/>
        <v>232.85658617820664</v>
      </c>
      <c r="AB227" s="53">
        <f t="shared" si="225"/>
        <v>246.76104994399003</v>
      </c>
      <c r="AC227" s="53">
        <f t="shared" si="225"/>
        <v>261.13264639694171</v>
      </c>
      <c r="AD227" s="53">
        <f t="shared" si="225"/>
        <v>275.98459020444398</v>
      </c>
      <c r="AE227" s="53">
        <f t="shared" si="225"/>
        <v>291.33043980855552</v>
      </c>
      <c r="AF227" s="53">
        <f t="shared" si="225"/>
        <v>307.18410593695597</v>
      </c>
      <c r="AG227" s="53">
        <f t="shared" si="225"/>
        <v>323.55986031784363</v>
      </c>
      <c r="AH227" s="53">
        <f t="shared" si="225"/>
        <v>340.47234460356907</v>
      </c>
      <c r="AI227" s="53">
        <f t="shared" si="225"/>
        <v>357.93657950788798</v>
      </c>
      <c r="AJ227" s="53">
        <f t="shared" si="225"/>
        <v>375.96797416183364</v>
      </c>
      <c r="AK227" s="53">
        <f t="shared" si="225"/>
        <v>394.58233569332475</v>
      </c>
      <c r="AL227" s="53">
        <f t="shared" si="225"/>
        <v>413.79587903573878</v>
      </c>
      <c r="AM227" s="53">
        <f t="shared" si="225"/>
        <v>433.6252369708061</v>
      </c>
      <c r="AN227" s="53">
        <f t="shared" si="225"/>
        <v>454.08747041129516</v>
      </c>
      <c r="AO227" s="53">
        <f t="shared" si="225"/>
        <v>475.20007892909979</v>
      </c>
      <c r="AP227" s="53">
        <f t="shared" si="225"/>
        <v>496.98101153444725</v>
      </c>
      <c r="AQ227" s="53">
        <f t="shared" si="225"/>
        <v>519.44867771209761</v>
      </c>
    </row>
    <row r="228" spans="1:43" s="16" customFormat="1" hidden="1" outlineLevel="5">
      <c r="A228" s="53"/>
      <c r="B228" s="53"/>
      <c r="C228" s="53"/>
      <c r="D228" s="53"/>
      <c r="E228" s="53"/>
      <c r="F228" s="53" t="s">
        <v>470</v>
      </c>
      <c r="G228" s="53"/>
      <c r="H228" s="53">
        <f t="shared" ref="H228:AQ228" si="226">northern_public_wastage_rate_positive*(1+northern_public_wastage_rate_positive_growth)^((COLUMN()-8)/12)</f>
        <v>6.3000000000000014E-2</v>
      </c>
      <c r="I228" s="53">
        <f t="shared" si="226"/>
        <v>6.3000000000000014E-2</v>
      </c>
      <c r="J228" s="53">
        <f t="shared" si="226"/>
        <v>6.3000000000000014E-2</v>
      </c>
      <c r="K228" s="53">
        <f t="shared" si="226"/>
        <v>6.3000000000000014E-2</v>
      </c>
      <c r="L228" s="53">
        <f t="shared" si="226"/>
        <v>6.3000000000000014E-2</v>
      </c>
      <c r="M228" s="53">
        <f t="shared" si="226"/>
        <v>6.3000000000000014E-2</v>
      </c>
      <c r="N228" s="53">
        <f t="shared" si="226"/>
        <v>6.3000000000000014E-2</v>
      </c>
      <c r="O228" s="53">
        <f t="shared" si="226"/>
        <v>6.3000000000000014E-2</v>
      </c>
      <c r="P228" s="53">
        <f t="shared" si="226"/>
        <v>6.3000000000000014E-2</v>
      </c>
      <c r="Q228" s="53">
        <f t="shared" si="226"/>
        <v>6.3000000000000014E-2</v>
      </c>
      <c r="R228" s="53">
        <f t="shared" si="226"/>
        <v>6.3000000000000014E-2</v>
      </c>
      <c r="S228" s="53">
        <f t="shared" si="226"/>
        <v>6.3000000000000014E-2</v>
      </c>
      <c r="T228" s="53">
        <f t="shared" si="226"/>
        <v>6.3000000000000014E-2</v>
      </c>
      <c r="U228" s="53">
        <f t="shared" si="226"/>
        <v>6.3000000000000014E-2</v>
      </c>
      <c r="V228" s="53">
        <f t="shared" si="226"/>
        <v>6.3000000000000014E-2</v>
      </c>
      <c r="W228" s="53">
        <f t="shared" si="226"/>
        <v>6.3000000000000014E-2</v>
      </c>
      <c r="X228" s="53">
        <f t="shared" si="226"/>
        <v>6.3000000000000014E-2</v>
      </c>
      <c r="Y228" s="53">
        <f t="shared" si="226"/>
        <v>6.3000000000000014E-2</v>
      </c>
      <c r="Z228" s="53">
        <f t="shared" si="226"/>
        <v>6.3000000000000014E-2</v>
      </c>
      <c r="AA228" s="53">
        <f t="shared" si="226"/>
        <v>6.3000000000000014E-2</v>
      </c>
      <c r="AB228" s="53">
        <f t="shared" si="226"/>
        <v>6.3000000000000014E-2</v>
      </c>
      <c r="AC228" s="53">
        <f t="shared" si="226"/>
        <v>6.3000000000000014E-2</v>
      </c>
      <c r="AD228" s="53">
        <f t="shared" si="226"/>
        <v>6.3000000000000014E-2</v>
      </c>
      <c r="AE228" s="53">
        <f t="shared" si="226"/>
        <v>6.3000000000000014E-2</v>
      </c>
      <c r="AF228" s="53">
        <f t="shared" si="226"/>
        <v>6.3000000000000014E-2</v>
      </c>
      <c r="AG228" s="53">
        <f t="shared" si="226"/>
        <v>6.3000000000000014E-2</v>
      </c>
      <c r="AH228" s="53">
        <f t="shared" si="226"/>
        <v>6.3000000000000014E-2</v>
      </c>
      <c r="AI228" s="53">
        <f t="shared" si="226"/>
        <v>6.3000000000000014E-2</v>
      </c>
      <c r="AJ228" s="53">
        <f t="shared" si="226"/>
        <v>6.3000000000000014E-2</v>
      </c>
      <c r="AK228" s="53">
        <f t="shared" si="226"/>
        <v>6.3000000000000014E-2</v>
      </c>
      <c r="AL228" s="53">
        <f t="shared" si="226"/>
        <v>6.3000000000000014E-2</v>
      </c>
      <c r="AM228" s="53">
        <f t="shared" si="226"/>
        <v>6.3000000000000014E-2</v>
      </c>
      <c r="AN228" s="53">
        <f t="shared" si="226"/>
        <v>6.3000000000000014E-2</v>
      </c>
      <c r="AO228" s="53">
        <f t="shared" si="226"/>
        <v>6.3000000000000014E-2</v>
      </c>
      <c r="AP228" s="53">
        <f t="shared" si="226"/>
        <v>6.3000000000000014E-2</v>
      </c>
      <c r="AQ228" s="53">
        <f t="shared" si="226"/>
        <v>6.3000000000000014E-2</v>
      </c>
    </row>
    <row r="229" spans="1:43" s="16" customFormat="1" hidden="1" outlineLevel="5">
      <c r="A229" s="53"/>
      <c r="B229" s="53"/>
      <c r="C229" s="53"/>
      <c r="D229" s="53"/>
      <c r="E229" s="53"/>
      <c r="F229" s="53" t="s">
        <v>416</v>
      </c>
      <c r="G229" s="53"/>
      <c r="H229" s="53">
        <f t="shared" ref="H229:AQ229" si="227">H115</f>
        <v>19475</v>
      </c>
      <c r="I229" s="53">
        <f t="shared" si="227"/>
        <v>19530.910752554017</v>
      </c>
      <c r="J229" s="53">
        <f t="shared" si="227"/>
        <v>19586.982019215924</v>
      </c>
      <c r="K229" s="53">
        <f t="shared" si="227"/>
        <v>19643.214260805467</v>
      </c>
      <c r="L229" s="53">
        <f t="shared" si="227"/>
        <v>19699.607939465361</v>
      </c>
      <c r="M229" s="53">
        <f t="shared" si="227"/>
        <v>19756.163518665086</v>
      </c>
      <c r="N229" s="53">
        <f t="shared" si="227"/>
        <v>19812.881463204689</v>
      </c>
      <c r="O229" s="53">
        <f t="shared" si="227"/>
        <v>19869.76223921862</v>
      </c>
      <c r="P229" s="53">
        <f t="shared" si="227"/>
        <v>19926.80631417955</v>
      </c>
      <c r="Q229" s="53">
        <f t="shared" si="227"/>
        <v>19984.014156902216</v>
      </c>
      <c r="R229" s="53">
        <f t="shared" si="227"/>
        <v>20041.386237547275</v>
      </c>
      <c r="S229" s="53">
        <f t="shared" si="227"/>
        <v>20098.923027625169</v>
      </c>
      <c r="T229" s="53">
        <f t="shared" si="227"/>
        <v>20156.625</v>
      </c>
      <c r="U229" s="53">
        <f t="shared" si="227"/>
        <v>20214.492628893408</v>
      </c>
      <c r="V229" s="53">
        <f t="shared" si="227"/>
        <v>20272.52638988848</v>
      </c>
      <c r="W229" s="53">
        <f t="shared" si="227"/>
        <v>20330.726759933656</v>
      </c>
      <c r="X229" s="53">
        <f t="shared" si="227"/>
        <v>20389.094217346646</v>
      </c>
      <c r="Y229" s="53">
        <f t="shared" si="227"/>
        <v>20447.629241818362</v>
      </c>
      <c r="Z229" s="53">
        <f t="shared" si="227"/>
        <v>20506.332314416853</v>
      </c>
      <c r="AA229" s="53">
        <f t="shared" si="227"/>
        <v>20565.203917591269</v>
      </c>
      <c r="AB229" s="53">
        <f t="shared" si="227"/>
        <v>20624.244535175832</v>
      </c>
      <c r="AC229" s="53">
        <f t="shared" si="227"/>
        <v>20683.454652393793</v>
      </c>
      <c r="AD229" s="53">
        <f t="shared" si="227"/>
        <v>20742.834755861426</v>
      </c>
      <c r="AE229" s="53">
        <f t="shared" si="227"/>
        <v>20802.38533359205</v>
      </c>
      <c r="AF229" s="53">
        <f t="shared" si="227"/>
        <v>20862.106874999998</v>
      </c>
      <c r="AG229" s="53">
        <f t="shared" si="227"/>
        <v>20921.999870904674</v>
      </c>
      <c r="AH229" s="53">
        <f t="shared" si="227"/>
        <v>20982.064813534573</v>
      </c>
      <c r="AI229" s="53">
        <f t="shared" si="227"/>
        <v>21042.302196531335</v>
      </c>
      <c r="AJ229" s="53">
        <f t="shared" si="227"/>
        <v>21102.712514953782</v>
      </c>
      <c r="AK229" s="53">
        <f t="shared" si="227"/>
        <v>21163.296265282002</v>
      </c>
      <c r="AL229" s="53">
        <f t="shared" si="227"/>
        <v>21224.053945421438</v>
      </c>
      <c r="AM229" s="53">
        <f t="shared" si="227"/>
        <v>21284.986054706962</v>
      </c>
      <c r="AN229" s="53">
        <f t="shared" si="227"/>
        <v>21346.093093906984</v>
      </c>
      <c r="AO229" s="53">
        <f t="shared" si="227"/>
        <v>21407.375565227576</v>
      </c>
      <c r="AP229" s="53">
        <f t="shared" si="227"/>
        <v>21468.833972316577</v>
      </c>
      <c r="AQ229" s="53">
        <f t="shared" si="227"/>
        <v>21530.468820267768</v>
      </c>
    </row>
    <row r="230" spans="1:43" s="16" customFormat="1" outlineLevel="3" collapsed="1">
      <c r="A230" s="53"/>
      <c r="B230" s="53"/>
      <c r="C230" s="53"/>
      <c r="D230" s="53" t="s">
        <v>471</v>
      </c>
      <c r="E230" s="53"/>
      <c r="F230" s="53"/>
      <c r="G230" s="53"/>
      <c r="H230" s="53">
        <f t="shared" ref="H230:AQ230" si="228">(((H231+H235)+H239)+H243)</f>
        <v>42954.875383168466</v>
      </c>
      <c r="I230" s="53">
        <f t="shared" si="228"/>
        <v>61576.305827482778</v>
      </c>
      <c r="J230" s="53">
        <f t="shared" si="228"/>
        <v>80979.295971753716</v>
      </c>
      <c r="K230" s="53">
        <f t="shared" si="228"/>
        <v>101188.87998363539</v>
      </c>
      <c r="L230" s="53">
        <f t="shared" si="228"/>
        <v>122230.8084435897</v>
      </c>
      <c r="M230" s="53">
        <f t="shared" si="228"/>
        <v>144131.5676157297</v>
      </c>
      <c r="N230" s="53">
        <f t="shared" si="228"/>
        <v>166918.3992171977</v>
      </c>
      <c r="O230" s="53">
        <f t="shared" si="228"/>
        <v>190619.32069863233</v>
      </c>
      <c r="P230" s="53">
        <f t="shared" si="228"/>
        <v>215263.14604859607</v>
      </c>
      <c r="Q230" s="53">
        <f t="shared" si="228"/>
        <v>240879.50713514426</v>
      </c>
      <c r="R230" s="53">
        <f t="shared" si="228"/>
        <v>267498.87559805036</v>
      </c>
      <c r="S230" s="53">
        <f t="shared" si="228"/>
        <v>295152.5853055293</v>
      </c>
      <c r="T230" s="53">
        <f t="shared" si="228"/>
        <v>323872.85538964445</v>
      </c>
      <c r="U230" s="53">
        <f t="shared" si="228"/>
        <v>353692.81387493748</v>
      </c>
      <c r="V230" s="53">
        <f t="shared" si="228"/>
        <v>384646.52191517112</v>
      </c>
      <c r="W230" s="53">
        <f t="shared" si="228"/>
        <v>416768.99865344813</v>
      </c>
      <c r="X230" s="53">
        <f t="shared" si="228"/>
        <v>450096.24672134389</v>
      </c>
      <c r="Y230" s="53">
        <f t="shared" si="228"/>
        <v>484665.27839307499</v>
      </c>
      <c r="Z230" s="53">
        <f t="shared" si="228"/>
        <v>520514.14241112111</v>
      </c>
      <c r="AA230" s="53">
        <f t="shared" si="228"/>
        <v>557681.95150011941</v>
      </c>
      <c r="AB230" s="53">
        <f t="shared" si="228"/>
        <v>596208.91058627015</v>
      </c>
      <c r="AC230" s="53">
        <f t="shared" si="228"/>
        <v>636136.34573990887</v>
      </c>
      <c r="AD230" s="53">
        <f t="shared" si="228"/>
        <v>677506.73385934124</v>
      </c>
      <c r="AE230" s="53">
        <f t="shared" si="228"/>
        <v>720363.73311447632</v>
      </c>
      <c r="AF230" s="53">
        <f t="shared" si="228"/>
        <v>764752.21416925534</v>
      </c>
      <c r="AG230" s="53">
        <f t="shared" si="228"/>
        <v>810718.29220233252</v>
      </c>
      <c r="AH230" s="53">
        <f t="shared" si="228"/>
        <v>858309.35974594695</v>
      </c>
      <c r="AI230" s="53">
        <f t="shared" si="228"/>
        <v>907574.12036341918</v>
      </c>
      <c r="AJ230" s="53">
        <f t="shared" si="228"/>
        <v>958562.62318618933</v>
      </c>
      <c r="AK230" s="53">
        <f t="shared" si="228"/>
        <v>1011326.2983318553</v>
      </c>
      <c r="AL230" s="53">
        <f t="shared" si="228"/>
        <v>1065917.9932251661</v>
      </c>
      <c r="AM230" s="53">
        <f t="shared" si="228"/>
        <v>1122392.009844488</v>
      </c>
      <c r="AN230" s="53">
        <f t="shared" si="228"/>
        <v>1180804.1429167909</v>
      </c>
      <c r="AO230" s="53">
        <f t="shared" si="228"/>
        <v>1241211.7190847986</v>
      </c>
      <c r="AP230" s="53">
        <f t="shared" si="228"/>
        <v>1303673.637070481</v>
      </c>
      <c r="AQ230" s="53">
        <f t="shared" si="228"/>
        <v>1368250.4088597079</v>
      </c>
    </row>
    <row r="231" spans="1:43" s="16" customFormat="1" hidden="1" outlineLevel="4" collapsed="1">
      <c r="A231" s="53"/>
      <c r="B231" s="53"/>
      <c r="C231" s="53"/>
      <c r="D231" s="53"/>
      <c r="E231" s="53" t="s">
        <v>472</v>
      </c>
      <c r="F231" s="53"/>
      <c r="G231" s="53"/>
      <c r="H231" s="53">
        <f t="shared" ref="H231:AQ231" si="229">((H232*H233)*H234)</f>
        <v>26227.115819664905</v>
      </c>
      <c r="I231" s="53">
        <f t="shared" si="229"/>
        <v>39722.604055890384</v>
      </c>
      <c r="J231" s="53">
        <f t="shared" si="229"/>
        <v>53785.188303078241</v>
      </c>
      <c r="K231" s="53">
        <f t="shared" si="229"/>
        <v>68433.010936073581</v>
      </c>
      <c r="L231" s="53">
        <f t="shared" si="229"/>
        <v>83684.732638570378</v>
      </c>
      <c r="M231" s="53">
        <f t="shared" si="229"/>
        <v>99559.546320525958</v>
      </c>
      <c r="N231" s="53">
        <f t="shared" si="229"/>
        <v>116077.19139499983</v>
      </c>
      <c r="O231" s="53">
        <f t="shared" si="229"/>
        <v>133257.96842345316</v>
      </c>
      <c r="P231" s="53">
        <f t="shared" si="229"/>
        <v>151122.75413877305</v>
      </c>
      <c r="Q231" s="53">
        <f t="shared" si="229"/>
        <v>169693.01685550943</v>
      </c>
      <c r="R231" s="53">
        <f t="shared" si="229"/>
        <v>188990.83227705013</v>
      </c>
      <c r="S231" s="53">
        <f t="shared" si="229"/>
        <v>209038.89970969706</v>
      </c>
      <c r="T231" s="53">
        <f t="shared" si="229"/>
        <v>229860.55869385143</v>
      </c>
      <c r="U231" s="53">
        <f t="shared" si="229"/>
        <v>251479.80606277165</v>
      </c>
      <c r="V231" s="53">
        <f t="shared" si="229"/>
        <v>273921.3134396181</v>
      </c>
      <c r="W231" s="53">
        <f t="shared" si="229"/>
        <v>297210.44518376881</v>
      </c>
      <c r="X231" s="53">
        <f t="shared" si="229"/>
        <v>321373.27679765818</v>
      </c>
      <c r="Y231" s="53">
        <f t="shared" si="229"/>
        <v>346436.61380566604</v>
      </c>
      <c r="Z231" s="53">
        <f t="shared" si="229"/>
        <v>372428.01111687091</v>
      </c>
      <c r="AA231" s="53">
        <f t="shared" si="229"/>
        <v>399375.79288376839</v>
      </c>
      <c r="AB231" s="53">
        <f t="shared" si="229"/>
        <v>427309.07286935544</v>
      </c>
      <c r="AC231" s="53">
        <f t="shared" si="229"/>
        <v>456257.77533528558</v>
      </c>
      <c r="AD231" s="53">
        <f t="shared" si="229"/>
        <v>486252.6564641099</v>
      </c>
      <c r="AE231" s="53">
        <f t="shared" si="229"/>
        <v>517325.32632894046</v>
      </c>
      <c r="AF231" s="53">
        <f t="shared" si="229"/>
        <v>549508.27142420178</v>
      </c>
      <c r="AG231" s="53">
        <f t="shared" si="229"/>
        <v>582834.87777146418</v>
      </c>
      <c r="AH231" s="53">
        <f t="shared" si="229"/>
        <v>617339.45461470331</v>
      </c>
      <c r="AI231" s="53">
        <f t="shared" si="229"/>
        <v>653057.25871968176</v>
      </c>
      <c r="AJ231" s="53">
        <f t="shared" si="229"/>
        <v>690024.51929249894</v>
      </c>
      <c r="AK231" s="53">
        <f t="shared" si="229"/>
        <v>728278.46353274118</v>
      </c>
      <c r="AL231" s="53">
        <f t="shared" si="229"/>
        <v>767857.34283702355</v>
      </c>
      <c r="AM231" s="53">
        <f t="shared" si="229"/>
        <v>808800.4596691163</v>
      </c>
      <c r="AN231" s="53">
        <f t="shared" si="229"/>
        <v>851148.19511323317</v>
      </c>
      <c r="AO231" s="53">
        <f t="shared" si="229"/>
        <v>894942.03712748026</v>
      </c>
      <c r="AP231" s="53">
        <f t="shared" si="229"/>
        <v>940224.60951485636</v>
      </c>
      <c r="AQ231" s="53">
        <f t="shared" si="229"/>
        <v>987039.70162965043</v>
      </c>
    </row>
    <row r="232" spans="1:43" s="16" customFormat="1" hidden="1" outlineLevel="5">
      <c r="A232" s="53"/>
      <c r="B232" s="53"/>
      <c r="C232" s="53"/>
      <c r="D232" s="53"/>
      <c r="E232" s="53"/>
      <c r="F232" s="53" t="s">
        <v>377</v>
      </c>
      <c r="G232" s="53"/>
      <c r="H232" s="53">
        <f t="shared" ref="H232:AQ232" si="230">H67</f>
        <v>49.878031321570688</v>
      </c>
      <c r="I232" s="53">
        <f t="shared" si="230"/>
        <v>75.32713534278902</v>
      </c>
      <c r="J232" s="53">
        <f t="shared" si="230"/>
        <v>101.70244753739058</v>
      </c>
      <c r="K232" s="53">
        <f t="shared" si="230"/>
        <v>129.02959398312791</v>
      </c>
      <c r="L232" s="53">
        <f t="shared" si="230"/>
        <v>157.33483385524627</v>
      </c>
      <c r="M232" s="53">
        <f t="shared" si="230"/>
        <v>186.64507412991284</v>
      </c>
      <c r="N232" s="53">
        <f t="shared" si="230"/>
        <v>216.98788461617673</v>
      </c>
      <c r="O232" s="53">
        <f t="shared" si="230"/>
        <v>248.39151332360558</v>
      </c>
      <c r="P232" s="53">
        <f t="shared" si="230"/>
        <v>280.88490217290655</v>
      </c>
      <c r="Q232" s="53">
        <f t="shared" si="230"/>
        <v>314.49770305698672</v>
      </c>
      <c r="R232" s="53">
        <f t="shared" si="230"/>
        <v>349.26029426007409</v>
      </c>
      <c r="S232" s="53">
        <f t="shared" si="230"/>
        <v>385.20379724267815</v>
      </c>
      <c r="T232" s="53">
        <f t="shared" si="230"/>
        <v>422.36009380033619</v>
      </c>
      <c r="U232" s="53">
        <f t="shared" si="230"/>
        <v>460.76184360426566</v>
      </c>
      <c r="V232" s="53">
        <f t="shared" si="230"/>
        <v>500.4425021322059</v>
      </c>
      <c r="W232" s="53">
        <f t="shared" si="230"/>
        <v>541.43633899791951</v>
      </c>
      <c r="X232" s="53">
        <f t="shared" si="230"/>
        <v>583.77845668799853</v>
      </c>
      <c r="Y232" s="53">
        <f t="shared" si="230"/>
        <v>627.50480971480681</v>
      </c>
      <c r="Z232" s="53">
        <f t="shared" si="230"/>
        <v>672.6522241945753</v>
      </c>
      <c r="AA232" s="53">
        <f t="shared" si="230"/>
        <v>719.25841785986358</v>
      </c>
      <c r="AB232" s="53">
        <f t="shared" si="230"/>
        <v>767.36202051579039</v>
      </c>
      <c r="AC232" s="53">
        <f t="shared" si="230"/>
        <v>817.0025949496478</v>
      </c>
      <c r="AD232" s="53">
        <f t="shared" si="230"/>
        <v>868.22065830370047</v>
      </c>
      <c r="AE232" s="53">
        <f t="shared" si="230"/>
        <v>921.05770392119518</v>
      </c>
      <c r="AF232" s="53">
        <f t="shared" si="230"/>
        <v>975.55622367582009</v>
      </c>
      <c r="AG232" s="53">
        <f t="shared" si="230"/>
        <v>1031.7597307950498</v>
      </c>
      <c r="AH232" s="53">
        <f t="shared" si="230"/>
        <v>1089.7127831880596</v>
      </c>
      <c r="AI232" s="53">
        <f t="shared" si="230"/>
        <v>1149.4610072891087</v>
      </c>
      <c r="AJ232" s="53">
        <f t="shared" si="230"/>
        <v>1211.0511224275158</v>
      </c>
      <c r="AK232" s="53">
        <f t="shared" si="230"/>
        <v>1274.5309657356036</v>
      </c>
      <c r="AL232" s="53">
        <f t="shared" si="230"/>
        <v>1339.9495176062126</v>
      </c>
      <c r="AM232" s="53">
        <f t="shared" si="230"/>
        <v>1407.3569277116471</v>
      </c>
      <c r="AN232" s="53">
        <f t="shared" si="230"/>
        <v>1476.8045415961496</v>
      </c>
      <c r="AO232" s="53">
        <f t="shared" si="230"/>
        <v>1548.3449278542844</v>
      </c>
      <c r="AP232" s="53">
        <f t="shared" si="230"/>
        <v>1622.0319059078297</v>
      </c>
      <c r="AQ232" s="53">
        <f t="shared" si="230"/>
        <v>1697.920574394102</v>
      </c>
    </row>
    <row r="233" spans="1:43" s="16" customFormat="1" hidden="1" outlineLevel="5">
      <c r="A233" s="53"/>
      <c r="B233" s="53"/>
      <c r="C233" s="53"/>
      <c r="D233" s="53"/>
      <c r="E233" s="53"/>
      <c r="F233" s="53" t="s">
        <v>473</v>
      </c>
      <c r="G233" s="53"/>
      <c r="H233" s="53">
        <f t="shared" ref="H233:AQ233" si="231">central_private_wastage_rate_positive*(1+central_private_wastage_rate_positive_growth)^((COLUMN()-8)/12)</f>
        <v>2.7E-2</v>
      </c>
      <c r="I233" s="53">
        <f t="shared" si="231"/>
        <v>2.7E-2</v>
      </c>
      <c r="J233" s="53">
        <f t="shared" si="231"/>
        <v>2.7E-2</v>
      </c>
      <c r="K233" s="53">
        <f t="shared" si="231"/>
        <v>2.7E-2</v>
      </c>
      <c r="L233" s="53">
        <f t="shared" si="231"/>
        <v>2.7E-2</v>
      </c>
      <c r="M233" s="53">
        <f t="shared" si="231"/>
        <v>2.7E-2</v>
      </c>
      <c r="N233" s="53">
        <f t="shared" si="231"/>
        <v>2.7E-2</v>
      </c>
      <c r="O233" s="53">
        <f t="shared" si="231"/>
        <v>2.7E-2</v>
      </c>
      <c r="P233" s="53">
        <f t="shared" si="231"/>
        <v>2.7E-2</v>
      </c>
      <c r="Q233" s="53">
        <f t="shared" si="231"/>
        <v>2.7E-2</v>
      </c>
      <c r="R233" s="53">
        <f t="shared" si="231"/>
        <v>2.7E-2</v>
      </c>
      <c r="S233" s="53">
        <f t="shared" si="231"/>
        <v>2.7E-2</v>
      </c>
      <c r="T233" s="53">
        <f t="shared" si="231"/>
        <v>2.7E-2</v>
      </c>
      <c r="U233" s="53">
        <f t="shared" si="231"/>
        <v>2.7E-2</v>
      </c>
      <c r="V233" s="53">
        <f t="shared" si="231"/>
        <v>2.7E-2</v>
      </c>
      <c r="W233" s="53">
        <f t="shared" si="231"/>
        <v>2.7E-2</v>
      </c>
      <c r="X233" s="53">
        <f t="shared" si="231"/>
        <v>2.7E-2</v>
      </c>
      <c r="Y233" s="53">
        <f t="shared" si="231"/>
        <v>2.7E-2</v>
      </c>
      <c r="Z233" s="53">
        <f t="shared" si="231"/>
        <v>2.7E-2</v>
      </c>
      <c r="AA233" s="53">
        <f t="shared" si="231"/>
        <v>2.7E-2</v>
      </c>
      <c r="AB233" s="53">
        <f t="shared" si="231"/>
        <v>2.7E-2</v>
      </c>
      <c r="AC233" s="53">
        <f t="shared" si="231"/>
        <v>2.7E-2</v>
      </c>
      <c r="AD233" s="53">
        <f t="shared" si="231"/>
        <v>2.7E-2</v>
      </c>
      <c r="AE233" s="53">
        <f t="shared" si="231"/>
        <v>2.7E-2</v>
      </c>
      <c r="AF233" s="53">
        <f t="shared" si="231"/>
        <v>2.7E-2</v>
      </c>
      <c r="AG233" s="53">
        <f t="shared" si="231"/>
        <v>2.7E-2</v>
      </c>
      <c r="AH233" s="53">
        <f t="shared" si="231"/>
        <v>2.7E-2</v>
      </c>
      <c r="AI233" s="53">
        <f t="shared" si="231"/>
        <v>2.7E-2</v>
      </c>
      <c r="AJ233" s="53">
        <f t="shared" si="231"/>
        <v>2.7E-2</v>
      </c>
      <c r="AK233" s="53">
        <f t="shared" si="231"/>
        <v>2.7E-2</v>
      </c>
      <c r="AL233" s="53">
        <f t="shared" si="231"/>
        <v>2.7E-2</v>
      </c>
      <c r="AM233" s="53">
        <f t="shared" si="231"/>
        <v>2.7E-2</v>
      </c>
      <c r="AN233" s="53">
        <f t="shared" si="231"/>
        <v>2.7E-2</v>
      </c>
      <c r="AO233" s="53">
        <f t="shared" si="231"/>
        <v>2.7E-2</v>
      </c>
      <c r="AP233" s="53">
        <f t="shared" si="231"/>
        <v>2.7E-2</v>
      </c>
      <c r="AQ233" s="53">
        <f t="shared" si="231"/>
        <v>2.7E-2</v>
      </c>
    </row>
    <row r="234" spans="1:43" s="16" customFormat="1" hidden="1" outlineLevel="5">
      <c r="A234" s="53"/>
      <c r="B234" s="53"/>
      <c r="C234" s="53"/>
      <c r="D234" s="53"/>
      <c r="E234" s="53"/>
      <c r="F234" s="53" t="s">
        <v>416</v>
      </c>
      <c r="G234" s="53"/>
      <c r="H234" s="53">
        <f t="shared" ref="H234:AQ234" si="232">H115</f>
        <v>19475</v>
      </c>
      <c r="I234" s="53">
        <f t="shared" si="232"/>
        <v>19530.910752554017</v>
      </c>
      <c r="J234" s="53">
        <f t="shared" si="232"/>
        <v>19586.982019215924</v>
      </c>
      <c r="K234" s="53">
        <f t="shared" si="232"/>
        <v>19643.214260805467</v>
      </c>
      <c r="L234" s="53">
        <f t="shared" si="232"/>
        <v>19699.607939465361</v>
      </c>
      <c r="M234" s="53">
        <f t="shared" si="232"/>
        <v>19756.163518665086</v>
      </c>
      <c r="N234" s="53">
        <f t="shared" si="232"/>
        <v>19812.881463204689</v>
      </c>
      <c r="O234" s="53">
        <f t="shared" si="232"/>
        <v>19869.76223921862</v>
      </c>
      <c r="P234" s="53">
        <f t="shared" si="232"/>
        <v>19926.80631417955</v>
      </c>
      <c r="Q234" s="53">
        <f t="shared" si="232"/>
        <v>19984.014156902216</v>
      </c>
      <c r="R234" s="53">
        <f t="shared" si="232"/>
        <v>20041.386237547275</v>
      </c>
      <c r="S234" s="53">
        <f t="shared" si="232"/>
        <v>20098.923027625169</v>
      </c>
      <c r="T234" s="53">
        <f t="shared" si="232"/>
        <v>20156.625</v>
      </c>
      <c r="U234" s="53">
        <f t="shared" si="232"/>
        <v>20214.492628893408</v>
      </c>
      <c r="V234" s="53">
        <f t="shared" si="232"/>
        <v>20272.52638988848</v>
      </c>
      <c r="W234" s="53">
        <f t="shared" si="232"/>
        <v>20330.726759933656</v>
      </c>
      <c r="X234" s="53">
        <f t="shared" si="232"/>
        <v>20389.094217346646</v>
      </c>
      <c r="Y234" s="53">
        <f t="shared" si="232"/>
        <v>20447.629241818362</v>
      </c>
      <c r="Z234" s="53">
        <f t="shared" si="232"/>
        <v>20506.332314416853</v>
      </c>
      <c r="AA234" s="53">
        <f t="shared" si="232"/>
        <v>20565.203917591269</v>
      </c>
      <c r="AB234" s="53">
        <f t="shared" si="232"/>
        <v>20624.244535175832</v>
      </c>
      <c r="AC234" s="53">
        <f t="shared" si="232"/>
        <v>20683.454652393793</v>
      </c>
      <c r="AD234" s="53">
        <f t="shared" si="232"/>
        <v>20742.834755861426</v>
      </c>
      <c r="AE234" s="53">
        <f t="shared" si="232"/>
        <v>20802.38533359205</v>
      </c>
      <c r="AF234" s="53">
        <f t="shared" si="232"/>
        <v>20862.106874999998</v>
      </c>
      <c r="AG234" s="53">
        <f t="shared" si="232"/>
        <v>20921.999870904674</v>
      </c>
      <c r="AH234" s="53">
        <f t="shared" si="232"/>
        <v>20982.064813534573</v>
      </c>
      <c r="AI234" s="53">
        <f t="shared" si="232"/>
        <v>21042.302196531335</v>
      </c>
      <c r="AJ234" s="53">
        <f t="shared" si="232"/>
        <v>21102.712514953782</v>
      </c>
      <c r="AK234" s="53">
        <f t="shared" si="232"/>
        <v>21163.296265282002</v>
      </c>
      <c r="AL234" s="53">
        <f t="shared" si="232"/>
        <v>21224.053945421438</v>
      </c>
      <c r="AM234" s="53">
        <f t="shared" si="232"/>
        <v>21284.986054706962</v>
      </c>
      <c r="AN234" s="53">
        <f t="shared" si="232"/>
        <v>21346.093093906984</v>
      </c>
      <c r="AO234" s="53">
        <f t="shared" si="232"/>
        <v>21407.375565227576</v>
      </c>
      <c r="AP234" s="53">
        <f t="shared" si="232"/>
        <v>21468.833972316577</v>
      </c>
      <c r="AQ234" s="53">
        <f t="shared" si="232"/>
        <v>21530.468820267768</v>
      </c>
    </row>
    <row r="235" spans="1:43" s="16" customFormat="1" hidden="1" outlineLevel="4" collapsed="1">
      <c r="A235" s="53"/>
      <c r="B235" s="53"/>
      <c r="C235" s="53"/>
      <c r="D235" s="53"/>
      <c r="E235" s="53" t="s">
        <v>474</v>
      </c>
      <c r="F235" s="53"/>
      <c r="G235" s="53"/>
      <c r="H235" s="53">
        <f t="shared" ref="H235:AQ235" si="233">((H236*H237)*H238)</f>
        <v>10329.022294193393</v>
      </c>
      <c r="I235" s="53">
        <f t="shared" si="233"/>
        <v>13946.735822276849</v>
      </c>
      <c r="J235" s="53">
        <f t="shared" si="233"/>
        <v>17716.014378770476</v>
      </c>
      <c r="K235" s="53">
        <f t="shared" si="233"/>
        <v>21641.721770285218</v>
      </c>
      <c r="L235" s="53">
        <f t="shared" si="233"/>
        <v>25728.861348467377</v>
      </c>
      <c r="M235" s="53">
        <f t="shared" si="233"/>
        <v>29982.579773590198</v>
      </c>
      <c r="N235" s="53">
        <f t="shared" si="233"/>
        <v>34408.170875759053</v>
      </c>
      <c r="O235" s="53">
        <f t="shared" si="233"/>
        <v>39011.079616194533</v>
      </c>
      <c r="P235" s="53">
        <f t="shared" si="233"/>
        <v>43796.906151119627</v>
      </c>
      <c r="Q235" s="53">
        <f t="shared" si="233"/>
        <v>48771.410000838769</v>
      </c>
      <c r="R235" s="53">
        <f t="shared" si="233"/>
        <v>53940.514326661309</v>
      </c>
      <c r="S235" s="53">
        <f t="shared" si="233"/>
        <v>59310.310318387063</v>
      </c>
      <c r="T235" s="53">
        <f t="shared" si="233"/>
        <v>64887.061695138989</v>
      </c>
      <c r="U235" s="53">
        <f t="shared" si="233"/>
        <v>70677.20932239751</v>
      </c>
      <c r="V235" s="53">
        <f t="shared" si="233"/>
        <v>76687.375948159897</v>
      </c>
      <c r="W235" s="53">
        <f t="shared" si="233"/>
        <v>82924.371061222322</v>
      </c>
      <c r="X235" s="53">
        <f t="shared" si="233"/>
        <v>89395.195874654542</v>
      </c>
      <c r="Y235" s="53">
        <f t="shared" si="233"/>
        <v>96107.048437614591</v>
      </c>
      <c r="Z235" s="53">
        <f t="shared" si="233"/>
        <v>103067.3288787265</v>
      </c>
      <c r="AA235" s="53">
        <f t="shared" si="233"/>
        <v>110283.6447843257</v>
      </c>
      <c r="AB235" s="53">
        <f t="shared" si="233"/>
        <v>117763.81671495672</v>
      </c>
      <c r="AC235" s="53">
        <f t="shared" si="233"/>
        <v>125515.88386359179</v>
      </c>
      <c r="AD235" s="53">
        <f t="shared" si="233"/>
        <v>133548.10985912473</v>
      </c>
      <c r="AE235" s="53">
        <f t="shared" si="233"/>
        <v>141868.98871878147</v>
      </c>
      <c r="AF235" s="53">
        <f t="shared" si="233"/>
        <v>150487.25095317871</v>
      </c>
      <c r="AG235" s="53">
        <f t="shared" si="233"/>
        <v>159411.86982785395</v>
      </c>
      <c r="AH235" s="53">
        <f t="shared" si="233"/>
        <v>168652.06778518378</v>
      </c>
      <c r="AI235" s="53">
        <f t="shared" si="233"/>
        <v>178217.32303070504</v>
      </c>
      <c r="AJ235" s="53">
        <f t="shared" si="233"/>
        <v>188117.37628794991</v>
      </c>
      <c r="AK235" s="53">
        <f t="shared" si="233"/>
        <v>198362.23772601</v>
      </c>
      <c r="AL235" s="53">
        <f t="shared" si="233"/>
        <v>208962.1940641453</v>
      </c>
      <c r="AM235" s="53">
        <f t="shared" si="233"/>
        <v>219927.81585786268</v>
      </c>
      <c r="AN235" s="53">
        <f t="shared" si="233"/>
        <v>231269.96497099247</v>
      </c>
      <c r="AO235" s="53">
        <f t="shared" si="233"/>
        <v>242999.80223841258</v>
      </c>
      <c r="AP235" s="53">
        <f t="shared" si="233"/>
        <v>255128.79532416922</v>
      </c>
      <c r="AQ235" s="53">
        <f t="shared" si="233"/>
        <v>267668.72677987552</v>
      </c>
    </row>
    <row r="236" spans="1:43" s="16" customFormat="1" hidden="1" outlineLevel="5">
      <c r="A236" s="53"/>
      <c r="B236" s="53"/>
      <c r="C236" s="53"/>
      <c r="D236" s="53"/>
      <c r="E236" s="53"/>
      <c r="F236" s="53" t="s">
        <v>386</v>
      </c>
      <c r="G236" s="53"/>
      <c r="H236" s="53">
        <f t="shared" ref="H236:AQ236" si="234">H78</f>
        <v>14.732594913982874</v>
      </c>
      <c r="I236" s="53">
        <f t="shared" si="234"/>
        <v>19.835702149523083</v>
      </c>
      <c r="J236" s="53">
        <f t="shared" si="234"/>
        <v>25.1244173318081</v>
      </c>
      <c r="K236" s="53">
        <f t="shared" si="234"/>
        <v>30.60389863297392</v>
      </c>
      <c r="L236" s="53">
        <f t="shared" si="234"/>
        <v>36.279432322163217</v>
      </c>
      <c r="M236" s="53">
        <f t="shared" si="234"/>
        <v>42.156435755779697</v>
      </c>
      <c r="N236" s="53">
        <f t="shared" si="234"/>
        <v>48.240460434877342</v>
      </c>
      <c r="O236" s="53">
        <f t="shared" si="234"/>
        <v>54.537195131151321</v>
      </c>
      <c r="P236" s="53">
        <f t="shared" si="234"/>
        <v>61.052469083030793</v>
      </c>
      <c r="Q236" s="53">
        <f t="shared" si="234"/>
        <v>67.792255263403689</v>
      </c>
      <c r="R236" s="53">
        <f t="shared" si="234"/>
        <v>74.762673720538444</v>
      </c>
      <c r="S236" s="53">
        <f t="shared" si="234"/>
        <v>81.969994993799489</v>
      </c>
      <c r="T236" s="53">
        <f t="shared" si="234"/>
        <v>89.420643605788555</v>
      </c>
      <c r="U236" s="53">
        <f t="shared" si="234"/>
        <v>97.121201632579172</v>
      </c>
      <c r="V236" s="53">
        <f t="shared" si="234"/>
        <v>105.07841235374535</v>
      </c>
      <c r="W236" s="53">
        <f t="shared" si="234"/>
        <v>113.29918398392449</v>
      </c>
      <c r="X236" s="53">
        <f t="shared" si="234"/>
        <v>121.79059348768973</v>
      </c>
      <c r="Y236" s="53">
        <f t="shared" si="234"/>
        <v>130.55989047954677</v>
      </c>
      <c r="Z236" s="53">
        <f t="shared" si="234"/>
        <v>139.61450121090652</v>
      </c>
      <c r="AA236" s="53">
        <f t="shared" si="234"/>
        <v>148.96203264592722</v>
      </c>
      <c r="AB236" s="53">
        <f t="shared" si="234"/>
        <v>158.61027662815826</v>
      </c>
      <c r="AC236" s="53">
        <f t="shared" si="234"/>
        <v>168.56721413996002</v>
      </c>
      <c r="AD236" s="53">
        <f t="shared" si="234"/>
        <v>178.84101965671579</v>
      </c>
      <c r="AE236" s="53">
        <f t="shared" si="234"/>
        <v>189.44006559789537</v>
      </c>
      <c r="AF236" s="53">
        <f t="shared" si="234"/>
        <v>200.37292687707392</v>
      </c>
      <c r="AG236" s="53">
        <f t="shared" si="234"/>
        <v>211.64838555305337</v>
      </c>
      <c r="AH236" s="53">
        <f t="shared" si="234"/>
        <v>223.27543558428113</v>
      </c>
      <c r="AI236" s="53">
        <f t="shared" si="234"/>
        <v>235.2632876888068</v>
      </c>
      <c r="AJ236" s="53">
        <f t="shared" si="234"/>
        <v>247.62137431206531</v>
      </c>
      <c r="AK236" s="53">
        <f t="shared" si="234"/>
        <v>260.359354704824</v>
      </c>
      <c r="AL236" s="53">
        <f t="shared" si="234"/>
        <v>273.48712011368031</v>
      </c>
      <c r="AM236" s="53">
        <f t="shared" si="234"/>
        <v>287.01479908655017</v>
      </c>
      <c r="AN236" s="53">
        <f t="shared" si="234"/>
        <v>300.95276289563219</v>
      </c>
      <c r="AO236" s="53">
        <f t="shared" si="234"/>
        <v>315.3116310803984</v>
      </c>
      <c r="AP236" s="53">
        <f t="shared" si="234"/>
        <v>330.10227711319976</v>
      </c>
      <c r="AQ236" s="53">
        <f t="shared" si="234"/>
        <v>345.33583419014599</v>
      </c>
    </row>
    <row r="237" spans="1:43" s="16" customFormat="1" hidden="1" outlineLevel="5">
      <c r="A237" s="53"/>
      <c r="B237" s="53"/>
      <c r="C237" s="53"/>
      <c r="D237" s="53"/>
      <c r="E237" s="53"/>
      <c r="F237" s="53" t="s">
        <v>475</v>
      </c>
      <c r="G237" s="53"/>
      <c r="H237" s="53">
        <f t="shared" ref="H237:AQ237" si="235">western_private_wastage_rate_positive*(1+western_private_wastage_rate_positive_growth)^((COLUMN()-8)/12)</f>
        <v>3.5999999999999997E-2</v>
      </c>
      <c r="I237" s="53">
        <f t="shared" si="235"/>
        <v>3.5999999999999997E-2</v>
      </c>
      <c r="J237" s="53">
        <f t="shared" si="235"/>
        <v>3.5999999999999997E-2</v>
      </c>
      <c r="K237" s="53">
        <f t="shared" si="235"/>
        <v>3.5999999999999997E-2</v>
      </c>
      <c r="L237" s="53">
        <f t="shared" si="235"/>
        <v>3.5999999999999997E-2</v>
      </c>
      <c r="M237" s="53">
        <f t="shared" si="235"/>
        <v>3.5999999999999997E-2</v>
      </c>
      <c r="N237" s="53">
        <f t="shared" si="235"/>
        <v>3.5999999999999997E-2</v>
      </c>
      <c r="O237" s="53">
        <f t="shared" si="235"/>
        <v>3.5999999999999997E-2</v>
      </c>
      <c r="P237" s="53">
        <f t="shared" si="235"/>
        <v>3.5999999999999997E-2</v>
      </c>
      <c r="Q237" s="53">
        <f t="shared" si="235"/>
        <v>3.5999999999999997E-2</v>
      </c>
      <c r="R237" s="53">
        <f t="shared" si="235"/>
        <v>3.5999999999999997E-2</v>
      </c>
      <c r="S237" s="53">
        <f t="shared" si="235"/>
        <v>3.5999999999999997E-2</v>
      </c>
      <c r="T237" s="53">
        <f t="shared" si="235"/>
        <v>3.5999999999999997E-2</v>
      </c>
      <c r="U237" s="53">
        <f t="shared" si="235"/>
        <v>3.5999999999999997E-2</v>
      </c>
      <c r="V237" s="53">
        <f t="shared" si="235"/>
        <v>3.5999999999999997E-2</v>
      </c>
      <c r="W237" s="53">
        <f t="shared" si="235"/>
        <v>3.5999999999999997E-2</v>
      </c>
      <c r="X237" s="53">
        <f t="shared" si="235"/>
        <v>3.5999999999999997E-2</v>
      </c>
      <c r="Y237" s="53">
        <f t="shared" si="235"/>
        <v>3.5999999999999997E-2</v>
      </c>
      <c r="Z237" s="53">
        <f t="shared" si="235"/>
        <v>3.5999999999999997E-2</v>
      </c>
      <c r="AA237" s="53">
        <f t="shared" si="235"/>
        <v>3.5999999999999997E-2</v>
      </c>
      <c r="AB237" s="53">
        <f t="shared" si="235"/>
        <v>3.5999999999999997E-2</v>
      </c>
      <c r="AC237" s="53">
        <f t="shared" si="235"/>
        <v>3.5999999999999997E-2</v>
      </c>
      <c r="AD237" s="53">
        <f t="shared" si="235"/>
        <v>3.5999999999999997E-2</v>
      </c>
      <c r="AE237" s="53">
        <f t="shared" si="235"/>
        <v>3.5999999999999997E-2</v>
      </c>
      <c r="AF237" s="53">
        <f t="shared" si="235"/>
        <v>3.5999999999999997E-2</v>
      </c>
      <c r="AG237" s="53">
        <f t="shared" si="235"/>
        <v>3.5999999999999997E-2</v>
      </c>
      <c r="AH237" s="53">
        <f t="shared" si="235"/>
        <v>3.5999999999999997E-2</v>
      </c>
      <c r="AI237" s="53">
        <f t="shared" si="235"/>
        <v>3.5999999999999997E-2</v>
      </c>
      <c r="AJ237" s="53">
        <f t="shared" si="235"/>
        <v>3.5999999999999997E-2</v>
      </c>
      <c r="AK237" s="53">
        <f t="shared" si="235"/>
        <v>3.5999999999999997E-2</v>
      </c>
      <c r="AL237" s="53">
        <f t="shared" si="235"/>
        <v>3.5999999999999997E-2</v>
      </c>
      <c r="AM237" s="53">
        <f t="shared" si="235"/>
        <v>3.5999999999999997E-2</v>
      </c>
      <c r="AN237" s="53">
        <f t="shared" si="235"/>
        <v>3.5999999999999997E-2</v>
      </c>
      <c r="AO237" s="53">
        <f t="shared" si="235"/>
        <v>3.5999999999999997E-2</v>
      </c>
      <c r="AP237" s="53">
        <f t="shared" si="235"/>
        <v>3.5999999999999997E-2</v>
      </c>
      <c r="AQ237" s="53">
        <f t="shared" si="235"/>
        <v>3.5999999999999997E-2</v>
      </c>
    </row>
    <row r="238" spans="1:43" s="16" customFormat="1" hidden="1" outlineLevel="5">
      <c r="A238" s="53"/>
      <c r="B238" s="53"/>
      <c r="C238" s="53"/>
      <c r="D238" s="53"/>
      <c r="E238" s="53"/>
      <c r="F238" s="53" t="s">
        <v>416</v>
      </c>
      <c r="G238" s="53"/>
      <c r="H238" s="53">
        <f t="shared" ref="H238:AQ238" si="236">H115</f>
        <v>19475</v>
      </c>
      <c r="I238" s="53">
        <f t="shared" si="236"/>
        <v>19530.910752554017</v>
      </c>
      <c r="J238" s="53">
        <f t="shared" si="236"/>
        <v>19586.982019215924</v>
      </c>
      <c r="K238" s="53">
        <f t="shared" si="236"/>
        <v>19643.214260805467</v>
      </c>
      <c r="L238" s="53">
        <f t="shared" si="236"/>
        <v>19699.607939465361</v>
      </c>
      <c r="M238" s="53">
        <f t="shared" si="236"/>
        <v>19756.163518665086</v>
      </c>
      <c r="N238" s="53">
        <f t="shared" si="236"/>
        <v>19812.881463204689</v>
      </c>
      <c r="O238" s="53">
        <f t="shared" si="236"/>
        <v>19869.76223921862</v>
      </c>
      <c r="P238" s="53">
        <f t="shared" si="236"/>
        <v>19926.80631417955</v>
      </c>
      <c r="Q238" s="53">
        <f t="shared" si="236"/>
        <v>19984.014156902216</v>
      </c>
      <c r="R238" s="53">
        <f t="shared" si="236"/>
        <v>20041.386237547275</v>
      </c>
      <c r="S238" s="53">
        <f t="shared" si="236"/>
        <v>20098.923027625169</v>
      </c>
      <c r="T238" s="53">
        <f t="shared" si="236"/>
        <v>20156.625</v>
      </c>
      <c r="U238" s="53">
        <f t="shared" si="236"/>
        <v>20214.492628893408</v>
      </c>
      <c r="V238" s="53">
        <f t="shared" si="236"/>
        <v>20272.52638988848</v>
      </c>
      <c r="W238" s="53">
        <f t="shared" si="236"/>
        <v>20330.726759933656</v>
      </c>
      <c r="X238" s="53">
        <f t="shared" si="236"/>
        <v>20389.094217346646</v>
      </c>
      <c r="Y238" s="53">
        <f t="shared" si="236"/>
        <v>20447.629241818362</v>
      </c>
      <c r="Z238" s="53">
        <f t="shared" si="236"/>
        <v>20506.332314416853</v>
      </c>
      <c r="AA238" s="53">
        <f t="shared" si="236"/>
        <v>20565.203917591269</v>
      </c>
      <c r="AB238" s="53">
        <f t="shared" si="236"/>
        <v>20624.244535175832</v>
      </c>
      <c r="AC238" s="53">
        <f t="shared" si="236"/>
        <v>20683.454652393793</v>
      </c>
      <c r="AD238" s="53">
        <f t="shared" si="236"/>
        <v>20742.834755861426</v>
      </c>
      <c r="AE238" s="53">
        <f t="shared" si="236"/>
        <v>20802.38533359205</v>
      </c>
      <c r="AF238" s="53">
        <f t="shared" si="236"/>
        <v>20862.106874999998</v>
      </c>
      <c r="AG238" s="53">
        <f t="shared" si="236"/>
        <v>20921.999870904674</v>
      </c>
      <c r="AH238" s="53">
        <f t="shared" si="236"/>
        <v>20982.064813534573</v>
      </c>
      <c r="AI238" s="53">
        <f t="shared" si="236"/>
        <v>21042.302196531335</v>
      </c>
      <c r="AJ238" s="53">
        <f t="shared" si="236"/>
        <v>21102.712514953782</v>
      </c>
      <c r="AK238" s="53">
        <f t="shared" si="236"/>
        <v>21163.296265282002</v>
      </c>
      <c r="AL238" s="53">
        <f t="shared" si="236"/>
        <v>21224.053945421438</v>
      </c>
      <c r="AM238" s="53">
        <f t="shared" si="236"/>
        <v>21284.986054706962</v>
      </c>
      <c r="AN238" s="53">
        <f t="shared" si="236"/>
        <v>21346.093093906984</v>
      </c>
      <c r="AO238" s="53">
        <f t="shared" si="236"/>
        <v>21407.375565227576</v>
      </c>
      <c r="AP238" s="53">
        <f t="shared" si="236"/>
        <v>21468.833972316577</v>
      </c>
      <c r="AQ238" s="53">
        <f t="shared" si="236"/>
        <v>21530.468820267768</v>
      </c>
    </row>
    <row r="239" spans="1:43" s="16" customFormat="1" hidden="1" outlineLevel="4" collapsed="1">
      <c r="A239" s="53"/>
      <c r="B239" s="53"/>
      <c r="C239" s="53"/>
      <c r="D239" s="53"/>
      <c r="E239" s="53" t="s">
        <v>476</v>
      </c>
      <c r="F239" s="53"/>
      <c r="G239" s="53"/>
      <c r="H239" s="53">
        <f t="shared" ref="H239:AQ239" si="237">((H240*H241)*H242)</f>
        <v>4522.7581385584135</v>
      </c>
      <c r="I239" s="53">
        <f t="shared" si="237"/>
        <v>5682.181439506091</v>
      </c>
      <c r="J239" s="53">
        <f t="shared" si="237"/>
        <v>6890.0116444906971</v>
      </c>
      <c r="K239" s="53">
        <f t="shared" si="237"/>
        <v>8147.8076817138644</v>
      </c>
      <c r="L239" s="53">
        <f t="shared" si="237"/>
        <v>9457.1734230786642</v>
      </c>
      <c r="M239" s="53">
        <f t="shared" si="237"/>
        <v>10819.758902411828</v>
      </c>
      <c r="N239" s="53">
        <f t="shared" si="237"/>
        <v>12237.261565434068</v>
      </c>
      <c r="O239" s="53">
        <f t="shared" si="237"/>
        <v>13711.42755228366</v>
      </c>
      <c r="P239" s="53">
        <f t="shared" si="237"/>
        <v>15244.053013418672</v>
      </c>
      <c r="Q239" s="53">
        <f t="shared" si="237"/>
        <v>16836.985459743362</v>
      </c>
      <c r="R239" s="53">
        <f t="shared" si="237"/>
        <v>18492.125147825765</v>
      </c>
      <c r="S239" s="53">
        <f t="shared" si="237"/>
        <v>20211.42650109452</v>
      </c>
      <c r="T239" s="53">
        <f t="shared" si="237"/>
        <v>21996.89956792548</v>
      </c>
      <c r="U239" s="53">
        <f t="shared" si="237"/>
        <v>23850.611517550959</v>
      </c>
      <c r="V239" s="53">
        <f t="shared" si="237"/>
        <v>25774.688174747705</v>
      </c>
      <c r="W239" s="53">
        <f t="shared" si="237"/>
        <v>27771.31559428342</v>
      </c>
      <c r="X239" s="53">
        <f t="shared" si="237"/>
        <v>29842.741676125912</v>
      </c>
      <c r="Y239" s="53">
        <f t="shared" si="237"/>
        <v>31991.277822443953</v>
      </c>
      <c r="Z239" s="53">
        <f t="shared" si="237"/>
        <v>34219.30063745418</v>
      </c>
      <c r="AA239" s="53">
        <f t="shared" si="237"/>
        <v>36529.253671194696</v>
      </c>
      <c r="AB239" s="53">
        <f t="shared" si="237"/>
        <v>38923.649208332899</v>
      </c>
      <c r="AC239" s="53">
        <f t="shared" si="237"/>
        <v>41405.070103141989</v>
      </c>
      <c r="AD239" s="53">
        <f t="shared" si="237"/>
        <v>43976.171661809247</v>
      </c>
      <c r="AE239" s="53">
        <f t="shared" si="237"/>
        <v>46639.683573267474</v>
      </c>
      <c r="AF239" s="53">
        <f t="shared" si="237"/>
        <v>49398.411889771138</v>
      </c>
      <c r="AG239" s="53">
        <f t="shared" si="237"/>
        <v>52255.241058467851</v>
      </c>
      <c r="AH239" s="53">
        <f t="shared" si="237"/>
        <v>55213.136005247565</v>
      </c>
      <c r="AI239" s="53">
        <f t="shared" si="237"/>
        <v>58275.144272183898</v>
      </c>
      <c r="AJ239" s="53">
        <f t="shared" si="237"/>
        <v>61444.398209912943</v>
      </c>
      <c r="AK239" s="53">
        <f t="shared" si="237"/>
        <v>64724.117226329632</v>
      </c>
      <c r="AL239" s="53">
        <f t="shared" si="237"/>
        <v>68117.610093015566</v>
      </c>
      <c r="AM239" s="53">
        <f t="shared" si="237"/>
        <v>71628.277310846039</v>
      </c>
      <c r="AN239" s="53">
        <f t="shared" si="237"/>
        <v>75259.613536260338</v>
      </c>
      <c r="AO239" s="53">
        <f t="shared" si="237"/>
        <v>79015.210069717825</v>
      </c>
      <c r="AP239" s="53">
        <f t="shared" si="237"/>
        <v>82898.757407894926</v>
      </c>
      <c r="AQ239" s="53">
        <f t="shared" si="237"/>
        <v>86914.047861223196</v>
      </c>
    </row>
    <row r="240" spans="1:43" s="16" customFormat="1" hidden="1" outlineLevel="5">
      <c r="A240" s="53"/>
      <c r="B240" s="53"/>
      <c r="C240" s="53"/>
      <c r="D240" s="53"/>
      <c r="E240" s="53"/>
      <c r="F240" s="53" t="s">
        <v>395</v>
      </c>
      <c r="G240" s="53"/>
      <c r="H240" s="53">
        <f t="shared" ref="H240:AQ240" si="238">H89</f>
        <v>5.1607566835640135</v>
      </c>
      <c r="I240" s="53">
        <f t="shared" si="238"/>
        <v>6.4651720677786981</v>
      </c>
      <c r="J240" s="53">
        <f t="shared" si="238"/>
        <v>7.8169964993769936</v>
      </c>
      <c r="K240" s="53">
        <f t="shared" si="238"/>
        <v>9.2175542415302392</v>
      </c>
      <c r="L240" s="53">
        <f t="shared" si="238"/>
        <v>10.668202638729859</v>
      </c>
      <c r="M240" s="53">
        <f t="shared" si="238"/>
        <v>12.170332893484227</v>
      </c>
      <c r="N240" s="53">
        <f t="shared" si="238"/>
        <v>13.725370860546663</v>
      </c>
      <c r="O240" s="53">
        <f t="shared" si="238"/>
        <v>15.334777859059585</v>
      </c>
      <c r="P240" s="53">
        <f t="shared" si="238"/>
        <v>17.000051503008432</v>
      </c>
      <c r="Q240" s="53">
        <f t="shared" si="238"/>
        <v>18.722726550386923</v>
      </c>
      <c r="R240" s="53">
        <f t="shared" si="238"/>
        <v>20.50437577148454</v>
      </c>
      <c r="S240" s="53">
        <f t="shared" si="238"/>
        <v>22.346610836715218</v>
      </c>
      <c r="T240" s="53">
        <f t="shared" si="238"/>
        <v>24.251083224415986</v>
      </c>
      <c r="U240" s="53">
        <f t="shared" si="238"/>
        <v>26.219485149052904</v>
      </c>
      <c r="V240" s="53">
        <f t="shared" si="238"/>
        <v>28.253550510281393</v>
      </c>
      <c r="W240" s="53">
        <f t="shared" si="238"/>
        <v>30.35505586331756</v>
      </c>
      <c r="X240" s="53">
        <f t="shared" si="238"/>
        <v>32.52582141108693</v>
      </c>
      <c r="Y240" s="53">
        <f t="shared" si="238"/>
        <v>34.76771201862708</v>
      </c>
      <c r="Z240" s="53">
        <f t="shared" si="238"/>
        <v>37.082638250230744</v>
      </c>
      <c r="AA240" s="53">
        <f t="shared" si="238"/>
        <v>39.472557429826544</v>
      </c>
      <c r="AB240" s="53">
        <f t="shared" si="238"/>
        <v>41.939474725105278</v>
      </c>
      <c r="AC240" s="53">
        <f t="shared" si="238"/>
        <v>44.485444255910203</v>
      </c>
      <c r="AD240" s="53">
        <f t="shared" si="238"/>
        <v>47.112570227421273</v>
      </c>
      <c r="AE240" s="53">
        <f t="shared" si="238"/>
        <v>49.823008088674328</v>
      </c>
      <c r="AF240" s="53">
        <f t="shared" si="238"/>
        <v>52.618965716968532</v>
      </c>
      <c r="AG240" s="53">
        <f t="shared" si="238"/>
        <v>55.502704628725873</v>
      </c>
      <c r="AH240" s="53">
        <f t="shared" si="238"/>
        <v>58.476541217379854</v>
      </c>
      <c r="AI240" s="53">
        <f t="shared" si="238"/>
        <v>61.542848018882751</v>
      </c>
      <c r="AJ240" s="53">
        <f t="shared" si="238"/>
        <v>64.704055005432494</v>
      </c>
      <c r="AK240" s="53">
        <f t="shared" si="238"/>
        <v>67.962650908033893</v>
      </c>
      <c r="AL240" s="53">
        <f t="shared" si="238"/>
        <v>71.321184568522412</v>
      </c>
      <c r="AM240" s="53">
        <f t="shared" si="238"/>
        <v>74.782266321691154</v>
      </c>
      <c r="AN240" s="53">
        <f t="shared" si="238"/>
        <v>78.348569408175194</v>
      </c>
      <c r="AO240" s="53">
        <f t="shared" si="238"/>
        <v>82.022831418764511</v>
      </c>
      <c r="AP240" s="53">
        <f t="shared" si="238"/>
        <v>85.807855770825114</v>
      </c>
      <c r="AQ240" s="53">
        <f t="shared" si="238"/>
        <v>89.70651321752959</v>
      </c>
    </row>
    <row r="241" spans="1:43" s="16" customFormat="1" hidden="1" outlineLevel="5">
      <c r="A241" s="53"/>
      <c r="B241" s="53"/>
      <c r="C241" s="53"/>
      <c r="D241" s="53"/>
      <c r="E241" s="53"/>
      <c r="F241" s="53" t="s">
        <v>477</v>
      </c>
      <c r="G241" s="53"/>
      <c r="H241" s="53">
        <f t="shared" ref="H241:AQ241" si="239">eastern_private_wastage_rate_positive*(1+eastern_private_wastage_rate_positive_growth)^((COLUMN()-8)/12)</f>
        <v>4.5000000000000012E-2</v>
      </c>
      <c r="I241" s="53">
        <f t="shared" si="239"/>
        <v>4.5000000000000012E-2</v>
      </c>
      <c r="J241" s="53">
        <f t="shared" si="239"/>
        <v>4.5000000000000012E-2</v>
      </c>
      <c r="K241" s="53">
        <f t="shared" si="239"/>
        <v>4.5000000000000012E-2</v>
      </c>
      <c r="L241" s="53">
        <f t="shared" si="239"/>
        <v>4.5000000000000012E-2</v>
      </c>
      <c r="M241" s="53">
        <f t="shared" si="239"/>
        <v>4.5000000000000012E-2</v>
      </c>
      <c r="N241" s="53">
        <f t="shared" si="239"/>
        <v>4.5000000000000012E-2</v>
      </c>
      <c r="O241" s="53">
        <f t="shared" si="239"/>
        <v>4.5000000000000012E-2</v>
      </c>
      <c r="P241" s="53">
        <f t="shared" si="239"/>
        <v>4.5000000000000012E-2</v>
      </c>
      <c r="Q241" s="53">
        <f t="shared" si="239"/>
        <v>4.5000000000000012E-2</v>
      </c>
      <c r="R241" s="53">
        <f t="shared" si="239"/>
        <v>4.5000000000000012E-2</v>
      </c>
      <c r="S241" s="53">
        <f t="shared" si="239"/>
        <v>4.5000000000000012E-2</v>
      </c>
      <c r="T241" s="53">
        <f t="shared" si="239"/>
        <v>4.5000000000000012E-2</v>
      </c>
      <c r="U241" s="53">
        <f t="shared" si="239"/>
        <v>4.5000000000000012E-2</v>
      </c>
      <c r="V241" s="53">
        <f t="shared" si="239"/>
        <v>4.5000000000000012E-2</v>
      </c>
      <c r="W241" s="53">
        <f t="shared" si="239"/>
        <v>4.5000000000000012E-2</v>
      </c>
      <c r="X241" s="53">
        <f t="shared" si="239"/>
        <v>4.5000000000000012E-2</v>
      </c>
      <c r="Y241" s="53">
        <f t="shared" si="239"/>
        <v>4.5000000000000012E-2</v>
      </c>
      <c r="Z241" s="53">
        <f t="shared" si="239"/>
        <v>4.5000000000000012E-2</v>
      </c>
      <c r="AA241" s="53">
        <f t="shared" si="239"/>
        <v>4.5000000000000012E-2</v>
      </c>
      <c r="AB241" s="53">
        <f t="shared" si="239"/>
        <v>4.5000000000000012E-2</v>
      </c>
      <c r="AC241" s="53">
        <f t="shared" si="239"/>
        <v>4.5000000000000012E-2</v>
      </c>
      <c r="AD241" s="53">
        <f t="shared" si="239"/>
        <v>4.5000000000000012E-2</v>
      </c>
      <c r="AE241" s="53">
        <f t="shared" si="239"/>
        <v>4.5000000000000012E-2</v>
      </c>
      <c r="AF241" s="53">
        <f t="shared" si="239"/>
        <v>4.5000000000000012E-2</v>
      </c>
      <c r="AG241" s="53">
        <f t="shared" si="239"/>
        <v>4.5000000000000012E-2</v>
      </c>
      <c r="AH241" s="53">
        <f t="shared" si="239"/>
        <v>4.5000000000000012E-2</v>
      </c>
      <c r="AI241" s="53">
        <f t="shared" si="239"/>
        <v>4.5000000000000012E-2</v>
      </c>
      <c r="AJ241" s="53">
        <f t="shared" si="239"/>
        <v>4.5000000000000012E-2</v>
      </c>
      <c r="AK241" s="53">
        <f t="shared" si="239"/>
        <v>4.5000000000000012E-2</v>
      </c>
      <c r="AL241" s="53">
        <f t="shared" si="239"/>
        <v>4.5000000000000012E-2</v>
      </c>
      <c r="AM241" s="53">
        <f t="shared" si="239"/>
        <v>4.5000000000000012E-2</v>
      </c>
      <c r="AN241" s="53">
        <f t="shared" si="239"/>
        <v>4.5000000000000012E-2</v>
      </c>
      <c r="AO241" s="53">
        <f t="shared" si="239"/>
        <v>4.5000000000000012E-2</v>
      </c>
      <c r="AP241" s="53">
        <f t="shared" si="239"/>
        <v>4.5000000000000012E-2</v>
      </c>
      <c r="AQ241" s="53">
        <f t="shared" si="239"/>
        <v>4.5000000000000012E-2</v>
      </c>
    </row>
    <row r="242" spans="1:43" s="16" customFormat="1" hidden="1" outlineLevel="5">
      <c r="A242" s="53"/>
      <c r="B242" s="53"/>
      <c r="C242" s="53"/>
      <c r="D242" s="53"/>
      <c r="E242" s="53"/>
      <c r="F242" s="53" t="s">
        <v>416</v>
      </c>
      <c r="G242" s="53"/>
      <c r="H242" s="53">
        <f t="shared" ref="H242:AQ242" si="240">H115</f>
        <v>19475</v>
      </c>
      <c r="I242" s="53">
        <f t="shared" si="240"/>
        <v>19530.910752554017</v>
      </c>
      <c r="J242" s="53">
        <f t="shared" si="240"/>
        <v>19586.982019215924</v>
      </c>
      <c r="K242" s="53">
        <f t="shared" si="240"/>
        <v>19643.214260805467</v>
      </c>
      <c r="L242" s="53">
        <f t="shared" si="240"/>
        <v>19699.607939465361</v>
      </c>
      <c r="M242" s="53">
        <f t="shared" si="240"/>
        <v>19756.163518665086</v>
      </c>
      <c r="N242" s="53">
        <f t="shared" si="240"/>
        <v>19812.881463204689</v>
      </c>
      <c r="O242" s="53">
        <f t="shared" si="240"/>
        <v>19869.76223921862</v>
      </c>
      <c r="P242" s="53">
        <f t="shared" si="240"/>
        <v>19926.80631417955</v>
      </c>
      <c r="Q242" s="53">
        <f t="shared" si="240"/>
        <v>19984.014156902216</v>
      </c>
      <c r="R242" s="53">
        <f t="shared" si="240"/>
        <v>20041.386237547275</v>
      </c>
      <c r="S242" s="53">
        <f t="shared" si="240"/>
        <v>20098.923027625169</v>
      </c>
      <c r="T242" s="53">
        <f t="shared" si="240"/>
        <v>20156.625</v>
      </c>
      <c r="U242" s="53">
        <f t="shared" si="240"/>
        <v>20214.492628893408</v>
      </c>
      <c r="V242" s="53">
        <f t="shared" si="240"/>
        <v>20272.52638988848</v>
      </c>
      <c r="W242" s="53">
        <f t="shared" si="240"/>
        <v>20330.726759933656</v>
      </c>
      <c r="X242" s="53">
        <f t="shared" si="240"/>
        <v>20389.094217346646</v>
      </c>
      <c r="Y242" s="53">
        <f t="shared" si="240"/>
        <v>20447.629241818362</v>
      </c>
      <c r="Z242" s="53">
        <f t="shared" si="240"/>
        <v>20506.332314416853</v>
      </c>
      <c r="AA242" s="53">
        <f t="shared" si="240"/>
        <v>20565.203917591269</v>
      </c>
      <c r="AB242" s="53">
        <f t="shared" si="240"/>
        <v>20624.244535175832</v>
      </c>
      <c r="AC242" s="53">
        <f t="shared" si="240"/>
        <v>20683.454652393793</v>
      </c>
      <c r="AD242" s="53">
        <f t="shared" si="240"/>
        <v>20742.834755861426</v>
      </c>
      <c r="AE242" s="53">
        <f t="shared" si="240"/>
        <v>20802.38533359205</v>
      </c>
      <c r="AF242" s="53">
        <f t="shared" si="240"/>
        <v>20862.106874999998</v>
      </c>
      <c r="AG242" s="53">
        <f t="shared" si="240"/>
        <v>20921.999870904674</v>
      </c>
      <c r="AH242" s="53">
        <f t="shared" si="240"/>
        <v>20982.064813534573</v>
      </c>
      <c r="AI242" s="53">
        <f t="shared" si="240"/>
        <v>21042.302196531335</v>
      </c>
      <c r="AJ242" s="53">
        <f t="shared" si="240"/>
        <v>21102.712514953782</v>
      </c>
      <c r="AK242" s="53">
        <f t="shared" si="240"/>
        <v>21163.296265282002</v>
      </c>
      <c r="AL242" s="53">
        <f t="shared" si="240"/>
        <v>21224.053945421438</v>
      </c>
      <c r="AM242" s="53">
        <f t="shared" si="240"/>
        <v>21284.986054706962</v>
      </c>
      <c r="AN242" s="53">
        <f t="shared" si="240"/>
        <v>21346.093093906984</v>
      </c>
      <c r="AO242" s="53">
        <f t="shared" si="240"/>
        <v>21407.375565227576</v>
      </c>
      <c r="AP242" s="53">
        <f t="shared" si="240"/>
        <v>21468.833972316577</v>
      </c>
      <c r="AQ242" s="53">
        <f t="shared" si="240"/>
        <v>21530.468820267768</v>
      </c>
    </row>
    <row r="243" spans="1:43" s="16" customFormat="1" hidden="1" outlineLevel="4" collapsed="1">
      <c r="A243" s="53"/>
      <c r="B243" s="53"/>
      <c r="C243" s="53"/>
      <c r="D243" s="53"/>
      <c r="E243" s="53" t="s">
        <v>478</v>
      </c>
      <c r="F243" s="53"/>
      <c r="G243" s="53"/>
      <c r="H243" s="53">
        <f t="shared" ref="H243:AQ243" si="241">((H244*H245)*H246)</f>
        <v>1875.9791307517612</v>
      </c>
      <c r="I243" s="53">
        <f t="shared" si="241"/>
        <v>2224.7845098094567</v>
      </c>
      <c r="J243" s="53">
        <f t="shared" si="241"/>
        <v>2588.0816454142955</v>
      </c>
      <c r="K243" s="53">
        <f t="shared" si="241"/>
        <v>2966.3395955627248</v>
      </c>
      <c r="L243" s="53">
        <f t="shared" si="241"/>
        <v>3360.0410334732856</v>
      </c>
      <c r="M243" s="53">
        <f t="shared" si="241"/>
        <v>3769.6826192017265</v>
      </c>
      <c r="N243" s="53">
        <f t="shared" si="241"/>
        <v>4195.7753810047316</v>
      </c>
      <c r="O243" s="53">
        <f t="shared" si="241"/>
        <v>4638.8451067009955</v>
      </c>
      <c r="P243" s="53">
        <f t="shared" si="241"/>
        <v>5099.432745284711</v>
      </c>
      <c r="Q243" s="53">
        <f t="shared" si="241"/>
        <v>5578.094819052696</v>
      </c>
      <c r="R243" s="53">
        <f t="shared" si="241"/>
        <v>6075.4038465131762</v>
      </c>
      <c r="S243" s="53">
        <f t="shared" si="241"/>
        <v>6591.9487763506659</v>
      </c>
      <c r="T243" s="53">
        <f t="shared" si="241"/>
        <v>7128.3354327284924</v>
      </c>
      <c r="U243" s="53">
        <f t="shared" si="241"/>
        <v>7685.1869722173269</v>
      </c>
      <c r="V243" s="53">
        <f t="shared" si="241"/>
        <v>8263.1443526454295</v>
      </c>
      <c r="W243" s="53">
        <f t="shared" si="241"/>
        <v>8862.8668141735652</v>
      </c>
      <c r="X243" s="53">
        <f t="shared" si="241"/>
        <v>9485.0323729052197</v>
      </c>
      <c r="Y243" s="53">
        <f t="shared" si="241"/>
        <v>10130.338327350451</v>
      </c>
      <c r="Z243" s="53">
        <f t="shared" si="241"/>
        <v>10799.501778069494</v>
      </c>
      <c r="AA243" s="53">
        <f t="shared" si="241"/>
        <v>11493.260160830641</v>
      </c>
      <c r="AB243" s="53">
        <f t="shared" si="241"/>
        <v>12212.371793625032</v>
      </c>
      <c r="AC243" s="53">
        <f t="shared" si="241"/>
        <v>12957.616437889463</v>
      </c>
      <c r="AD243" s="53">
        <f t="shared" si="241"/>
        <v>13729.795874297421</v>
      </c>
      <c r="AE243" s="53">
        <f t="shared" si="241"/>
        <v>14529.734493486934</v>
      </c>
      <c r="AF243" s="53">
        <f t="shared" si="241"/>
        <v>15358.279902103677</v>
      </c>
      <c r="AG243" s="53">
        <f t="shared" si="241"/>
        <v>16216.303544546425</v>
      </c>
      <c r="AH243" s="53">
        <f t="shared" si="241"/>
        <v>17104.701340812262</v>
      </c>
      <c r="AI243" s="53">
        <f t="shared" si="241"/>
        <v>18024.394340848397</v>
      </c>
      <c r="AJ243" s="53">
        <f t="shared" si="241"/>
        <v>18976.329395827528</v>
      </c>
      <c r="AK243" s="53">
        <f t="shared" si="241"/>
        <v>19961.479846774448</v>
      </c>
      <c r="AL243" s="53">
        <f t="shared" si="241"/>
        <v>20980.846230981624</v>
      </c>
      <c r="AM243" s="53">
        <f t="shared" si="241"/>
        <v>22035.457006662855</v>
      </c>
      <c r="AN243" s="53">
        <f t="shared" si="241"/>
        <v>23126.369296304787</v>
      </c>
      <c r="AO243" s="53">
        <f t="shared" si="241"/>
        <v>24254.669649188025</v>
      </c>
      <c r="AP243" s="53">
        <f t="shared" si="241"/>
        <v>25421.474823560577</v>
      </c>
      <c r="AQ243" s="53">
        <f t="shared" si="241"/>
        <v>26627.932588958891</v>
      </c>
    </row>
    <row r="244" spans="1:43" s="16" customFormat="1" hidden="1" outlineLevel="5">
      <c r="A244" s="53"/>
      <c r="B244" s="53"/>
      <c r="C244" s="53"/>
      <c r="D244" s="53"/>
      <c r="E244" s="53"/>
      <c r="F244" s="53" t="s">
        <v>404</v>
      </c>
      <c r="G244" s="53"/>
      <c r="H244" s="53">
        <f t="shared" ref="H244:AQ244" si="242">H100</f>
        <v>1.6466248692729106</v>
      </c>
      <c r="I244" s="53">
        <f t="shared" si="242"/>
        <v>1.9471956491437103</v>
      </c>
      <c r="J244" s="53">
        <f t="shared" si="242"/>
        <v>2.2586793536656766</v>
      </c>
      <c r="K244" s="53">
        <f t="shared" si="242"/>
        <v>2.5813830201091408</v>
      </c>
      <c r="L244" s="53">
        <f t="shared" si="242"/>
        <v>2.9156214194357211</v>
      </c>
      <c r="M244" s="53">
        <f t="shared" si="242"/>
        <v>3.2617172393199323</v>
      </c>
      <c r="N244" s="53">
        <f t="shared" si="242"/>
        <v>3.6200012713319882</v>
      </c>
      <c r="O244" s="53">
        <f t="shared" si="242"/>
        <v>3.990812602373782</v>
      </c>
      <c r="P244" s="53">
        <f t="shared" si="242"/>
        <v>4.3744988104621125</v>
      </c>
      <c r="Q244" s="53">
        <f t="shared" si="242"/>
        <v>4.7714161649551086</v>
      </c>
      <c r="R244" s="53">
        <f t="shared" si="242"/>
        <v>5.1819298313200557</v>
      </c>
      <c r="S244" s="53">
        <f t="shared" si="242"/>
        <v>5.606414080542784</v>
      </c>
      <c r="T244" s="53">
        <f t="shared" si="242"/>
        <v>6.0452525032811089</v>
      </c>
      <c r="U244" s="53">
        <f t="shared" si="242"/>
        <v>6.4988382288668909</v>
      </c>
      <c r="V244" s="53">
        <f t="shared" si="242"/>
        <v>6.9675741492636334</v>
      </c>
      <c r="W244" s="53">
        <f t="shared" si="242"/>
        <v>7.4518731480887856</v>
      </c>
      <c r="X244" s="53">
        <f t="shared" si="242"/>
        <v>7.9521583348123466</v>
      </c>
      <c r="Y244" s="53">
        <f t="shared" si="242"/>
        <v>8.4688632842457423</v>
      </c>
      <c r="Z244" s="53">
        <f t="shared" si="242"/>
        <v>9.0024322814373381</v>
      </c>
      <c r="AA244" s="53">
        <f t="shared" si="242"/>
        <v>9.5533205720936039</v>
      </c>
      <c r="AB244" s="53">
        <f t="shared" si="242"/>
        <v>10.121994618647433</v>
      </c>
      <c r="AC244" s="53">
        <f t="shared" si="242"/>
        <v>10.708932362097663</v>
      </c>
      <c r="AD244" s="53">
        <f t="shared" si="242"/>
        <v>11.314623489746774</v>
      </c>
      <c r="AE244" s="53">
        <f t="shared" si="242"/>
        <v>11.939569708966058</v>
      </c>
      <c r="AF244" s="53">
        <f t="shared" si="242"/>
        <v>12.584285027120947</v>
      </c>
      <c r="AG244" s="53">
        <f t="shared" si="242"/>
        <v>13.249296037791259</v>
      </c>
      <c r="AH244" s="53">
        <f t="shared" si="242"/>
        <v>13.935142213424854</v>
      </c>
      <c r="AI244" s="53">
        <f t="shared" si="242"/>
        <v>14.642376204565531</v>
      </c>
      <c r="AJ244" s="53">
        <f t="shared" si="242"/>
        <v>15.371564145799352</v>
      </c>
      <c r="AK244" s="53">
        <f t="shared" si="242"/>
        <v>16.123285968566641</v>
      </c>
      <c r="AL244" s="53">
        <f t="shared" si="242"/>
        <v>16.898135720989963</v>
      </c>
      <c r="AM244" s="53">
        <f t="shared" si="242"/>
        <v>17.696721894871796</v>
      </c>
      <c r="AN244" s="53">
        <f t="shared" si="242"/>
        <v>18.519667760018656</v>
      </c>
      <c r="AO244" s="53">
        <f t="shared" si="242"/>
        <v>19.367611706052212</v>
      </c>
      <c r="AP244" s="53">
        <f t="shared" si="242"/>
        <v>20.241207591870875</v>
      </c>
      <c r="AQ244" s="53">
        <f t="shared" si="242"/>
        <v>21.141125102929234</v>
      </c>
    </row>
    <row r="245" spans="1:43" s="16" customFormat="1" hidden="1" outlineLevel="5">
      <c r="A245" s="53"/>
      <c r="B245" s="53"/>
      <c r="C245" s="53"/>
      <c r="D245" s="53"/>
      <c r="E245" s="53"/>
      <c r="F245" s="53" t="s">
        <v>479</v>
      </c>
      <c r="G245" s="53"/>
      <c r="H245" s="53">
        <f t="shared" ref="H245:AQ245" si="243">northern_private_wastage_rate_positive*(1+northern_private_wastage_rate_positive_growth)^((COLUMN()-8)/12)</f>
        <v>5.8500000000000003E-2</v>
      </c>
      <c r="I245" s="53">
        <f t="shared" si="243"/>
        <v>5.8500000000000003E-2</v>
      </c>
      <c r="J245" s="53">
        <f t="shared" si="243"/>
        <v>5.8500000000000003E-2</v>
      </c>
      <c r="K245" s="53">
        <f t="shared" si="243"/>
        <v>5.8500000000000003E-2</v>
      </c>
      <c r="L245" s="53">
        <f t="shared" si="243"/>
        <v>5.8500000000000003E-2</v>
      </c>
      <c r="M245" s="53">
        <f t="shared" si="243"/>
        <v>5.8500000000000003E-2</v>
      </c>
      <c r="N245" s="53">
        <f t="shared" si="243"/>
        <v>5.8500000000000003E-2</v>
      </c>
      <c r="O245" s="53">
        <f t="shared" si="243"/>
        <v>5.8500000000000003E-2</v>
      </c>
      <c r="P245" s="53">
        <f t="shared" si="243"/>
        <v>5.8500000000000003E-2</v>
      </c>
      <c r="Q245" s="53">
        <f t="shared" si="243"/>
        <v>5.8500000000000003E-2</v>
      </c>
      <c r="R245" s="53">
        <f t="shared" si="243"/>
        <v>5.8500000000000003E-2</v>
      </c>
      <c r="S245" s="53">
        <f t="shared" si="243"/>
        <v>5.8500000000000003E-2</v>
      </c>
      <c r="T245" s="53">
        <f t="shared" si="243"/>
        <v>5.8500000000000003E-2</v>
      </c>
      <c r="U245" s="53">
        <f t="shared" si="243"/>
        <v>5.8500000000000003E-2</v>
      </c>
      <c r="V245" s="53">
        <f t="shared" si="243"/>
        <v>5.8500000000000003E-2</v>
      </c>
      <c r="W245" s="53">
        <f t="shared" si="243"/>
        <v>5.8500000000000003E-2</v>
      </c>
      <c r="X245" s="53">
        <f t="shared" si="243"/>
        <v>5.8500000000000003E-2</v>
      </c>
      <c r="Y245" s="53">
        <f t="shared" si="243"/>
        <v>5.8500000000000003E-2</v>
      </c>
      <c r="Z245" s="53">
        <f t="shared" si="243"/>
        <v>5.8500000000000003E-2</v>
      </c>
      <c r="AA245" s="53">
        <f t="shared" si="243"/>
        <v>5.8500000000000003E-2</v>
      </c>
      <c r="AB245" s="53">
        <f t="shared" si="243"/>
        <v>5.8500000000000003E-2</v>
      </c>
      <c r="AC245" s="53">
        <f t="shared" si="243"/>
        <v>5.8500000000000003E-2</v>
      </c>
      <c r="AD245" s="53">
        <f t="shared" si="243"/>
        <v>5.8500000000000003E-2</v>
      </c>
      <c r="AE245" s="53">
        <f t="shared" si="243"/>
        <v>5.8500000000000003E-2</v>
      </c>
      <c r="AF245" s="53">
        <f t="shared" si="243"/>
        <v>5.8500000000000003E-2</v>
      </c>
      <c r="AG245" s="53">
        <f t="shared" si="243"/>
        <v>5.8500000000000003E-2</v>
      </c>
      <c r="AH245" s="53">
        <f t="shared" si="243"/>
        <v>5.8500000000000003E-2</v>
      </c>
      <c r="AI245" s="53">
        <f t="shared" si="243"/>
        <v>5.8500000000000003E-2</v>
      </c>
      <c r="AJ245" s="53">
        <f t="shared" si="243"/>
        <v>5.8500000000000003E-2</v>
      </c>
      <c r="AK245" s="53">
        <f t="shared" si="243"/>
        <v>5.8500000000000003E-2</v>
      </c>
      <c r="AL245" s="53">
        <f t="shared" si="243"/>
        <v>5.8500000000000003E-2</v>
      </c>
      <c r="AM245" s="53">
        <f t="shared" si="243"/>
        <v>5.8500000000000003E-2</v>
      </c>
      <c r="AN245" s="53">
        <f t="shared" si="243"/>
        <v>5.8500000000000003E-2</v>
      </c>
      <c r="AO245" s="53">
        <f t="shared" si="243"/>
        <v>5.8500000000000003E-2</v>
      </c>
      <c r="AP245" s="53">
        <f t="shared" si="243"/>
        <v>5.8500000000000003E-2</v>
      </c>
      <c r="AQ245" s="53">
        <f t="shared" si="243"/>
        <v>5.8500000000000003E-2</v>
      </c>
    </row>
    <row r="246" spans="1:43" s="16" customFormat="1" hidden="1" outlineLevel="5">
      <c r="A246" s="53"/>
      <c r="B246" s="53"/>
      <c r="C246" s="53"/>
      <c r="D246" s="53"/>
      <c r="E246" s="53"/>
      <c r="F246" s="53" t="s">
        <v>416</v>
      </c>
      <c r="G246" s="53"/>
      <c r="H246" s="53">
        <f t="shared" ref="H246:AQ246" si="244">H115</f>
        <v>19475</v>
      </c>
      <c r="I246" s="53">
        <f t="shared" si="244"/>
        <v>19530.910752554017</v>
      </c>
      <c r="J246" s="53">
        <f t="shared" si="244"/>
        <v>19586.982019215924</v>
      </c>
      <c r="K246" s="53">
        <f t="shared" si="244"/>
        <v>19643.214260805467</v>
      </c>
      <c r="L246" s="53">
        <f t="shared" si="244"/>
        <v>19699.607939465361</v>
      </c>
      <c r="M246" s="53">
        <f t="shared" si="244"/>
        <v>19756.163518665086</v>
      </c>
      <c r="N246" s="53">
        <f t="shared" si="244"/>
        <v>19812.881463204689</v>
      </c>
      <c r="O246" s="53">
        <f t="shared" si="244"/>
        <v>19869.76223921862</v>
      </c>
      <c r="P246" s="53">
        <f t="shared" si="244"/>
        <v>19926.80631417955</v>
      </c>
      <c r="Q246" s="53">
        <f t="shared" si="244"/>
        <v>19984.014156902216</v>
      </c>
      <c r="R246" s="53">
        <f t="shared" si="244"/>
        <v>20041.386237547275</v>
      </c>
      <c r="S246" s="53">
        <f t="shared" si="244"/>
        <v>20098.923027625169</v>
      </c>
      <c r="T246" s="53">
        <f t="shared" si="244"/>
        <v>20156.625</v>
      </c>
      <c r="U246" s="53">
        <f t="shared" si="244"/>
        <v>20214.492628893408</v>
      </c>
      <c r="V246" s="53">
        <f t="shared" si="244"/>
        <v>20272.52638988848</v>
      </c>
      <c r="W246" s="53">
        <f t="shared" si="244"/>
        <v>20330.726759933656</v>
      </c>
      <c r="X246" s="53">
        <f t="shared" si="244"/>
        <v>20389.094217346646</v>
      </c>
      <c r="Y246" s="53">
        <f t="shared" si="244"/>
        <v>20447.629241818362</v>
      </c>
      <c r="Z246" s="53">
        <f t="shared" si="244"/>
        <v>20506.332314416853</v>
      </c>
      <c r="AA246" s="53">
        <f t="shared" si="244"/>
        <v>20565.203917591269</v>
      </c>
      <c r="AB246" s="53">
        <f t="shared" si="244"/>
        <v>20624.244535175832</v>
      </c>
      <c r="AC246" s="53">
        <f t="shared" si="244"/>
        <v>20683.454652393793</v>
      </c>
      <c r="AD246" s="53">
        <f t="shared" si="244"/>
        <v>20742.834755861426</v>
      </c>
      <c r="AE246" s="53">
        <f t="shared" si="244"/>
        <v>20802.38533359205</v>
      </c>
      <c r="AF246" s="53">
        <f t="shared" si="244"/>
        <v>20862.106874999998</v>
      </c>
      <c r="AG246" s="53">
        <f t="shared" si="244"/>
        <v>20921.999870904674</v>
      </c>
      <c r="AH246" s="53">
        <f t="shared" si="244"/>
        <v>20982.064813534573</v>
      </c>
      <c r="AI246" s="53">
        <f t="shared" si="244"/>
        <v>21042.302196531335</v>
      </c>
      <c r="AJ246" s="53">
        <f t="shared" si="244"/>
        <v>21102.712514953782</v>
      </c>
      <c r="AK246" s="53">
        <f t="shared" si="244"/>
        <v>21163.296265282002</v>
      </c>
      <c r="AL246" s="53">
        <f t="shared" si="244"/>
        <v>21224.053945421438</v>
      </c>
      <c r="AM246" s="53">
        <f t="shared" si="244"/>
        <v>21284.986054706962</v>
      </c>
      <c r="AN246" s="53">
        <f t="shared" si="244"/>
        <v>21346.093093906984</v>
      </c>
      <c r="AO246" s="53">
        <f t="shared" si="244"/>
        <v>21407.375565227576</v>
      </c>
      <c r="AP246" s="53">
        <f t="shared" si="244"/>
        <v>21468.833972316577</v>
      </c>
      <c r="AQ246" s="53">
        <f t="shared" si="244"/>
        <v>21530.468820267768</v>
      </c>
    </row>
    <row r="247" spans="1:43" s="16" customFormat="1" outlineLevel="3" collapsed="1">
      <c r="A247" s="53"/>
      <c r="B247" s="53"/>
      <c r="C247" s="53"/>
      <c r="D247" s="53" t="s">
        <v>480</v>
      </c>
      <c r="E247" s="53"/>
      <c r="F247" s="53"/>
      <c r="G247" s="53"/>
      <c r="H247" s="53">
        <f t="shared" ref="H247:AQ247" si="245">(((H248+H251)+H254)+H257)</f>
        <v>276348.41146314342</v>
      </c>
      <c r="I247" s="53">
        <f t="shared" si="245"/>
        <v>406552.00008387741</v>
      </c>
      <c r="J247" s="53">
        <f t="shared" si="245"/>
        <v>542121.08579028957</v>
      </c>
      <c r="K247" s="53">
        <f t="shared" si="245"/>
        <v>683224.15836983419</v>
      </c>
      <c r="L247" s="53">
        <f t="shared" si="245"/>
        <v>830034.43344434153</v>
      </c>
      <c r="M247" s="53">
        <f t="shared" si="245"/>
        <v>982729.97705904103</v>
      </c>
      <c r="N247" s="53">
        <f t="shared" si="245"/>
        <v>1141493.8334306756</v>
      </c>
      <c r="O247" s="53">
        <f t="shared" si="245"/>
        <v>1306514.1559326816</v>
      </c>
      <c r="P247" s="53">
        <f t="shared" si="245"/>
        <v>1477984.3413973507</v>
      </c>
      <c r="Q247" s="53">
        <f t="shared" si="245"/>
        <v>1656103.1678167649</v>
      </c>
      <c r="R247" s="53">
        <f t="shared" si="245"/>
        <v>1841074.9355263403</v>
      </c>
      <c r="S247" s="53">
        <f t="shared" si="245"/>
        <v>2033109.6119567764</v>
      </c>
      <c r="T247" s="53">
        <f t="shared" si="245"/>
        <v>2232422.9800423351</v>
      </c>
      <c r="U247" s="53">
        <f t="shared" si="245"/>
        <v>2439236.7903754902</v>
      </c>
      <c r="V247" s="53">
        <f t="shared" si="245"/>
        <v>2653778.9172001281</v>
      </c>
      <c r="W247" s="53">
        <f t="shared" si="245"/>
        <v>2876283.5183377541</v>
      </c>
      <c r="X247" s="53">
        <f t="shared" si="245"/>
        <v>3106991.1991434223</v>
      </c>
      <c r="Y247" s="53">
        <f t="shared" si="245"/>
        <v>3346149.1805904401</v>
      </c>
      <c r="Z247" s="53">
        <f t="shared" si="245"/>
        <v>3594011.4715852737</v>
      </c>
      <c r="AA247" s="53">
        <f t="shared" si="245"/>
        <v>3850839.0456165834</v>
      </c>
      <c r="AB247" s="53">
        <f t="shared" si="245"/>
        <v>4116900.0218447386</v>
      </c>
      <c r="AC247" s="53">
        <f t="shared" si="245"/>
        <v>4392469.8507408416</v>
      </c>
      <c r="AD247" s="53">
        <f t="shared" si="245"/>
        <v>4677831.5043867733</v>
      </c>
      <c r="AE247" s="53">
        <f t="shared" si="245"/>
        <v>4973275.6715506008</v>
      </c>
      <c r="AF247" s="53">
        <f t="shared" si="245"/>
        <v>5279100.957654397</v>
      </c>
      <c r="AG247" s="53">
        <f t="shared" si="245"/>
        <v>5595614.0897542369</v>
      </c>
      <c r="AH247" s="53">
        <f t="shared" si="245"/>
        <v>5923130.1266552042</v>
      </c>
      <c r="AI247" s="53">
        <f t="shared" si="245"/>
        <v>6261972.6742870724</v>
      </c>
      <c r="AJ247" s="53">
        <f t="shared" si="245"/>
        <v>6612474.1064693565</v>
      </c>
      <c r="AK247" s="53">
        <f t="shared" si="245"/>
        <v>6974975.7911975831</v>
      </c>
      <c r="AL247" s="53">
        <f t="shared" si="245"/>
        <v>7349828.3225857681</v>
      </c>
      <c r="AM247" s="53">
        <f t="shared" si="245"/>
        <v>7737391.7586033056</v>
      </c>
      <c r="AN247" s="53">
        <f t="shared" si="245"/>
        <v>8138035.8647478307</v>
      </c>
      <c r="AO247" s="53">
        <f t="shared" si="245"/>
        <v>8552140.3637990747</v>
      </c>
      <c r="AP247" s="53">
        <f t="shared" si="245"/>
        <v>8980095.1918020379</v>
      </c>
      <c r="AQ247" s="53">
        <f t="shared" si="245"/>
        <v>9422300.7604315933</v>
      </c>
    </row>
    <row r="248" spans="1:43" s="16" customFormat="1" hidden="1" outlineLevel="4" collapsed="1">
      <c r="A248" s="53"/>
      <c r="B248" s="53"/>
      <c r="C248" s="53"/>
      <c r="D248" s="53"/>
      <c r="E248" s="53" t="s">
        <v>481</v>
      </c>
      <c r="F248" s="53"/>
      <c r="G248" s="53"/>
      <c r="H248" s="53">
        <f t="shared" ref="H248:AQ248" si="246">(H249*H250)</f>
        <v>213228.58389971469</v>
      </c>
      <c r="I248" s="53">
        <f t="shared" si="246"/>
        <v>322817.70042329945</v>
      </c>
      <c r="J248" s="53">
        <f t="shared" si="246"/>
        <v>436925.16725019354</v>
      </c>
      <c r="K248" s="53">
        <f t="shared" si="246"/>
        <v>555692.78230197693</v>
      </c>
      <c r="L248" s="53">
        <f t="shared" si="246"/>
        <v>679266.31730950216</v>
      </c>
      <c r="M248" s="53">
        <f t="shared" si="246"/>
        <v>807795.62248413672</v>
      </c>
      <c r="N248" s="53">
        <f t="shared" si="246"/>
        <v>941434.73384080664</v>
      </c>
      <c r="O248" s="53">
        <f t="shared" si="246"/>
        <v>1080341.9832382419</v>
      </c>
      <c r="P248" s="53">
        <f t="shared" si="246"/>
        <v>1224680.1112034488</v>
      </c>
      <c r="Q248" s="53">
        <f t="shared" si="246"/>
        <v>1374616.3826090181</v>
      </c>
      <c r="R248" s="53">
        <f t="shared" si="246"/>
        <v>1530322.7052735661</v>
      </c>
      <c r="S248" s="53">
        <f t="shared" si="246"/>
        <v>1691975.7515572861</v>
      </c>
      <c r="T248" s="53">
        <f t="shared" si="246"/>
        <v>1859757.0830263302</v>
      </c>
      <c r="U248" s="53">
        <f t="shared" si="246"/>
        <v>2033853.2782615491</v>
      </c>
      <c r="V248" s="53">
        <f t="shared" si="246"/>
        <v>2214456.0638888874</v>
      </c>
      <c r="W248" s="53">
        <f t="shared" si="246"/>
        <v>2401762.448910655</v>
      </c>
      <c r="X248" s="53">
        <f t="shared" si="246"/>
        <v>2595974.8624187759</v>
      </c>
      <c r="Y248" s="53">
        <f t="shared" si="246"/>
        <v>2797301.2947730822</v>
      </c>
      <c r="Z248" s="53">
        <f t="shared" si="246"/>
        <v>3005955.4423297122</v>
      </c>
      <c r="AA248" s="53">
        <f t="shared" si="246"/>
        <v>3222156.8558067563</v>
      </c>
      <c r="AB248" s="53">
        <f t="shared" si="246"/>
        <v>3446131.0923763355</v>
      </c>
      <c r="AC248" s="53">
        <f t="shared" si="246"/>
        <v>3678109.8715745416</v>
      </c>
      <c r="AD248" s="53">
        <f t="shared" si="246"/>
        <v>3918331.2351227384</v>
      </c>
      <c r="AE248" s="53">
        <f t="shared" si="246"/>
        <v>4167039.7107561058</v>
      </c>
      <c r="AF248" s="53">
        <f t="shared" si="246"/>
        <v>4424486.4801575709</v>
      </c>
      <c r="AG248" s="53">
        <f t="shared" si="246"/>
        <v>4690929.5510975523</v>
      </c>
      <c r="AH248" s="53">
        <f t="shared" si="246"/>
        <v>4966633.9338824935</v>
      </c>
      <c r="AI248" s="53">
        <f t="shared" si="246"/>
        <v>5251871.8222175781</v>
      </c>
      <c r="AJ248" s="53">
        <f t="shared" si="246"/>
        <v>5546922.7785915025</v>
      </c>
      <c r="AK248" s="53">
        <f t="shared" si="246"/>
        <v>5852073.924293871</v>
      </c>
      <c r="AL248" s="53">
        <f t="shared" si="246"/>
        <v>6167620.1341783777</v>
      </c>
      <c r="AM248" s="53">
        <f t="shared" si="246"/>
        <v>6493864.236287659</v>
      </c>
      <c r="AN248" s="53">
        <f t="shared" si="246"/>
        <v>6831117.2164584864</v>
      </c>
      <c r="AO248" s="53">
        <f t="shared" si="246"/>
        <v>7179698.4280288909</v>
      </c>
      <c r="AP248" s="53">
        <f t="shared" si="246"/>
        <v>7539935.8067715578</v>
      </c>
      <c r="AQ248" s="53">
        <f t="shared" si="246"/>
        <v>7912166.0911810361</v>
      </c>
    </row>
    <row r="249" spans="1:43" s="16" customFormat="1" hidden="1" outlineLevel="5">
      <c r="A249" s="53"/>
      <c r="B249" s="53"/>
      <c r="C249" s="53"/>
      <c r="D249" s="53"/>
      <c r="E249" s="53"/>
      <c r="F249" s="53" t="s">
        <v>377</v>
      </c>
      <c r="G249" s="53"/>
      <c r="H249" s="53">
        <f t="shared" ref="H249:AQ249" si="247">H67</f>
        <v>49.878031321570688</v>
      </c>
      <c r="I249" s="53">
        <f t="shared" si="247"/>
        <v>75.32713534278902</v>
      </c>
      <c r="J249" s="53">
        <f t="shared" si="247"/>
        <v>101.70244753739058</v>
      </c>
      <c r="K249" s="53">
        <f t="shared" si="247"/>
        <v>129.02959398312791</v>
      </c>
      <c r="L249" s="53">
        <f t="shared" si="247"/>
        <v>157.33483385524627</v>
      </c>
      <c r="M249" s="53">
        <f t="shared" si="247"/>
        <v>186.64507412991284</v>
      </c>
      <c r="N249" s="53">
        <f t="shared" si="247"/>
        <v>216.98788461617673</v>
      </c>
      <c r="O249" s="53">
        <f t="shared" si="247"/>
        <v>248.39151332360558</v>
      </c>
      <c r="P249" s="53">
        <f t="shared" si="247"/>
        <v>280.88490217290655</v>
      </c>
      <c r="Q249" s="53">
        <f t="shared" si="247"/>
        <v>314.49770305698672</v>
      </c>
      <c r="R249" s="53">
        <f t="shared" si="247"/>
        <v>349.26029426007409</v>
      </c>
      <c r="S249" s="53">
        <f t="shared" si="247"/>
        <v>385.20379724267815</v>
      </c>
      <c r="T249" s="53">
        <f t="shared" si="247"/>
        <v>422.36009380033619</v>
      </c>
      <c r="U249" s="53">
        <f t="shared" si="247"/>
        <v>460.76184360426566</v>
      </c>
      <c r="V249" s="53">
        <f t="shared" si="247"/>
        <v>500.4425021322059</v>
      </c>
      <c r="W249" s="53">
        <f t="shared" si="247"/>
        <v>541.43633899791951</v>
      </c>
      <c r="X249" s="53">
        <f t="shared" si="247"/>
        <v>583.77845668799853</v>
      </c>
      <c r="Y249" s="53">
        <f t="shared" si="247"/>
        <v>627.50480971480681</v>
      </c>
      <c r="Z249" s="53">
        <f t="shared" si="247"/>
        <v>672.6522241945753</v>
      </c>
      <c r="AA249" s="53">
        <f t="shared" si="247"/>
        <v>719.25841785986358</v>
      </c>
      <c r="AB249" s="53">
        <f t="shared" si="247"/>
        <v>767.36202051579039</v>
      </c>
      <c r="AC249" s="53">
        <f t="shared" si="247"/>
        <v>817.0025949496478</v>
      </c>
      <c r="AD249" s="53">
        <f t="shared" si="247"/>
        <v>868.22065830370047</v>
      </c>
      <c r="AE249" s="53">
        <f t="shared" si="247"/>
        <v>921.05770392119518</v>
      </c>
      <c r="AF249" s="53">
        <f t="shared" si="247"/>
        <v>975.55622367582009</v>
      </c>
      <c r="AG249" s="53">
        <f t="shared" si="247"/>
        <v>1031.7597307950498</v>
      </c>
      <c r="AH249" s="53">
        <f t="shared" si="247"/>
        <v>1089.7127831880596</v>
      </c>
      <c r="AI249" s="53">
        <f t="shared" si="247"/>
        <v>1149.4610072891087</v>
      </c>
      <c r="AJ249" s="53">
        <f t="shared" si="247"/>
        <v>1211.0511224275158</v>
      </c>
      <c r="AK249" s="53">
        <f t="shared" si="247"/>
        <v>1274.5309657356036</v>
      </c>
      <c r="AL249" s="53">
        <f t="shared" si="247"/>
        <v>1339.9495176062126</v>
      </c>
      <c r="AM249" s="53">
        <f t="shared" si="247"/>
        <v>1407.3569277116471</v>
      </c>
      <c r="AN249" s="53">
        <f t="shared" si="247"/>
        <v>1476.8045415961496</v>
      </c>
      <c r="AO249" s="53">
        <f t="shared" si="247"/>
        <v>1548.3449278542844</v>
      </c>
      <c r="AP249" s="53">
        <f t="shared" si="247"/>
        <v>1622.0319059078297</v>
      </c>
      <c r="AQ249" s="53">
        <f t="shared" si="247"/>
        <v>1697.920574394102</v>
      </c>
    </row>
    <row r="250" spans="1:43" s="16" customFormat="1" hidden="1" outlineLevel="5">
      <c r="A250" s="53"/>
      <c r="B250" s="53"/>
      <c r="C250" s="53"/>
      <c r="D250" s="53"/>
      <c r="E250" s="53"/>
      <c r="F250" s="53" t="s">
        <v>482</v>
      </c>
      <c r="G250" s="53"/>
      <c r="H250" s="53">
        <f t="shared" ref="H250:AQ250" si="248">central_private_trade_support_per_dose_positive*(1+central_private_trade_support_per_dose_positive_growth)^((COLUMN()-8)/12)</f>
        <v>4275</v>
      </c>
      <c r="I250" s="53">
        <f t="shared" si="248"/>
        <v>4285.5433032765986</v>
      </c>
      <c r="J250" s="53">
        <f t="shared" si="248"/>
        <v>4296.1126091833667</v>
      </c>
      <c r="K250" s="53">
        <f t="shared" si="248"/>
        <v>4306.7079818498078</v>
      </c>
      <c r="L250" s="53">
        <f t="shared" si="248"/>
        <v>4317.3294855635831</v>
      </c>
      <c r="M250" s="53">
        <f t="shared" si="248"/>
        <v>4327.9771847709035</v>
      </c>
      <c r="N250" s="53">
        <f t="shared" si="248"/>
        <v>4338.6511440769236</v>
      </c>
      <c r="O250" s="53">
        <f t="shared" si="248"/>
        <v>4349.351428246131</v>
      </c>
      <c r="P250" s="53">
        <f t="shared" si="248"/>
        <v>4360.0781022027404</v>
      </c>
      <c r="Q250" s="53">
        <f t="shared" si="248"/>
        <v>4370.8312310310857</v>
      </c>
      <c r="R250" s="53">
        <f t="shared" si="248"/>
        <v>4381.6108799760177</v>
      </c>
      <c r="S250" s="53">
        <f t="shared" si="248"/>
        <v>4392.4171144432994</v>
      </c>
      <c r="T250" s="53">
        <f t="shared" si="248"/>
        <v>4403.25</v>
      </c>
      <c r="U250" s="53">
        <f t="shared" si="248"/>
        <v>4414.109602374896</v>
      </c>
      <c r="V250" s="53">
        <f t="shared" si="248"/>
        <v>4424.9959874588685</v>
      </c>
      <c r="W250" s="53">
        <f t="shared" si="248"/>
        <v>4435.9092213053027</v>
      </c>
      <c r="X250" s="53">
        <f t="shared" si="248"/>
        <v>4446.8493701304906</v>
      </c>
      <c r="Y250" s="53">
        <f t="shared" si="248"/>
        <v>4457.8165003140311</v>
      </c>
      <c r="Z250" s="53">
        <f t="shared" si="248"/>
        <v>4468.8106783992316</v>
      </c>
      <c r="AA250" s="53">
        <f t="shared" si="248"/>
        <v>4479.8319710935157</v>
      </c>
      <c r="AB250" s="53">
        <f t="shared" si="248"/>
        <v>4490.8804452688219</v>
      </c>
      <c r="AC250" s="53">
        <f t="shared" si="248"/>
        <v>4501.9561679620183</v>
      </c>
      <c r="AD250" s="53">
        <f t="shared" si="248"/>
        <v>4513.0592063752993</v>
      </c>
      <c r="AE250" s="53">
        <f t="shared" si="248"/>
        <v>4524.189627876598</v>
      </c>
      <c r="AF250" s="53">
        <f t="shared" si="248"/>
        <v>4535.3474999999999</v>
      </c>
      <c r="AG250" s="53">
        <f t="shared" si="248"/>
        <v>4546.532890446143</v>
      </c>
      <c r="AH250" s="53">
        <f t="shared" si="248"/>
        <v>4557.7458670826345</v>
      </c>
      <c r="AI250" s="53">
        <f t="shared" si="248"/>
        <v>4568.9864979444619</v>
      </c>
      <c r="AJ250" s="53">
        <f t="shared" si="248"/>
        <v>4580.2548512344065</v>
      </c>
      <c r="AK250" s="53">
        <f t="shared" si="248"/>
        <v>4591.5509953234523</v>
      </c>
      <c r="AL250" s="53">
        <f t="shared" si="248"/>
        <v>4602.8749987512083</v>
      </c>
      <c r="AM250" s="53">
        <f t="shared" si="248"/>
        <v>4614.2269302263203</v>
      </c>
      <c r="AN250" s="53">
        <f t="shared" si="248"/>
        <v>4625.6068586268875</v>
      </c>
      <c r="AO250" s="53">
        <f t="shared" si="248"/>
        <v>4637.0148530008792</v>
      </c>
      <c r="AP250" s="53">
        <f t="shared" si="248"/>
        <v>4648.4509825665582</v>
      </c>
      <c r="AQ250" s="53">
        <f t="shared" si="248"/>
        <v>4659.915316712897</v>
      </c>
    </row>
    <row r="251" spans="1:43" s="16" customFormat="1" hidden="1" outlineLevel="4" collapsed="1">
      <c r="A251" s="53"/>
      <c r="B251" s="53"/>
      <c r="C251" s="53"/>
      <c r="D251" s="53"/>
      <c r="E251" s="53" t="s">
        <v>483</v>
      </c>
      <c r="F251" s="53"/>
      <c r="G251" s="53"/>
      <c r="H251" s="53">
        <f t="shared" ref="H251:AQ251" si="249">(H252*H253)</f>
        <v>48985.878088993057</v>
      </c>
      <c r="I251" s="53">
        <f t="shared" si="249"/>
        <v>66116.369287638343</v>
      </c>
      <c r="J251" s="53">
        <f t="shared" si="249"/>
        <v>83951.253631440151</v>
      </c>
      <c r="K251" s="53">
        <f t="shared" si="249"/>
        <v>102512.70906982872</v>
      </c>
      <c r="L251" s="53">
        <f t="shared" si="249"/>
        <v>121823.53779865401</v>
      </c>
      <c r="M251" s="53">
        <f t="shared" si="249"/>
        <v>141907.1827773249</v>
      </c>
      <c r="N251" s="53">
        <f t="shared" si="249"/>
        <v>162787.74466622746</v>
      </c>
      <c r="O251" s="53">
        <f t="shared" si="249"/>
        <v>184489.99919483071</v>
      </c>
      <c r="P251" s="53">
        <f t="shared" si="249"/>
        <v>207039.4149711474</v>
      </c>
      <c r="Q251" s="53">
        <f t="shared" si="249"/>
        <v>230462.17174346824</v>
      </c>
      <c r="R251" s="53">
        <f t="shared" si="249"/>
        <v>254785.17912556205</v>
      </c>
      <c r="S251" s="53">
        <f t="shared" si="249"/>
        <v>280036.09579679725</v>
      </c>
      <c r="T251" s="53">
        <f t="shared" si="249"/>
        <v>306243.34918892436</v>
      </c>
      <c r="U251" s="53">
        <f t="shared" si="249"/>
        <v>333436.15567154367</v>
      </c>
      <c r="V251" s="53">
        <f t="shared" si="249"/>
        <v>361644.54124856676</v>
      </c>
      <c r="W251" s="53">
        <f t="shared" si="249"/>
        <v>390899.3627782886</v>
      </c>
      <c r="X251" s="53">
        <f t="shared" si="249"/>
        <v>421232.32972998469</v>
      </c>
      <c r="Y251" s="53">
        <f t="shared" si="249"/>
        <v>452676.02649026824</v>
      </c>
      <c r="Z251" s="53">
        <f t="shared" si="249"/>
        <v>485263.93523275235</v>
      </c>
      <c r="AA251" s="53">
        <f t="shared" si="249"/>
        <v>519030.4593649006</v>
      </c>
      <c r="AB251" s="53">
        <f t="shared" si="249"/>
        <v>554010.94756628014</v>
      </c>
      <c r="AC251" s="53">
        <f t="shared" si="249"/>
        <v>590241.71843277453</v>
      </c>
      <c r="AD251" s="53">
        <f t="shared" si="249"/>
        <v>627760.08574166766</v>
      </c>
      <c r="AE251" s="53">
        <f t="shared" si="249"/>
        <v>666604.38435286935</v>
      </c>
      <c r="AF251" s="53">
        <f t="shared" si="249"/>
        <v>706813.99676192668</v>
      </c>
      <c r="AG251" s="53">
        <f t="shared" si="249"/>
        <v>748429.38032083143</v>
      </c>
      <c r="AH251" s="53">
        <f t="shared" si="249"/>
        <v>791492.09514303633</v>
      </c>
      <c r="AI251" s="53">
        <f t="shared" si="249"/>
        <v>836044.83270947472</v>
      </c>
      <c r="AJ251" s="53">
        <f t="shared" si="249"/>
        <v>882131.44519279723</v>
      </c>
      <c r="AK251" s="53">
        <f t="shared" si="249"/>
        <v>929796.97551743826</v>
      </c>
      <c r="AL251" s="53">
        <f t="shared" si="249"/>
        <v>979087.68817356613</v>
      </c>
      <c r="AM251" s="53">
        <f t="shared" si="249"/>
        <v>1030051.1008033996</v>
      </c>
      <c r="AN251" s="53">
        <f t="shared" si="249"/>
        <v>1082736.0165788038</v>
      </c>
      <c r="AO251" s="53">
        <f t="shared" si="249"/>
        <v>1137192.5573895762</v>
      </c>
      <c r="AP251" s="53">
        <f t="shared" si="249"/>
        <v>1193472.1978622423</v>
      </c>
      <c r="AQ251" s="53">
        <f t="shared" si="249"/>
        <v>1251627.8002297119</v>
      </c>
    </row>
    <row r="252" spans="1:43" s="16" customFormat="1" hidden="1" outlineLevel="5">
      <c r="A252" s="53"/>
      <c r="B252" s="53"/>
      <c r="C252" s="53"/>
      <c r="D252" s="53"/>
      <c r="E252" s="53"/>
      <c r="F252" s="53" t="s">
        <v>386</v>
      </c>
      <c r="G252" s="53"/>
      <c r="H252" s="53">
        <f t="shared" ref="H252:AQ252" si="250">H78</f>
        <v>14.732594913982874</v>
      </c>
      <c r="I252" s="53">
        <f t="shared" si="250"/>
        <v>19.835702149523083</v>
      </c>
      <c r="J252" s="53">
        <f t="shared" si="250"/>
        <v>25.1244173318081</v>
      </c>
      <c r="K252" s="53">
        <f t="shared" si="250"/>
        <v>30.60389863297392</v>
      </c>
      <c r="L252" s="53">
        <f t="shared" si="250"/>
        <v>36.279432322163217</v>
      </c>
      <c r="M252" s="53">
        <f t="shared" si="250"/>
        <v>42.156435755779697</v>
      </c>
      <c r="N252" s="53">
        <f t="shared" si="250"/>
        <v>48.240460434877342</v>
      </c>
      <c r="O252" s="53">
        <f t="shared" si="250"/>
        <v>54.537195131151321</v>
      </c>
      <c r="P252" s="53">
        <f t="shared" si="250"/>
        <v>61.052469083030793</v>
      </c>
      <c r="Q252" s="53">
        <f t="shared" si="250"/>
        <v>67.792255263403689</v>
      </c>
      <c r="R252" s="53">
        <f t="shared" si="250"/>
        <v>74.762673720538444</v>
      </c>
      <c r="S252" s="53">
        <f t="shared" si="250"/>
        <v>81.969994993799489</v>
      </c>
      <c r="T252" s="53">
        <f t="shared" si="250"/>
        <v>89.420643605788555</v>
      </c>
      <c r="U252" s="53">
        <f t="shared" si="250"/>
        <v>97.121201632579172</v>
      </c>
      <c r="V252" s="53">
        <f t="shared" si="250"/>
        <v>105.07841235374535</v>
      </c>
      <c r="W252" s="53">
        <f t="shared" si="250"/>
        <v>113.29918398392449</v>
      </c>
      <c r="X252" s="53">
        <f t="shared" si="250"/>
        <v>121.79059348768973</v>
      </c>
      <c r="Y252" s="53">
        <f t="shared" si="250"/>
        <v>130.55989047954677</v>
      </c>
      <c r="Z252" s="53">
        <f t="shared" si="250"/>
        <v>139.61450121090652</v>
      </c>
      <c r="AA252" s="53">
        <f t="shared" si="250"/>
        <v>148.96203264592722</v>
      </c>
      <c r="AB252" s="53">
        <f t="shared" si="250"/>
        <v>158.61027662815826</v>
      </c>
      <c r="AC252" s="53">
        <f t="shared" si="250"/>
        <v>168.56721413996002</v>
      </c>
      <c r="AD252" s="53">
        <f t="shared" si="250"/>
        <v>178.84101965671579</v>
      </c>
      <c r="AE252" s="53">
        <f t="shared" si="250"/>
        <v>189.44006559789537</v>
      </c>
      <c r="AF252" s="53">
        <f t="shared" si="250"/>
        <v>200.37292687707392</v>
      </c>
      <c r="AG252" s="53">
        <f t="shared" si="250"/>
        <v>211.64838555305337</v>
      </c>
      <c r="AH252" s="53">
        <f t="shared" si="250"/>
        <v>223.27543558428113</v>
      </c>
      <c r="AI252" s="53">
        <f t="shared" si="250"/>
        <v>235.2632876888068</v>
      </c>
      <c r="AJ252" s="53">
        <f t="shared" si="250"/>
        <v>247.62137431206531</v>
      </c>
      <c r="AK252" s="53">
        <f t="shared" si="250"/>
        <v>260.359354704824</v>
      </c>
      <c r="AL252" s="53">
        <f t="shared" si="250"/>
        <v>273.48712011368031</v>
      </c>
      <c r="AM252" s="53">
        <f t="shared" si="250"/>
        <v>287.01479908655017</v>
      </c>
      <c r="AN252" s="53">
        <f t="shared" si="250"/>
        <v>300.95276289563219</v>
      </c>
      <c r="AO252" s="53">
        <f t="shared" si="250"/>
        <v>315.3116310803984</v>
      </c>
      <c r="AP252" s="53">
        <f t="shared" si="250"/>
        <v>330.10227711319976</v>
      </c>
      <c r="AQ252" s="53">
        <f t="shared" si="250"/>
        <v>345.33583419014599</v>
      </c>
    </row>
    <row r="253" spans="1:43" s="16" customFormat="1" hidden="1" outlineLevel="5">
      <c r="A253" s="53"/>
      <c r="B253" s="53"/>
      <c r="C253" s="53"/>
      <c r="D253" s="53"/>
      <c r="E253" s="53"/>
      <c r="F253" s="53" t="s">
        <v>484</v>
      </c>
      <c r="G253" s="53"/>
      <c r="H253" s="53">
        <f t="shared" ref="H253:AQ253" si="251">western_private_trade_support_per_dose_positive*(1+western_private_trade_support_per_dose_positive_growth)^((COLUMN()-8)/12)</f>
        <v>3325</v>
      </c>
      <c r="I253" s="53">
        <f t="shared" si="251"/>
        <v>3333.2003469929095</v>
      </c>
      <c r="J253" s="53">
        <f t="shared" si="251"/>
        <v>3341.4209182537297</v>
      </c>
      <c r="K253" s="53">
        <f t="shared" si="251"/>
        <v>3349.6617636609617</v>
      </c>
      <c r="L253" s="53">
        <f t="shared" si="251"/>
        <v>3357.9229332161199</v>
      </c>
      <c r="M253" s="53">
        <f t="shared" si="251"/>
        <v>3366.2044770440361</v>
      </c>
      <c r="N253" s="53">
        <f t="shared" si="251"/>
        <v>3374.5064453931632</v>
      </c>
      <c r="O253" s="53">
        <f t="shared" si="251"/>
        <v>3382.8288886358796</v>
      </c>
      <c r="P253" s="53">
        <f t="shared" si="251"/>
        <v>3391.1718572687978</v>
      </c>
      <c r="Q253" s="53">
        <f t="shared" si="251"/>
        <v>3399.5354019130664</v>
      </c>
      <c r="R253" s="53">
        <f t="shared" si="251"/>
        <v>3407.9195733146803</v>
      </c>
      <c r="S253" s="53">
        <f t="shared" si="251"/>
        <v>3416.3244223447887</v>
      </c>
      <c r="T253" s="53">
        <f t="shared" si="251"/>
        <v>3424.75</v>
      </c>
      <c r="U253" s="53">
        <f t="shared" si="251"/>
        <v>3433.1963574026968</v>
      </c>
      <c r="V253" s="53">
        <f t="shared" si="251"/>
        <v>3441.663545801342</v>
      </c>
      <c r="W253" s="53">
        <f t="shared" si="251"/>
        <v>3450.1516165707912</v>
      </c>
      <c r="X253" s="53">
        <f t="shared" si="251"/>
        <v>3458.6606212126039</v>
      </c>
      <c r="Y253" s="53">
        <f t="shared" si="251"/>
        <v>3467.1906113553573</v>
      </c>
      <c r="Z253" s="53">
        <f t="shared" si="251"/>
        <v>3475.7416387549583</v>
      </c>
      <c r="AA253" s="53">
        <f t="shared" si="251"/>
        <v>3484.3137552949565</v>
      </c>
      <c r="AB253" s="53">
        <f t="shared" si="251"/>
        <v>3492.9070129868619</v>
      </c>
      <c r="AC253" s="53">
        <f t="shared" si="251"/>
        <v>3501.5214639704586</v>
      </c>
      <c r="AD253" s="53">
        <f t="shared" si="251"/>
        <v>3510.1571605141216</v>
      </c>
      <c r="AE253" s="53">
        <f t="shared" si="251"/>
        <v>3518.8141550151322</v>
      </c>
      <c r="AF253" s="53">
        <f t="shared" si="251"/>
        <v>3527.4924999999998</v>
      </c>
      <c r="AG253" s="53">
        <f t="shared" si="251"/>
        <v>3536.1922481247775</v>
      </c>
      <c r="AH253" s="53">
        <f t="shared" si="251"/>
        <v>3544.9134521753826</v>
      </c>
      <c r="AI253" s="53">
        <f t="shared" si="251"/>
        <v>3553.6561650679146</v>
      </c>
      <c r="AJ253" s="53">
        <f t="shared" si="251"/>
        <v>3562.4204398489824</v>
      </c>
      <c r="AK253" s="53">
        <f t="shared" si="251"/>
        <v>3571.2063296960182</v>
      </c>
      <c r="AL253" s="53">
        <f t="shared" si="251"/>
        <v>3580.0138879176066</v>
      </c>
      <c r="AM253" s="53">
        <f t="shared" si="251"/>
        <v>3588.8431679538048</v>
      </c>
      <c r="AN253" s="53">
        <f t="shared" si="251"/>
        <v>3597.694223376468</v>
      </c>
      <c r="AO253" s="53">
        <f t="shared" si="251"/>
        <v>3606.5671078895725</v>
      </c>
      <c r="AP253" s="53">
        <f t="shared" si="251"/>
        <v>3615.4618753295449</v>
      </c>
      <c r="AQ253" s="53">
        <f t="shared" si="251"/>
        <v>3624.3785796655866</v>
      </c>
    </row>
    <row r="254" spans="1:43" s="16" customFormat="1" hidden="1" outlineLevel="4" collapsed="1">
      <c r="A254" s="53"/>
      <c r="B254" s="53"/>
      <c r="C254" s="53"/>
      <c r="D254" s="53"/>
      <c r="E254" s="53" t="s">
        <v>485</v>
      </c>
      <c r="F254" s="53"/>
      <c r="G254" s="53"/>
      <c r="H254" s="53">
        <f t="shared" ref="H254:AQ254" si="252">(H255*H256)</f>
        <v>12256.797123464532</v>
      </c>
      <c r="I254" s="53">
        <f t="shared" si="252"/>
        <v>15392.652699777733</v>
      </c>
      <c r="J254" s="53">
        <f t="shared" si="252"/>
        <v>18657.054014953192</v>
      </c>
      <c r="K254" s="53">
        <f t="shared" si="252"/>
        <v>22054.063569517686</v>
      </c>
      <c r="L254" s="53">
        <f t="shared" si="252"/>
        <v>25587.858783419801</v>
      </c>
      <c r="M254" s="53">
        <f t="shared" si="252"/>
        <v>29262.735052259221</v>
      </c>
      <c r="N254" s="53">
        <f t="shared" si="252"/>
        <v>33083.108881661588</v>
      </c>
      <c r="O254" s="53">
        <f t="shared" si="252"/>
        <v>37053.521101743303</v>
      </c>
      <c r="P254" s="53">
        <f t="shared" si="252"/>
        <v>41178.640163658805</v>
      </c>
      <c r="Q254" s="53">
        <f t="shared" si="252"/>
        <v>45463.265520270033</v>
      </c>
      <c r="R254" s="53">
        <f t="shared" si="252"/>
        <v>49912.331093029621</v>
      </c>
      <c r="S254" s="53">
        <f t="shared" si="252"/>
        <v>54530.908827217791</v>
      </c>
      <c r="T254" s="53">
        <f t="shared" si="252"/>
        <v>59324.212337727608</v>
      </c>
      <c r="U254" s="53">
        <f t="shared" si="252"/>
        <v>64297.600647644678</v>
      </c>
      <c r="V254" s="53">
        <f t="shared" si="252"/>
        <v>69456.582021923125</v>
      </c>
      <c r="W254" s="53">
        <f t="shared" si="252"/>
        <v>74806.817898515539</v>
      </c>
      <c r="X254" s="53">
        <f t="shared" si="252"/>
        <v>80354.126919371512</v>
      </c>
      <c r="Y254" s="53">
        <f t="shared" si="252"/>
        <v>86104.489063779023</v>
      </c>
      <c r="Z254" s="53">
        <f t="shared" si="252"/>
        <v>92064.049886581648</v>
      </c>
      <c r="AA254" s="53">
        <f t="shared" si="252"/>
        <v>98239.124863867677</v>
      </c>
      <c r="AB254" s="53">
        <f t="shared" si="252"/>
        <v>104636.20384878961</v>
      </c>
      <c r="AC254" s="53">
        <f t="shared" si="252"/>
        <v>111261.95564023637</v>
      </c>
      <c r="AD254" s="53">
        <f t="shared" si="252"/>
        <v>118123.232667148</v>
      </c>
      <c r="AE254" s="53">
        <f t="shared" si="252"/>
        <v>125227.07579132904</v>
      </c>
      <c r="AF254" s="53">
        <f t="shared" si="252"/>
        <v>132580.7192316883</v>
      </c>
      <c r="AG254" s="53">
        <f t="shared" si="252"/>
        <v>140191.59561289975</v>
      </c>
      <c r="AH254" s="53">
        <f t="shared" si="252"/>
        <v>148067.34114155575</v>
      </c>
      <c r="AI254" s="53">
        <f t="shared" si="252"/>
        <v>156215.80091295743</v>
      </c>
      <c r="AJ254" s="53">
        <f t="shared" si="252"/>
        <v>164645.03435176113</v>
      </c>
      <c r="AK254" s="53">
        <f t="shared" si="252"/>
        <v>173363.32078977962</v>
      </c>
      <c r="AL254" s="53">
        <f t="shared" si="252"/>
        <v>182379.16518431794</v>
      </c>
      <c r="AM254" s="53">
        <f t="shared" si="252"/>
        <v>191701.3039805023</v>
      </c>
      <c r="AN254" s="53">
        <f t="shared" si="252"/>
        <v>201338.71112114438</v>
      </c>
      <c r="AO254" s="53">
        <f t="shared" si="252"/>
        <v>211300.60420777675</v>
      </c>
      <c r="AP254" s="53">
        <f t="shared" si="252"/>
        <v>221596.45081656749</v>
      </c>
      <c r="AQ254" s="53">
        <f t="shared" si="252"/>
        <v>232235.97497293004</v>
      </c>
    </row>
    <row r="255" spans="1:43" s="16" customFormat="1" hidden="1" outlineLevel="5">
      <c r="A255" s="53"/>
      <c r="B255" s="53"/>
      <c r="C255" s="53"/>
      <c r="D255" s="53"/>
      <c r="E255" s="53"/>
      <c r="F255" s="53" t="s">
        <v>395</v>
      </c>
      <c r="G255" s="53"/>
      <c r="H255" s="53">
        <f t="shared" ref="H255:AQ255" si="253">H89</f>
        <v>5.1607566835640135</v>
      </c>
      <c r="I255" s="53">
        <f t="shared" si="253"/>
        <v>6.4651720677786981</v>
      </c>
      <c r="J255" s="53">
        <f t="shared" si="253"/>
        <v>7.8169964993769936</v>
      </c>
      <c r="K255" s="53">
        <f t="shared" si="253"/>
        <v>9.2175542415302392</v>
      </c>
      <c r="L255" s="53">
        <f t="shared" si="253"/>
        <v>10.668202638729859</v>
      </c>
      <c r="M255" s="53">
        <f t="shared" si="253"/>
        <v>12.170332893484227</v>
      </c>
      <c r="N255" s="53">
        <f t="shared" si="253"/>
        <v>13.725370860546663</v>
      </c>
      <c r="O255" s="53">
        <f t="shared" si="253"/>
        <v>15.334777859059585</v>
      </c>
      <c r="P255" s="53">
        <f t="shared" si="253"/>
        <v>17.000051503008432</v>
      </c>
      <c r="Q255" s="53">
        <f t="shared" si="253"/>
        <v>18.722726550386923</v>
      </c>
      <c r="R255" s="53">
        <f t="shared" si="253"/>
        <v>20.50437577148454</v>
      </c>
      <c r="S255" s="53">
        <f t="shared" si="253"/>
        <v>22.346610836715218</v>
      </c>
      <c r="T255" s="53">
        <f t="shared" si="253"/>
        <v>24.251083224415986</v>
      </c>
      <c r="U255" s="53">
        <f t="shared" si="253"/>
        <v>26.219485149052904</v>
      </c>
      <c r="V255" s="53">
        <f t="shared" si="253"/>
        <v>28.253550510281393</v>
      </c>
      <c r="W255" s="53">
        <f t="shared" si="253"/>
        <v>30.35505586331756</v>
      </c>
      <c r="X255" s="53">
        <f t="shared" si="253"/>
        <v>32.52582141108693</v>
      </c>
      <c r="Y255" s="53">
        <f t="shared" si="253"/>
        <v>34.76771201862708</v>
      </c>
      <c r="Z255" s="53">
        <f t="shared" si="253"/>
        <v>37.082638250230744</v>
      </c>
      <c r="AA255" s="53">
        <f t="shared" si="253"/>
        <v>39.472557429826544</v>
      </c>
      <c r="AB255" s="53">
        <f t="shared" si="253"/>
        <v>41.939474725105278</v>
      </c>
      <c r="AC255" s="53">
        <f t="shared" si="253"/>
        <v>44.485444255910203</v>
      </c>
      <c r="AD255" s="53">
        <f t="shared" si="253"/>
        <v>47.112570227421273</v>
      </c>
      <c r="AE255" s="53">
        <f t="shared" si="253"/>
        <v>49.823008088674328</v>
      </c>
      <c r="AF255" s="53">
        <f t="shared" si="253"/>
        <v>52.618965716968532</v>
      </c>
      <c r="AG255" s="53">
        <f t="shared" si="253"/>
        <v>55.502704628725873</v>
      </c>
      <c r="AH255" s="53">
        <f t="shared" si="253"/>
        <v>58.476541217379854</v>
      </c>
      <c r="AI255" s="53">
        <f t="shared" si="253"/>
        <v>61.542848018882751</v>
      </c>
      <c r="AJ255" s="53">
        <f t="shared" si="253"/>
        <v>64.704055005432494</v>
      </c>
      <c r="AK255" s="53">
        <f t="shared" si="253"/>
        <v>67.962650908033893</v>
      </c>
      <c r="AL255" s="53">
        <f t="shared" si="253"/>
        <v>71.321184568522412</v>
      </c>
      <c r="AM255" s="53">
        <f t="shared" si="253"/>
        <v>74.782266321691154</v>
      </c>
      <c r="AN255" s="53">
        <f t="shared" si="253"/>
        <v>78.348569408175194</v>
      </c>
      <c r="AO255" s="53">
        <f t="shared" si="253"/>
        <v>82.022831418764511</v>
      </c>
      <c r="AP255" s="53">
        <f t="shared" si="253"/>
        <v>85.807855770825114</v>
      </c>
      <c r="AQ255" s="53">
        <f t="shared" si="253"/>
        <v>89.70651321752959</v>
      </c>
    </row>
    <row r="256" spans="1:43" s="16" customFormat="1" hidden="1" outlineLevel="5">
      <c r="A256" s="53"/>
      <c r="B256" s="53"/>
      <c r="C256" s="53"/>
      <c r="D256" s="53"/>
      <c r="E256" s="53"/>
      <c r="F256" s="53" t="s">
        <v>486</v>
      </c>
      <c r="G256" s="53"/>
      <c r="H256" s="53">
        <f t="shared" ref="H256:AQ256" si="254">eastern_private_trade_support_per_dose_positive*(1+eastern_private_trade_support_per_dose_positive_growth)^((COLUMN()-8)/12)</f>
        <v>2375</v>
      </c>
      <c r="I256" s="53">
        <f t="shared" si="254"/>
        <v>2380.8573907092214</v>
      </c>
      <c r="J256" s="53">
        <f t="shared" si="254"/>
        <v>2386.7292273240928</v>
      </c>
      <c r="K256" s="53">
        <f t="shared" si="254"/>
        <v>2392.6155454721156</v>
      </c>
      <c r="L256" s="53">
        <f t="shared" si="254"/>
        <v>2398.5163808686571</v>
      </c>
      <c r="M256" s="53">
        <f t="shared" si="254"/>
        <v>2404.4317693171688</v>
      </c>
      <c r="N256" s="53">
        <f t="shared" si="254"/>
        <v>2410.3617467094023</v>
      </c>
      <c r="O256" s="53">
        <f t="shared" si="254"/>
        <v>2416.3063490256282</v>
      </c>
      <c r="P256" s="53">
        <f t="shared" si="254"/>
        <v>2422.2656123348556</v>
      </c>
      <c r="Q256" s="53">
        <f t="shared" si="254"/>
        <v>2428.2395727950475</v>
      </c>
      <c r="R256" s="53">
        <f t="shared" si="254"/>
        <v>2434.2282666533433</v>
      </c>
      <c r="S256" s="53">
        <f t="shared" si="254"/>
        <v>2440.2317302462775</v>
      </c>
      <c r="T256" s="53">
        <f t="shared" si="254"/>
        <v>2446.25</v>
      </c>
      <c r="U256" s="53">
        <f t="shared" si="254"/>
        <v>2452.283112430498</v>
      </c>
      <c r="V256" s="53">
        <f t="shared" si="254"/>
        <v>2458.3311041438155</v>
      </c>
      <c r="W256" s="53">
        <f t="shared" si="254"/>
        <v>2464.3940118362793</v>
      </c>
      <c r="X256" s="53">
        <f t="shared" si="254"/>
        <v>2470.4718722947168</v>
      </c>
      <c r="Y256" s="53">
        <f t="shared" si="254"/>
        <v>2476.5647223966839</v>
      </c>
      <c r="Z256" s="53">
        <f t="shared" si="254"/>
        <v>2482.6725991106846</v>
      </c>
      <c r="AA256" s="53">
        <f t="shared" si="254"/>
        <v>2488.7955394963974</v>
      </c>
      <c r="AB256" s="53">
        <f t="shared" si="254"/>
        <v>2494.933580704901</v>
      </c>
      <c r="AC256" s="53">
        <f t="shared" si="254"/>
        <v>2501.086759978899</v>
      </c>
      <c r="AD256" s="53">
        <f t="shared" si="254"/>
        <v>2507.255114652944</v>
      </c>
      <c r="AE256" s="53">
        <f t="shared" si="254"/>
        <v>2513.4386821536659</v>
      </c>
      <c r="AF256" s="53">
        <f t="shared" si="254"/>
        <v>2519.6374999999998</v>
      </c>
      <c r="AG256" s="53">
        <f t="shared" si="254"/>
        <v>2525.8516058034124</v>
      </c>
      <c r="AH256" s="53">
        <f t="shared" si="254"/>
        <v>2532.0810372681303</v>
      </c>
      <c r="AI256" s="53">
        <f t="shared" si="254"/>
        <v>2538.3258321913677</v>
      </c>
      <c r="AJ256" s="53">
        <f t="shared" si="254"/>
        <v>2544.5860284635592</v>
      </c>
      <c r="AK256" s="53">
        <f t="shared" si="254"/>
        <v>2550.8616640685846</v>
      </c>
      <c r="AL256" s="53">
        <f t="shared" si="254"/>
        <v>2557.1527770840048</v>
      </c>
      <c r="AM256" s="53">
        <f t="shared" si="254"/>
        <v>2563.4594056812894</v>
      </c>
      <c r="AN256" s="53">
        <f t="shared" si="254"/>
        <v>2569.7815881260485</v>
      </c>
      <c r="AO256" s="53">
        <f t="shared" si="254"/>
        <v>2576.1193627782659</v>
      </c>
      <c r="AP256" s="53">
        <f t="shared" si="254"/>
        <v>2582.4727680925321</v>
      </c>
      <c r="AQ256" s="53">
        <f t="shared" si="254"/>
        <v>2588.8418426182761</v>
      </c>
    </row>
    <row r="257" spans="1:43" s="16" customFormat="1" hidden="1" outlineLevel="4" collapsed="1">
      <c r="A257" s="53"/>
      <c r="B257" s="53"/>
      <c r="C257" s="53"/>
      <c r="D257" s="53"/>
      <c r="E257" s="53" t="s">
        <v>487</v>
      </c>
      <c r="F257" s="53"/>
      <c r="G257" s="53"/>
      <c r="H257" s="53">
        <f t="shared" ref="H257:AQ257" si="255">(H258*H259)</f>
        <v>1877.152350971118</v>
      </c>
      <c r="I257" s="53">
        <f t="shared" si="255"/>
        <v>2225.2776731619083</v>
      </c>
      <c r="J257" s="53">
        <f t="shared" si="255"/>
        <v>2587.6108937027334</v>
      </c>
      <c r="K257" s="53">
        <f t="shared" si="255"/>
        <v>2964.6034285108267</v>
      </c>
      <c r="L257" s="53">
        <f t="shared" si="255"/>
        <v>3356.719552765489</v>
      </c>
      <c r="M257" s="53">
        <f t="shared" si="255"/>
        <v>3764.4367453201612</v>
      </c>
      <c r="N257" s="53">
        <f t="shared" si="255"/>
        <v>4188.2460419798535</v>
      </c>
      <c r="O257" s="53">
        <f t="shared" si="255"/>
        <v>4628.6523978658843</v>
      </c>
      <c r="P257" s="53">
        <f t="shared" si="255"/>
        <v>5086.1750590954116</v>
      </c>
      <c r="Q257" s="53">
        <f t="shared" si="255"/>
        <v>5561.3479440086285</v>
      </c>
      <c r="R257" s="53">
        <f t="shared" si="255"/>
        <v>6054.7200341824655</v>
      </c>
      <c r="S257" s="53">
        <f t="shared" si="255"/>
        <v>6566.8557754752055</v>
      </c>
      <c r="T257" s="53">
        <f t="shared" si="255"/>
        <v>7098.3354893526785</v>
      </c>
      <c r="U257" s="53">
        <f t="shared" si="255"/>
        <v>7649.7557947526411</v>
      </c>
      <c r="V257" s="53">
        <f t="shared" si="255"/>
        <v>8221.7300407503244</v>
      </c>
      <c r="W257" s="53">
        <f t="shared" si="255"/>
        <v>8814.8887502945126</v>
      </c>
      <c r="X257" s="53">
        <f t="shared" si="255"/>
        <v>9429.8800752901898</v>
      </c>
      <c r="Y257" s="53">
        <f t="shared" si="255"/>
        <v>10067.370263310491</v>
      </c>
      <c r="Z257" s="53">
        <f t="shared" si="255"/>
        <v>10728.044136227503</v>
      </c>
      <c r="AA257" s="53">
        <f t="shared" si="255"/>
        <v>11412.605581058753</v>
      </c>
      <c r="AB257" s="53">
        <f t="shared" si="255"/>
        <v>12121.778053333333</v>
      </c>
      <c r="AC257" s="53">
        <f t="shared" si="255"/>
        <v>12856.305093288971</v>
      </c>
      <c r="AD257" s="53">
        <f t="shared" si="255"/>
        <v>13616.950855219171</v>
      </c>
      <c r="AE257" s="53">
        <f t="shared" si="255"/>
        <v>14404.500650297026</v>
      </c>
      <c r="AF257" s="53">
        <f t="shared" si="255"/>
        <v>15219.761503210777</v>
      </c>
      <c r="AG257" s="53">
        <f t="shared" si="255"/>
        <v>16063.562722953526</v>
      </c>
      <c r="AH257" s="53">
        <f t="shared" si="255"/>
        <v>16936.756488118903</v>
      </c>
      <c r="AI257" s="53">
        <f t="shared" si="255"/>
        <v>17840.218447062183</v>
      </c>
      <c r="AJ257" s="53">
        <f t="shared" si="255"/>
        <v>18774.848333295558</v>
      </c>
      <c r="AK257" s="53">
        <f t="shared" si="255"/>
        <v>19741.570596495148</v>
      </c>
      <c r="AL257" s="53">
        <f t="shared" si="255"/>
        <v>20741.335049506517</v>
      </c>
      <c r="AM257" s="53">
        <f t="shared" si="255"/>
        <v>21775.117531744854</v>
      </c>
      <c r="AN257" s="53">
        <f t="shared" si="255"/>
        <v>22843.920589395613</v>
      </c>
      <c r="AO257" s="53">
        <f t="shared" si="255"/>
        <v>23948.774172831414</v>
      </c>
      <c r="AP257" s="53">
        <f t="shared" si="255"/>
        <v>25090.73635167089</v>
      </c>
      <c r="AQ257" s="53">
        <f t="shared" si="255"/>
        <v>26270.89404791559</v>
      </c>
    </row>
    <row r="258" spans="1:43" s="16" customFormat="1" hidden="1" outlineLevel="5">
      <c r="A258" s="53"/>
      <c r="B258" s="53"/>
      <c r="C258" s="53"/>
      <c r="D258" s="53"/>
      <c r="E258" s="53"/>
      <c r="F258" s="53" t="s">
        <v>404</v>
      </c>
      <c r="G258" s="53"/>
      <c r="H258" s="53">
        <f t="shared" ref="H258:AQ258" si="256">H100</f>
        <v>1.6466248692729106</v>
      </c>
      <c r="I258" s="53">
        <f t="shared" si="256"/>
        <v>1.9471956491437103</v>
      </c>
      <c r="J258" s="53">
        <f t="shared" si="256"/>
        <v>2.2586793536656766</v>
      </c>
      <c r="K258" s="53">
        <f t="shared" si="256"/>
        <v>2.5813830201091408</v>
      </c>
      <c r="L258" s="53">
        <f t="shared" si="256"/>
        <v>2.9156214194357211</v>
      </c>
      <c r="M258" s="53">
        <f t="shared" si="256"/>
        <v>3.2617172393199323</v>
      </c>
      <c r="N258" s="53">
        <f t="shared" si="256"/>
        <v>3.6200012713319882</v>
      </c>
      <c r="O258" s="53">
        <f t="shared" si="256"/>
        <v>3.990812602373782</v>
      </c>
      <c r="P258" s="53">
        <f t="shared" si="256"/>
        <v>4.3744988104621125</v>
      </c>
      <c r="Q258" s="53">
        <f t="shared" si="256"/>
        <v>4.7714161649551086</v>
      </c>
      <c r="R258" s="53">
        <f t="shared" si="256"/>
        <v>5.1819298313200557</v>
      </c>
      <c r="S258" s="53">
        <f t="shared" si="256"/>
        <v>5.606414080542784</v>
      </c>
      <c r="T258" s="53">
        <f t="shared" si="256"/>
        <v>6.0452525032811089</v>
      </c>
      <c r="U258" s="53">
        <f t="shared" si="256"/>
        <v>6.4988382288668909</v>
      </c>
      <c r="V258" s="53">
        <f t="shared" si="256"/>
        <v>6.9675741492636334</v>
      </c>
      <c r="W258" s="53">
        <f t="shared" si="256"/>
        <v>7.4518731480887856</v>
      </c>
      <c r="X258" s="53">
        <f t="shared" si="256"/>
        <v>7.9521583348123466</v>
      </c>
      <c r="Y258" s="53">
        <f t="shared" si="256"/>
        <v>8.4688632842457423</v>
      </c>
      <c r="Z258" s="53">
        <f t="shared" si="256"/>
        <v>9.0024322814373381</v>
      </c>
      <c r="AA258" s="53">
        <f t="shared" si="256"/>
        <v>9.5533205720936039</v>
      </c>
      <c r="AB258" s="53">
        <f t="shared" si="256"/>
        <v>10.121994618647433</v>
      </c>
      <c r="AC258" s="53">
        <f t="shared" si="256"/>
        <v>10.708932362097663</v>
      </c>
      <c r="AD258" s="53">
        <f t="shared" si="256"/>
        <v>11.314623489746774</v>
      </c>
      <c r="AE258" s="53">
        <f t="shared" si="256"/>
        <v>11.939569708966058</v>
      </c>
      <c r="AF258" s="53">
        <f t="shared" si="256"/>
        <v>12.584285027120947</v>
      </c>
      <c r="AG258" s="53">
        <f t="shared" si="256"/>
        <v>13.249296037791259</v>
      </c>
      <c r="AH258" s="53">
        <f t="shared" si="256"/>
        <v>13.935142213424854</v>
      </c>
      <c r="AI258" s="53">
        <f t="shared" si="256"/>
        <v>14.642376204565531</v>
      </c>
      <c r="AJ258" s="53">
        <f t="shared" si="256"/>
        <v>15.371564145799352</v>
      </c>
      <c r="AK258" s="53">
        <f t="shared" si="256"/>
        <v>16.123285968566641</v>
      </c>
      <c r="AL258" s="53">
        <f t="shared" si="256"/>
        <v>16.898135720989963</v>
      </c>
      <c r="AM258" s="53">
        <f t="shared" si="256"/>
        <v>17.696721894871796</v>
      </c>
      <c r="AN258" s="53">
        <f t="shared" si="256"/>
        <v>18.519667760018656</v>
      </c>
      <c r="AO258" s="53">
        <f t="shared" si="256"/>
        <v>19.367611706052212</v>
      </c>
      <c r="AP258" s="53">
        <f t="shared" si="256"/>
        <v>20.241207591870875</v>
      </c>
      <c r="AQ258" s="53">
        <f t="shared" si="256"/>
        <v>21.141125102929234</v>
      </c>
    </row>
    <row r="259" spans="1:43" s="16" customFormat="1" hidden="1" outlineLevel="5">
      <c r="A259" s="53"/>
      <c r="B259" s="53"/>
      <c r="C259" s="53"/>
      <c r="D259" s="53"/>
      <c r="E259" s="53"/>
      <c r="F259" s="53" t="s">
        <v>488</v>
      </c>
      <c r="G259" s="53"/>
      <c r="H259" s="53">
        <f t="shared" ref="H259:AQ259" si="257">northern_private_trade_support_per_dose_positive*(1+northern_private_trade_support_per_dose_positive_growth)^((COLUMN()-8)/12)</f>
        <v>1140</v>
      </c>
      <c r="I259" s="53">
        <f t="shared" si="257"/>
        <v>1142.8115475404261</v>
      </c>
      <c r="J259" s="53">
        <f t="shared" si="257"/>
        <v>1145.6300291155644</v>
      </c>
      <c r="K259" s="53">
        <f t="shared" si="257"/>
        <v>1148.4554618266154</v>
      </c>
      <c r="L259" s="53">
        <f t="shared" si="257"/>
        <v>1151.2878628169553</v>
      </c>
      <c r="M259" s="53">
        <f t="shared" si="257"/>
        <v>1154.127249272241</v>
      </c>
      <c r="N259" s="53">
        <f t="shared" si="257"/>
        <v>1156.973638420513</v>
      </c>
      <c r="O259" s="53">
        <f t="shared" si="257"/>
        <v>1159.8270475323015</v>
      </c>
      <c r="P259" s="53">
        <f t="shared" si="257"/>
        <v>1162.6874939207307</v>
      </c>
      <c r="Q259" s="53">
        <f t="shared" si="257"/>
        <v>1165.5549949416227</v>
      </c>
      <c r="R259" s="53">
        <f t="shared" si="257"/>
        <v>1168.4295679936047</v>
      </c>
      <c r="S259" s="53">
        <f t="shared" si="257"/>
        <v>1171.3112305182133</v>
      </c>
      <c r="T259" s="53">
        <f t="shared" si="257"/>
        <v>1174.2</v>
      </c>
      <c r="U259" s="53">
        <f t="shared" si="257"/>
        <v>1177.0958939666389</v>
      </c>
      <c r="V259" s="53">
        <f t="shared" si="257"/>
        <v>1179.9989299890315</v>
      </c>
      <c r="W259" s="53">
        <f t="shared" si="257"/>
        <v>1182.9091256814143</v>
      </c>
      <c r="X259" s="53">
        <f t="shared" si="257"/>
        <v>1185.8264987014641</v>
      </c>
      <c r="Y259" s="53">
        <f t="shared" si="257"/>
        <v>1188.7510667504082</v>
      </c>
      <c r="Z259" s="53">
        <f t="shared" si="257"/>
        <v>1191.6828475731286</v>
      </c>
      <c r="AA259" s="53">
        <f t="shared" si="257"/>
        <v>1194.6218589582709</v>
      </c>
      <c r="AB259" s="53">
        <f t="shared" si="257"/>
        <v>1197.5681187383525</v>
      </c>
      <c r="AC259" s="53">
        <f t="shared" si="257"/>
        <v>1200.5216447898715</v>
      </c>
      <c r="AD259" s="53">
        <f t="shared" si="257"/>
        <v>1203.4824550334131</v>
      </c>
      <c r="AE259" s="53">
        <f t="shared" si="257"/>
        <v>1206.4505674337595</v>
      </c>
      <c r="AF259" s="53">
        <f t="shared" si="257"/>
        <v>1209.4259999999999</v>
      </c>
      <c r="AG259" s="53">
        <f t="shared" si="257"/>
        <v>1212.4087707856381</v>
      </c>
      <c r="AH259" s="53">
        <f t="shared" si="257"/>
        <v>1215.3988978887025</v>
      </c>
      <c r="AI259" s="53">
        <f t="shared" si="257"/>
        <v>1218.3963994518565</v>
      </c>
      <c r="AJ259" s="53">
        <f t="shared" si="257"/>
        <v>1221.4012936625084</v>
      </c>
      <c r="AK259" s="53">
        <f t="shared" si="257"/>
        <v>1224.4135987529205</v>
      </c>
      <c r="AL259" s="53">
        <f t="shared" si="257"/>
        <v>1227.4333330003224</v>
      </c>
      <c r="AM259" s="53">
        <f t="shared" si="257"/>
        <v>1230.4605147270188</v>
      </c>
      <c r="AN259" s="53">
        <f t="shared" si="257"/>
        <v>1233.4951623005034</v>
      </c>
      <c r="AO259" s="53">
        <f t="shared" si="257"/>
        <v>1236.5372941335677</v>
      </c>
      <c r="AP259" s="53">
        <f t="shared" si="257"/>
        <v>1239.5869286844154</v>
      </c>
      <c r="AQ259" s="53">
        <f t="shared" si="257"/>
        <v>1242.6440844567726</v>
      </c>
    </row>
    <row r="260" spans="1:43" s="16" customFormat="1" outlineLevel="2">
      <c r="A260" s="52"/>
      <c r="B260" s="52"/>
      <c r="C260" s="52" t="s">
        <v>489</v>
      </c>
      <c r="D260" s="52"/>
      <c r="E260" s="52"/>
      <c r="F260" s="52"/>
      <c r="G260" s="52"/>
      <c r="H260" s="52">
        <f t="shared" ref="H260:AQ260" si="258">((((((H261+H265)+H269)+H273)+H278)+H283)+H287)</f>
        <v>105129000</v>
      </c>
      <c r="I260" s="52">
        <f t="shared" si="258"/>
        <v>105484319.71899918</v>
      </c>
      <c r="J260" s="52">
        <f t="shared" si="258"/>
        <v>105840886.57000293</v>
      </c>
      <c r="K260" s="52">
        <f t="shared" si="258"/>
        <v>106198705.07250489</v>
      </c>
      <c r="L260" s="52">
        <f t="shared" si="258"/>
        <v>106557779.76280744</v>
      </c>
      <c r="M260" s="52">
        <f t="shared" si="258"/>
        <v>106918115.19408557</v>
      </c>
      <c r="N260" s="52">
        <f t="shared" si="258"/>
        <v>107279715.93645093</v>
      </c>
      <c r="O260" s="52">
        <f t="shared" si="258"/>
        <v>107642586.57701609</v>
      </c>
      <c r="P260" s="52">
        <f t="shared" si="258"/>
        <v>108006731.71995911</v>
      </c>
      <c r="Q260" s="52">
        <f t="shared" si="258"/>
        <v>108372155.98658843</v>
      </c>
      <c r="R260" s="52">
        <f t="shared" si="258"/>
        <v>108738864.01540776</v>
      </c>
      <c r="S260" s="52">
        <f t="shared" si="258"/>
        <v>109106860.46218142</v>
      </c>
      <c r="T260" s="52">
        <f t="shared" si="258"/>
        <v>109476150</v>
      </c>
      <c r="U260" s="52">
        <f t="shared" si="258"/>
        <v>109846737.31934603</v>
      </c>
      <c r="V260" s="52">
        <f t="shared" si="258"/>
        <v>110218627.12816009</v>
      </c>
      <c r="W260" s="52">
        <f t="shared" si="258"/>
        <v>110591824.15190712</v>
      </c>
      <c r="X260" s="52">
        <f t="shared" si="258"/>
        <v>110966333.13364297</v>
      </c>
      <c r="Y260" s="52">
        <f t="shared" si="258"/>
        <v>111342158.83408132</v>
      </c>
      <c r="Z260" s="52">
        <f t="shared" si="258"/>
        <v>111719306.03166053</v>
      </c>
      <c r="AA260" s="52">
        <f t="shared" si="258"/>
        <v>112097779.52261123</v>
      </c>
      <c r="AB260" s="52">
        <f t="shared" si="258"/>
        <v>112477584.12102382</v>
      </c>
      <c r="AC260" s="52">
        <f t="shared" si="258"/>
        <v>112858724.65891631</v>
      </c>
      <c r="AD260" s="52">
        <f t="shared" si="258"/>
        <v>113241205.98630244</v>
      </c>
      <c r="AE260" s="52">
        <f t="shared" si="258"/>
        <v>113625032.9712601</v>
      </c>
      <c r="AF260" s="52">
        <f t="shared" si="258"/>
        <v>114010210.5</v>
      </c>
      <c r="AG260" s="52">
        <f t="shared" si="258"/>
        <v>114396743.47693452</v>
      </c>
      <c r="AH260" s="52">
        <f t="shared" si="258"/>
        <v>114784636.82474694</v>
      </c>
      <c r="AI260" s="52">
        <f t="shared" si="258"/>
        <v>115173895.48446083</v>
      </c>
      <c r="AJ260" s="52">
        <f t="shared" si="258"/>
        <v>115564524.41550986</v>
      </c>
      <c r="AK260" s="52">
        <f t="shared" si="258"/>
        <v>115956528.59580773</v>
      </c>
      <c r="AL260" s="52">
        <f t="shared" si="258"/>
        <v>116349913.02181841</v>
      </c>
      <c r="AM260" s="52">
        <f t="shared" si="258"/>
        <v>116744682.70862667</v>
      </c>
      <c r="AN260" s="52">
        <f t="shared" si="258"/>
        <v>117140842.69000891</v>
      </c>
      <c r="AO260" s="52">
        <f t="shared" si="258"/>
        <v>117538398.01850423</v>
      </c>
      <c r="AP260" s="52">
        <f t="shared" si="258"/>
        <v>117937353.76548576</v>
      </c>
      <c r="AQ260" s="52">
        <f t="shared" si="258"/>
        <v>118337715.02123223</v>
      </c>
    </row>
    <row r="261" spans="1:43" s="16" customFormat="1" outlineLevel="3" collapsed="1">
      <c r="A261" s="53"/>
      <c r="B261" s="53"/>
      <c r="C261" s="53"/>
      <c r="D261" s="53" t="s">
        <v>490</v>
      </c>
      <c r="E261" s="53"/>
      <c r="F261" s="53"/>
      <c r="G261" s="53"/>
      <c r="H261" s="53">
        <f t="shared" ref="H261:AQ261" si="259">((H262*H263)+H264)</f>
        <v>11440000</v>
      </c>
      <c r="I261" s="53">
        <f t="shared" si="259"/>
        <v>11483438.455439199</v>
      </c>
      <c r="J261" s="53">
        <f t="shared" si="259"/>
        <v>11527043.508336995</v>
      </c>
      <c r="K261" s="53">
        <f t="shared" si="259"/>
        <v>11570815.803463131</v>
      </c>
      <c r="L261" s="53">
        <f t="shared" si="259"/>
        <v>11614755.988103006</v>
      </c>
      <c r="M261" s="53">
        <f t="shared" si="259"/>
        <v>11658864.712067574</v>
      </c>
      <c r="N261" s="53">
        <f t="shared" si="259"/>
        <v>11703142.627703266</v>
      </c>
      <c r="O261" s="53">
        <f t="shared" si="259"/>
        <v>11747590.389901947</v>
      </c>
      <c r="P261" s="53">
        <f t="shared" si="259"/>
        <v>11792208.656110929</v>
      </c>
      <c r="Q261" s="53">
        <f t="shared" si="259"/>
        <v>11836998.086343005</v>
      </c>
      <c r="R261" s="53">
        <f t="shared" si="259"/>
        <v>11881959.343186537</v>
      </c>
      <c r="S261" s="53">
        <f t="shared" si="259"/>
        <v>11927093.09181557</v>
      </c>
      <c r="T261" s="53">
        <f t="shared" si="259"/>
        <v>11972400</v>
      </c>
      <c r="U261" s="53">
        <f t="shared" si="259"/>
        <v>12017880.738115782</v>
      </c>
      <c r="V261" s="53">
        <f t="shared" si="259"/>
        <v>12063535.979155157</v>
      </c>
      <c r="W261" s="53">
        <f t="shared" si="259"/>
        <v>12109366.398736948</v>
      </c>
      <c r="X261" s="53">
        <f t="shared" si="259"/>
        <v>12155372.675116878</v>
      </c>
      <c r="Y261" s="53">
        <f t="shared" si="259"/>
        <v>12201555.489197932</v>
      </c>
      <c r="Z261" s="53">
        <f t="shared" si="259"/>
        <v>12247915.524540775</v>
      </c>
      <c r="AA261" s="53">
        <f t="shared" si="259"/>
        <v>12294453.467374178</v>
      </c>
      <c r="AB261" s="53">
        <f t="shared" si="259"/>
        <v>12341170.006605526</v>
      </c>
      <c r="AC261" s="53">
        <f t="shared" si="259"/>
        <v>12388065.833831333</v>
      </c>
      <c r="AD261" s="53">
        <f t="shared" si="259"/>
        <v>12435141.643347828</v>
      </c>
      <c r="AE261" s="53">
        <f t="shared" si="259"/>
        <v>12482398.132161545</v>
      </c>
      <c r="AF261" s="53">
        <f t="shared" si="259"/>
        <v>12529836</v>
      </c>
      <c r="AG261" s="53">
        <f t="shared" si="259"/>
        <v>12577455.949322382</v>
      </c>
      <c r="AH261" s="53">
        <f t="shared" si="259"/>
        <v>12625258.685330281</v>
      </c>
      <c r="AI261" s="53">
        <f t="shared" si="259"/>
        <v>12673244.915978484</v>
      </c>
      <c r="AJ261" s="53">
        <f t="shared" si="259"/>
        <v>12721415.351985794</v>
      </c>
      <c r="AK261" s="53">
        <f t="shared" si="259"/>
        <v>12769770.706845891</v>
      </c>
      <c r="AL261" s="53">
        <f t="shared" si="259"/>
        <v>12818311.696838254</v>
      </c>
      <c r="AM261" s="53">
        <f t="shared" si="259"/>
        <v>12867039.041039106</v>
      </c>
      <c r="AN261" s="53">
        <f t="shared" si="259"/>
        <v>12915953.461332412</v>
      </c>
      <c r="AO261" s="53">
        <f t="shared" si="259"/>
        <v>12965055.682420926</v>
      </c>
      <c r="AP261" s="53">
        <f t="shared" si="259"/>
        <v>13014346.431837261</v>
      </c>
      <c r="AQ261" s="53">
        <f t="shared" si="259"/>
        <v>13063826.439955026</v>
      </c>
    </row>
    <row r="262" spans="1:43" s="16" customFormat="1" hidden="1" outlineLevel="4">
      <c r="A262" s="53"/>
      <c r="B262" s="53"/>
      <c r="C262" s="53"/>
      <c r="D262" s="53"/>
      <c r="E262" s="53" t="s">
        <v>269</v>
      </c>
      <c r="F262" s="53"/>
      <c r="G262" s="53"/>
      <c r="H262" s="53">
        <f t="shared" ref="H262:AQ262" si="260">regulatory_headcount_positive*(1+regulatory_headcount_positive_growth)^((COLUMN()-8)/12)</f>
        <v>1</v>
      </c>
      <c r="I262" s="53">
        <f t="shared" si="260"/>
        <v>1</v>
      </c>
      <c r="J262" s="53">
        <f t="shared" si="260"/>
        <v>1</v>
      </c>
      <c r="K262" s="53">
        <f t="shared" si="260"/>
        <v>1</v>
      </c>
      <c r="L262" s="53">
        <f t="shared" si="260"/>
        <v>1</v>
      </c>
      <c r="M262" s="53">
        <f t="shared" si="260"/>
        <v>1</v>
      </c>
      <c r="N262" s="53">
        <f t="shared" si="260"/>
        <v>1</v>
      </c>
      <c r="O262" s="53">
        <f t="shared" si="260"/>
        <v>1</v>
      </c>
      <c r="P262" s="53">
        <f t="shared" si="260"/>
        <v>1</v>
      </c>
      <c r="Q262" s="53">
        <f t="shared" si="260"/>
        <v>1</v>
      </c>
      <c r="R262" s="53">
        <f t="shared" si="260"/>
        <v>1</v>
      </c>
      <c r="S262" s="53">
        <f t="shared" si="260"/>
        <v>1</v>
      </c>
      <c r="T262" s="53">
        <f t="shared" si="260"/>
        <v>1</v>
      </c>
      <c r="U262" s="53">
        <f t="shared" si="260"/>
        <v>1</v>
      </c>
      <c r="V262" s="53">
        <f t="shared" si="260"/>
        <v>1</v>
      </c>
      <c r="W262" s="53">
        <f t="shared" si="260"/>
        <v>1</v>
      </c>
      <c r="X262" s="53">
        <f t="shared" si="260"/>
        <v>1</v>
      </c>
      <c r="Y262" s="53">
        <f t="shared" si="260"/>
        <v>1</v>
      </c>
      <c r="Z262" s="53">
        <f t="shared" si="260"/>
        <v>1</v>
      </c>
      <c r="AA262" s="53">
        <f t="shared" si="260"/>
        <v>1</v>
      </c>
      <c r="AB262" s="53">
        <f t="shared" si="260"/>
        <v>1</v>
      </c>
      <c r="AC262" s="53">
        <f t="shared" si="260"/>
        <v>1</v>
      </c>
      <c r="AD262" s="53">
        <f t="shared" si="260"/>
        <v>1</v>
      </c>
      <c r="AE262" s="53">
        <f t="shared" si="260"/>
        <v>1</v>
      </c>
      <c r="AF262" s="53">
        <f t="shared" si="260"/>
        <v>1</v>
      </c>
      <c r="AG262" s="53">
        <f t="shared" si="260"/>
        <v>1</v>
      </c>
      <c r="AH262" s="53">
        <f t="shared" si="260"/>
        <v>1</v>
      </c>
      <c r="AI262" s="53">
        <f t="shared" si="260"/>
        <v>1</v>
      </c>
      <c r="AJ262" s="53">
        <f t="shared" si="260"/>
        <v>1</v>
      </c>
      <c r="AK262" s="53">
        <f t="shared" si="260"/>
        <v>1</v>
      </c>
      <c r="AL262" s="53">
        <f t="shared" si="260"/>
        <v>1</v>
      </c>
      <c r="AM262" s="53">
        <f t="shared" si="260"/>
        <v>1</v>
      </c>
      <c r="AN262" s="53">
        <f t="shared" si="260"/>
        <v>1</v>
      </c>
      <c r="AO262" s="53">
        <f t="shared" si="260"/>
        <v>1</v>
      </c>
      <c r="AP262" s="53">
        <f t="shared" si="260"/>
        <v>1</v>
      </c>
      <c r="AQ262" s="53">
        <f t="shared" si="260"/>
        <v>1</v>
      </c>
    </row>
    <row r="263" spans="1:43" s="16" customFormat="1" hidden="1" outlineLevel="4">
      <c r="A263" s="53"/>
      <c r="B263" s="53"/>
      <c r="C263" s="53"/>
      <c r="D263" s="53"/>
      <c r="E263" s="53" t="s">
        <v>491</v>
      </c>
      <c r="F263" s="53"/>
      <c r="G263" s="53"/>
      <c r="H263" s="53">
        <f t="shared" ref="H263:AQ263" si="261">regulatory_cost_per_fte_positive*(1+regulatory_cost_per_fte_positive_growth)^((COLUMN()-8)/12)</f>
        <v>7480000</v>
      </c>
      <c r="I263" s="53">
        <f t="shared" si="261"/>
        <v>7510474.4459016901</v>
      </c>
      <c r="J263" s="53">
        <f t="shared" si="261"/>
        <v>7541073.04846822</v>
      </c>
      <c r="K263" s="53">
        <f t="shared" si="261"/>
        <v>7571796.3135292148</v>
      </c>
      <c r="L263" s="53">
        <f t="shared" si="261"/>
        <v>7602644.7489751047</v>
      </c>
      <c r="M263" s="53">
        <f t="shared" si="261"/>
        <v>7633618.8647655314</v>
      </c>
      <c r="N263" s="53">
        <f t="shared" si="261"/>
        <v>7664719.1729377806</v>
      </c>
      <c r="O263" s="53">
        <f t="shared" si="261"/>
        <v>7695946.1876152316</v>
      </c>
      <c r="P263" s="53">
        <f t="shared" si="261"/>
        <v>7727300.4250158714</v>
      </c>
      <c r="Q263" s="53">
        <f t="shared" si="261"/>
        <v>7758782.4034608239</v>
      </c>
      <c r="R263" s="53">
        <f t="shared" si="261"/>
        <v>7790392.6433829162</v>
      </c>
      <c r="S263" s="53">
        <f t="shared" si="261"/>
        <v>7822131.6673352821</v>
      </c>
      <c r="T263" s="53">
        <f t="shared" si="261"/>
        <v>7854000</v>
      </c>
      <c r="U263" s="53">
        <f t="shared" si="261"/>
        <v>7885998.1681967741</v>
      </c>
      <c r="V263" s="53">
        <f t="shared" si="261"/>
        <v>7918126.7008916317</v>
      </c>
      <c r="W263" s="53">
        <f t="shared" si="261"/>
        <v>7950386.1292056749</v>
      </c>
      <c r="X263" s="53">
        <f t="shared" si="261"/>
        <v>7982776.9864238594</v>
      </c>
      <c r="Y263" s="53">
        <f t="shared" si="261"/>
        <v>8015299.8080038084</v>
      </c>
      <c r="Z263" s="53">
        <f t="shared" si="261"/>
        <v>8047955.1315846685</v>
      </c>
      <c r="AA263" s="53">
        <f t="shared" si="261"/>
        <v>8080743.496995993</v>
      </c>
      <c r="AB263" s="53">
        <f t="shared" si="261"/>
        <v>8113665.4462666661</v>
      </c>
      <c r="AC263" s="53">
        <f t="shared" si="261"/>
        <v>8146721.5236338647</v>
      </c>
      <c r="AD263" s="53">
        <f t="shared" si="261"/>
        <v>8179912.2755520623</v>
      </c>
      <c r="AE263" s="53">
        <f t="shared" si="261"/>
        <v>8213238.2507020459</v>
      </c>
      <c r="AF263" s="53">
        <f t="shared" si="261"/>
        <v>8246700</v>
      </c>
      <c r="AG263" s="53">
        <f t="shared" si="261"/>
        <v>8280298.0766066136</v>
      </c>
      <c r="AH263" s="53">
        <f t="shared" si="261"/>
        <v>8314033.035936214</v>
      </c>
      <c r="AI263" s="53">
        <f t="shared" si="261"/>
        <v>8347905.4356659595</v>
      </c>
      <c r="AJ263" s="53">
        <f t="shared" si="261"/>
        <v>8381915.8357450534</v>
      </c>
      <c r="AK263" s="53">
        <f t="shared" si="261"/>
        <v>8416064.7984040007</v>
      </c>
      <c r="AL263" s="53">
        <f t="shared" si="261"/>
        <v>8450352.8881639037</v>
      </c>
      <c r="AM263" s="53">
        <f t="shared" si="261"/>
        <v>8484780.6718457937</v>
      </c>
      <c r="AN263" s="53">
        <f t="shared" si="261"/>
        <v>8519348.7185799982</v>
      </c>
      <c r="AO263" s="53">
        <f t="shared" si="261"/>
        <v>8554057.5998155586</v>
      </c>
      <c r="AP263" s="53">
        <f t="shared" si="261"/>
        <v>8588907.8893296663</v>
      </c>
      <c r="AQ263" s="53">
        <f t="shared" si="261"/>
        <v>8623900.163237147</v>
      </c>
    </row>
    <row r="264" spans="1:43" s="16" customFormat="1" hidden="1" outlineLevel="4">
      <c r="A264" s="53"/>
      <c r="B264" s="53"/>
      <c r="C264" s="53"/>
      <c r="D264" s="53"/>
      <c r="E264" s="53" t="s">
        <v>492</v>
      </c>
      <c r="F264" s="53"/>
      <c r="G264" s="53"/>
      <c r="H264" s="53">
        <f t="shared" ref="H264:AQ264" si="262">regulatory_fees_and_compliance_positive*(1+regulatory_fees_and_compliance_positive_growth)^((COLUMN()-8)/12)</f>
        <v>3960000</v>
      </c>
      <c r="I264" s="53">
        <f t="shared" si="262"/>
        <v>3972964.0095375078</v>
      </c>
      <c r="J264" s="53">
        <f t="shared" si="262"/>
        <v>3985970.4598687752</v>
      </c>
      <c r="K264" s="53">
        <f t="shared" si="262"/>
        <v>3999019.4899339164</v>
      </c>
      <c r="L264" s="53">
        <f t="shared" si="262"/>
        <v>4012111.2391279018</v>
      </c>
      <c r="M264" s="53">
        <f t="shared" si="262"/>
        <v>4025245.8473020419</v>
      </c>
      <c r="N264" s="53">
        <f t="shared" si="262"/>
        <v>4038423.4547654861</v>
      </c>
      <c r="O264" s="53">
        <f t="shared" si="262"/>
        <v>4051644.2022867161</v>
      </c>
      <c r="P264" s="53">
        <f t="shared" si="262"/>
        <v>4064908.2310950574</v>
      </c>
      <c r="Q264" s="53">
        <f t="shared" si="262"/>
        <v>4078215.6828821809</v>
      </c>
      <c r="R264" s="53">
        <f t="shared" si="262"/>
        <v>4091566.6998036206</v>
      </c>
      <c r="S264" s="53">
        <f t="shared" si="262"/>
        <v>4104961.4244802878</v>
      </c>
      <c r="T264" s="53">
        <f t="shared" si="262"/>
        <v>4118400</v>
      </c>
      <c r="U264" s="53">
        <f t="shared" si="262"/>
        <v>4131882.5699190083</v>
      </c>
      <c r="V264" s="53">
        <f t="shared" si="262"/>
        <v>4145409.2782635256</v>
      </c>
      <c r="W264" s="53">
        <f t="shared" si="262"/>
        <v>4158980.2695312737</v>
      </c>
      <c r="X264" s="53">
        <f t="shared" si="262"/>
        <v>4172595.6886930182</v>
      </c>
      <c r="Y264" s="53">
        <f t="shared" si="262"/>
        <v>4186255.6811941243</v>
      </c>
      <c r="Z264" s="53">
        <f t="shared" si="262"/>
        <v>4199960.3929561051</v>
      </c>
      <c r="AA264" s="53">
        <f t="shared" si="262"/>
        <v>4213709.9703781847</v>
      </c>
      <c r="AB264" s="53">
        <f t="shared" si="262"/>
        <v>4227504.5603388604</v>
      </c>
      <c r="AC264" s="53">
        <f t="shared" si="262"/>
        <v>4241344.3101974688</v>
      </c>
      <c r="AD264" s="53">
        <f t="shared" si="262"/>
        <v>4255229.3677957654</v>
      </c>
      <c r="AE264" s="53">
        <f t="shared" si="262"/>
        <v>4269159.8814594988</v>
      </c>
      <c r="AF264" s="53">
        <f t="shared" si="262"/>
        <v>4283136</v>
      </c>
      <c r="AG264" s="53">
        <f t="shared" si="262"/>
        <v>4297157.8727157684</v>
      </c>
      <c r="AH264" s="53">
        <f t="shared" si="262"/>
        <v>4311225.649394067</v>
      </c>
      <c r="AI264" s="53">
        <f t="shared" si="262"/>
        <v>4325339.4803125244</v>
      </c>
      <c r="AJ264" s="53">
        <f t="shared" si="262"/>
        <v>4339499.5162407393</v>
      </c>
      <c r="AK264" s="53">
        <f t="shared" si="262"/>
        <v>4353705.9084418891</v>
      </c>
      <c r="AL264" s="53">
        <f t="shared" si="262"/>
        <v>4367958.8086743504</v>
      </c>
      <c r="AM264" s="53">
        <f t="shared" si="262"/>
        <v>4382258.3691933127</v>
      </c>
      <c r="AN264" s="53">
        <f t="shared" si="262"/>
        <v>4396604.7427524142</v>
      </c>
      <c r="AO264" s="53">
        <f t="shared" si="262"/>
        <v>4410998.0826053675</v>
      </c>
      <c r="AP264" s="53">
        <f t="shared" si="262"/>
        <v>4425438.5425075954</v>
      </c>
      <c r="AQ264" s="53">
        <f t="shared" si="262"/>
        <v>4439926.2767178798</v>
      </c>
    </row>
    <row r="265" spans="1:43" s="16" customFormat="1" outlineLevel="3" collapsed="1">
      <c r="A265" s="53"/>
      <c r="B265" s="53"/>
      <c r="C265" s="53"/>
      <c r="D265" s="53" t="s">
        <v>493</v>
      </c>
      <c r="E265" s="53"/>
      <c r="F265" s="53"/>
      <c r="G265" s="53"/>
      <c r="H265" s="53">
        <f t="shared" ref="H265:AQ265" si="263">((H266*H267)+H268)</f>
        <v>18480000</v>
      </c>
      <c r="I265" s="53">
        <f t="shared" si="263"/>
        <v>18551768.117915444</v>
      </c>
      <c r="J265" s="53">
        <f t="shared" si="263"/>
        <v>18623817.098931629</v>
      </c>
      <c r="K265" s="53">
        <f t="shared" si="263"/>
        <v>18696148.049576338</v>
      </c>
      <c r="L265" s="53">
        <f t="shared" si="263"/>
        <v>18768762.080761917</v>
      </c>
      <c r="M265" s="53">
        <f t="shared" si="263"/>
        <v>18841660.307802748</v>
      </c>
      <c r="N265" s="53">
        <f t="shared" si="263"/>
        <v>18914843.850432768</v>
      </c>
      <c r="O265" s="53">
        <f t="shared" si="263"/>
        <v>18988313.83282306</v>
      </c>
      <c r="P265" s="53">
        <f t="shared" si="263"/>
        <v>19062071.383599546</v>
      </c>
      <c r="Q265" s="53">
        <f t="shared" si="263"/>
        <v>19136117.635860704</v>
      </c>
      <c r="R265" s="53">
        <f t="shared" si="263"/>
        <v>19210453.727195397</v>
      </c>
      <c r="S265" s="53">
        <f t="shared" si="263"/>
        <v>19285080.799700718</v>
      </c>
      <c r="T265" s="53">
        <f t="shared" si="263"/>
        <v>19360000</v>
      </c>
      <c r="U265" s="53">
        <f t="shared" si="263"/>
        <v>19435212.479260802</v>
      </c>
      <c r="V265" s="53">
        <f t="shared" si="263"/>
        <v>19510719.393213</v>
      </c>
      <c r="W265" s="53">
        <f t="shared" si="263"/>
        <v>19586521.902167</v>
      </c>
      <c r="X265" s="53">
        <f t="shared" si="263"/>
        <v>19662621.171031926</v>
      </c>
      <c r="Y265" s="53">
        <f t="shared" si="263"/>
        <v>19739018.369333975</v>
      </c>
      <c r="Z265" s="53">
        <f t="shared" si="263"/>
        <v>19815714.671234787</v>
      </c>
      <c r="AA265" s="53">
        <f t="shared" si="263"/>
        <v>19892711.255549915</v>
      </c>
      <c r="AB265" s="53">
        <f t="shared" si="263"/>
        <v>19970009.305767357</v>
      </c>
      <c r="AC265" s="53">
        <f t="shared" si="263"/>
        <v>20047610.010066163</v>
      </c>
      <c r="AD265" s="53">
        <f t="shared" si="263"/>
        <v>20125514.561335124</v>
      </c>
      <c r="AE265" s="53">
        <f t="shared" si="263"/>
        <v>20203724.15719153</v>
      </c>
      <c r="AF265" s="53">
        <f t="shared" si="263"/>
        <v>20282240</v>
      </c>
      <c r="AG265" s="53">
        <f t="shared" si="263"/>
        <v>20361063.296891406</v>
      </c>
      <c r="AH265" s="53">
        <f t="shared" si="263"/>
        <v>20440195.259781837</v>
      </c>
      <c r="AI265" s="53">
        <f t="shared" si="263"/>
        <v>20519637.10539167</v>
      </c>
      <c r="AJ265" s="53">
        <f t="shared" si="263"/>
        <v>20599390.055264711</v>
      </c>
      <c r="AK265" s="53">
        <f t="shared" si="263"/>
        <v>20679455.335787408</v>
      </c>
      <c r="AL265" s="53">
        <f t="shared" si="263"/>
        <v>20759834.178208128</v>
      </c>
      <c r="AM265" s="53">
        <f t="shared" si="263"/>
        <v>20840527.818656549</v>
      </c>
      <c r="AN265" s="53">
        <f t="shared" si="263"/>
        <v>20921537.498163074</v>
      </c>
      <c r="AO265" s="53">
        <f t="shared" si="263"/>
        <v>21002864.462678391</v>
      </c>
      <c r="AP265" s="53">
        <f t="shared" si="263"/>
        <v>21084509.963093042</v>
      </c>
      <c r="AQ265" s="53">
        <f t="shared" si="263"/>
        <v>21166475.255257111</v>
      </c>
    </row>
    <row r="266" spans="1:43" s="16" customFormat="1" hidden="1" outlineLevel="4">
      <c r="A266" s="53"/>
      <c r="B266" s="53"/>
      <c r="C266" s="53"/>
      <c r="D266" s="53"/>
      <c r="E266" s="53" t="s">
        <v>278</v>
      </c>
      <c r="F266" s="53"/>
      <c r="G266" s="53"/>
      <c r="H266" s="53">
        <f t="shared" ref="H266:AQ266" si="264">market_access_headcount_positive*(1+market_access_headcount_positive_growth)^((COLUMN()-8)/12)</f>
        <v>2</v>
      </c>
      <c r="I266" s="53">
        <f t="shared" si="264"/>
        <v>2</v>
      </c>
      <c r="J266" s="53">
        <f t="shared" si="264"/>
        <v>2</v>
      </c>
      <c r="K266" s="53">
        <f t="shared" si="264"/>
        <v>2</v>
      </c>
      <c r="L266" s="53">
        <f t="shared" si="264"/>
        <v>2</v>
      </c>
      <c r="M266" s="53">
        <f t="shared" si="264"/>
        <v>2</v>
      </c>
      <c r="N266" s="53">
        <f t="shared" si="264"/>
        <v>2</v>
      </c>
      <c r="O266" s="53">
        <f t="shared" si="264"/>
        <v>2</v>
      </c>
      <c r="P266" s="53">
        <f t="shared" si="264"/>
        <v>2</v>
      </c>
      <c r="Q266" s="53">
        <f t="shared" si="264"/>
        <v>2</v>
      </c>
      <c r="R266" s="53">
        <f t="shared" si="264"/>
        <v>2</v>
      </c>
      <c r="S266" s="53">
        <f t="shared" si="264"/>
        <v>2</v>
      </c>
      <c r="T266" s="53">
        <f t="shared" si="264"/>
        <v>2</v>
      </c>
      <c r="U266" s="53">
        <f t="shared" si="264"/>
        <v>2</v>
      </c>
      <c r="V266" s="53">
        <f t="shared" si="264"/>
        <v>2</v>
      </c>
      <c r="W266" s="53">
        <f t="shared" si="264"/>
        <v>2</v>
      </c>
      <c r="X266" s="53">
        <f t="shared" si="264"/>
        <v>2</v>
      </c>
      <c r="Y266" s="53">
        <f t="shared" si="264"/>
        <v>2</v>
      </c>
      <c r="Z266" s="53">
        <f t="shared" si="264"/>
        <v>2</v>
      </c>
      <c r="AA266" s="53">
        <f t="shared" si="264"/>
        <v>2</v>
      </c>
      <c r="AB266" s="53">
        <f t="shared" si="264"/>
        <v>2</v>
      </c>
      <c r="AC266" s="53">
        <f t="shared" si="264"/>
        <v>2</v>
      </c>
      <c r="AD266" s="53">
        <f t="shared" si="264"/>
        <v>2</v>
      </c>
      <c r="AE266" s="53">
        <f t="shared" si="264"/>
        <v>2</v>
      </c>
      <c r="AF266" s="53">
        <f t="shared" si="264"/>
        <v>2</v>
      </c>
      <c r="AG266" s="53">
        <f t="shared" si="264"/>
        <v>2</v>
      </c>
      <c r="AH266" s="53">
        <f t="shared" si="264"/>
        <v>2</v>
      </c>
      <c r="AI266" s="53">
        <f t="shared" si="264"/>
        <v>2</v>
      </c>
      <c r="AJ266" s="53">
        <f t="shared" si="264"/>
        <v>2</v>
      </c>
      <c r="AK266" s="53">
        <f t="shared" si="264"/>
        <v>2</v>
      </c>
      <c r="AL266" s="53">
        <f t="shared" si="264"/>
        <v>2</v>
      </c>
      <c r="AM266" s="53">
        <f t="shared" si="264"/>
        <v>2</v>
      </c>
      <c r="AN266" s="53">
        <f t="shared" si="264"/>
        <v>2</v>
      </c>
      <c r="AO266" s="53">
        <f t="shared" si="264"/>
        <v>2</v>
      </c>
      <c r="AP266" s="53">
        <f t="shared" si="264"/>
        <v>2</v>
      </c>
      <c r="AQ266" s="53">
        <f t="shared" si="264"/>
        <v>2</v>
      </c>
    </row>
    <row r="267" spans="1:43" s="16" customFormat="1" hidden="1" outlineLevel="4">
      <c r="A267" s="53"/>
      <c r="B267" s="53"/>
      <c r="C267" s="53"/>
      <c r="D267" s="53"/>
      <c r="E267" s="53" t="s">
        <v>494</v>
      </c>
      <c r="F267" s="53"/>
      <c r="G267" s="53"/>
      <c r="H267" s="53">
        <f t="shared" ref="H267:AQ267" si="265">market_access_cost_per_fte_positive*(1+market_access_cost_per_fte_positive_growth)^((COLUMN()-8)/12)</f>
        <v>7040000</v>
      </c>
      <c r="I267" s="53">
        <f t="shared" si="265"/>
        <v>7068681.8314368846</v>
      </c>
      <c r="J267" s="53">
        <f t="shared" si="265"/>
        <v>7097480.5162053835</v>
      </c>
      <c r="K267" s="53">
        <f t="shared" si="265"/>
        <v>7126396.5303804372</v>
      </c>
      <c r="L267" s="53">
        <f t="shared" si="265"/>
        <v>7155430.3519765688</v>
      </c>
      <c r="M267" s="53">
        <f t="shared" si="265"/>
        <v>7184582.4609557949</v>
      </c>
      <c r="N267" s="53">
        <f t="shared" si="265"/>
        <v>7213853.3392355582</v>
      </c>
      <c r="O267" s="53">
        <f t="shared" si="265"/>
        <v>7243243.4706966886</v>
      </c>
      <c r="P267" s="53">
        <f t="shared" si="265"/>
        <v>7272753.3411914082</v>
      </c>
      <c r="Q267" s="53">
        <f t="shared" si="265"/>
        <v>7302383.4385513635</v>
      </c>
      <c r="R267" s="53">
        <f t="shared" si="265"/>
        <v>7332134.2525956864</v>
      </c>
      <c r="S267" s="53">
        <f t="shared" si="265"/>
        <v>7362006.2751390887</v>
      </c>
      <c r="T267" s="53">
        <f t="shared" si="265"/>
        <v>7392000</v>
      </c>
      <c r="U267" s="53">
        <f t="shared" si="265"/>
        <v>7422115.9230087288</v>
      </c>
      <c r="V267" s="53">
        <f t="shared" si="265"/>
        <v>7452354.5420156531</v>
      </c>
      <c r="W267" s="53">
        <f t="shared" si="265"/>
        <v>7482716.3568994589</v>
      </c>
      <c r="X267" s="53">
        <f t="shared" si="265"/>
        <v>7513201.8695753971</v>
      </c>
      <c r="Y267" s="53">
        <f t="shared" si="265"/>
        <v>7543811.5840035845</v>
      </c>
      <c r="Z267" s="53">
        <f t="shared" si="265"/>
        <v>7574546.0061973352</v>
      </c>
      <c r="AA267" s="53">
        <f t="shared" si="265"/>
        <v>7605405.6442315225</v>
      </c>
      <c r="AB267" s="53">
        <f t="shared" si="265"/>
        <v>7636391.0082509797</v>
      </c>
      <c r="AC267" s="53">
        <f t="shared" si="265"/>
        <v>7667502.610478932</v>
      </c>
      <c r="AD267" s="53">
        <f t="shared" si="265"/>
        <v>7698740.9652254703</v>
      </c>
      <c r="AE267" s="53">
        <f t="shared" si="265"/>
        <v>7730106.5888960436</v>
      </c>
      <c r="AF267" s="53">
        <f t="shared" si="265"/>
        <v>7761600</v>
      </c>
      <c r="AG267" s="53">
        <f t="shared" si="265"/>
        <v>7793221.7191591654</v>
      </c>
      <c r="AH267" s="53">
        <f t="shared" si="265"/>
        <v>7824972.2691164371</v>
      </c>
      <c r="AI267" s="53">
        <f t="shared" si="265"/>
        <v>7856852.1747444328</v>
      </c>
      <c r="AJ267" s="53">
        <f t="shared" si="265"/>
        <v>7888861.963054168</v>
      </c>
      <c r="AK267" s="53">
        <f t="shared" si="265"/>
        <v>7921002.1632037647</v>
      </c>
      <c r="AL267" s="53">
        <f t="shared" si="265"/>
        <v>7953273.3065072037</v>
      </c>
      <c r="AM267" s="53">
        <f t="shared" si="265"/>
        <v>7985675.9264431</v>
      </c>
      <c r="AN267" s="53">
        <f t="shared" si="265"/>
        <v>8018210.5586635284</v>
      </c>
      <c r="AO267" s="53">
        <f t="shared" si="265"/>
        <v>8050877.74100288</v>
      </c>
      <c r="AP267" s="53">
        <f t="shared" si="265"/>
        <v>8083678.0134867448</v>
      </c>
      <c r="AQ267" s="53">
        <f t="shared" si="265"/>
        <v>8116611.918340845</v>
      </c>
    </row>
    <row r="268" spans="1:43" s="16" customFormat="1" hidden="1" outlineLevel="4">
      <c r="A268" s="53"/>
      <c r="B268" s="53"/>
      <c r="C268" s="53"/>
      <c r="D268" s="53"/>
      <c r="E268" s="53" t="s">
        <v>495</v>
      </c>
      <c r="F268" s="53"/>
      <c r="G268" s="53"/>
      <c r="H268" s="53">
        <f t="shared" ref="H268:AQ268" si="266">tender_support_budget_positive*(1+tender_support_budget_positive_growth)^((COLUMN()-8)/12)</f>
        <v>4400000</v>
      </c>
      <c r="I268" s="53">
        <f t="shared" si="266"/>
        <v>4414404.4550416749</v>
      </c>
      <c r="J268" s="53">
        <f t="shared" si="266"/>
        <v>4428856.0665208613</v>
      </c>
      <c r="K268" s="53">
        <f t="shared" si="266"/>
        <v>4443354.9888154631</v>
      </c>
      <c r="L268" s="53">
        <f t="shared" si="266"/>
        <v>4457901.3768087793</v>
      </c>
      <c r="M268" s="53">
        <f t="shared" si="266"/>
        <v>4472495.3858911581</v>
      </c>
      <c r="N268" s="53">
        <f t="shared" si="266"/>
        <v>4487137.1719616512</v>
      </c>
      <c r="O268" s="53">
        <f t="shared" si="266"/>
        <v>4501826.8914296841</v>
      </c>
      <c r="P268" s="53">
        <f t="shared" si="266"/>
        <v>4516564.7012167303</v>
      </c>
      <c r="Q268" s="53">
        <f t="shared" si="266"/>
        <v>4531350.7587579787</v>
      </c>
      <c r="R268" s="53">
        <f t="shared" si="266"/>
        <v>4546185.2220040224</v>
      </c>
      <c r="S268" s="53">
        <f t="shared" si="266"/>
        <v>4561068.2494225418</v>
      </c>
      <c r="T268" s="53">
        <f t="shared" si="266"/>
        <v>4576000</v>
      </c>
      <c r="U268" s="53">
        <f t="shared" si="266"/>
        <v>4590980.6332433429</v>
      </c>
      <c r="V268" s="53">
        <f t="shared" si="266"/>
        <v>4606010.3091816949</v>
      </c>
      <c r="W268" s="53">
        <f t="shared" si="266"/>
        <v>4621089.188368082</v>
      </c>
      <c r="X268" s="53">
        <f t="shared" si="266"/>
        <v>4636217.4318811316</v>
      </c>
      <c r="Y268" s="53">
        <f t="shared" si="266"/>
        <v>4651395.2013268052</v>
      </c>
      <c r="Z268" s="53">
        <f t="shared" si="266"/>
        <v>4666622.658840117</v>
      </c>
      <c r="AA268" s="53">
        <f t="shared" si="266"/>
        <v>4681899.9670868721</v>
      </c>
      <c r="AB268" s="53">
        <f t="shared" si="266"/>
        <v>4697227.2892653998</v>
      </c>
      <c r="AC268" s="53">
        <f t="shared" si="266"/>
        <v>4712604.7891082978</v>
      </c>
      <c r="AD268" s="53">
        <f t="shared" si="266"/>
        <v>4728032.6308841836</v>
      </c>
      <c r="AE268" s="53">
        <f t="shared" si="266"/>
        <v>4743510.9793994436</v>
      </c>
      <c r="AF268" s="53">
        <f t="shared" si="266"/>
        <v>4759040.0000000009</v>
      </c>
      <c r="AG268" s="53">
        <f t="shared" si="266"/>
        <v>4774619.8585730754</v>
      </c>
      <c r="AH268" s="53">
        <f t="shared" si="266"/>
        <v>4790250.7215489633</v>
      </c>
      <c r="AI268" s="53">
        <f t="shared" si="266"/>
        <v>4805932.7559028054</v>
      </c>
      <c r="AJ268" s="53">
        <f t="shared" si="266"/>
        <v>4821666.1291563772</v>
      </c>
      <c r="AK268" s="53">
        <f t="shared" si="266"/>
        <v>4837451.0093798768</v>
      </c>
      <c r="AL268" s="53">
        <f t="shared" si="266"/>
        <v>4853287.565193722</v>
      </c>
      <c r="AM268" s="53">
        <f t="shared" si="266"/>
        <v>4869175.965770347</v>
      </c>
      <c r="AN268" s="53">
        <f t="shared" si="266"/>
        <v>4885116.3808360165</v>
      </c>
      <c r="AO268" s="53">
        <f t="shared" si="266"/>
        <v>4901108.9806726305</v>
      </c>
      <c r="AP268" s="53">
        <f t="shared" si="266"/>
        <v>4917153.9361195508</v>
      </c>
      <c r="AQ268" s="53">
        <f t="shared" si="266"/>
        <v>4933251.4185754219</v>
      </c>
    </row>
    <row r="269" spans="1:43" s="16" customFormat="1" outlineLevel="3" collapsed="1">
      <c r="A269" s="53"/>
      <c r="B269" s="53"/>
      <c r="C269" s="53"/>
      <c r="D269" s="53" t="s">
        <v>496</v>
      </c>
      <c r="E269" s="53"/>
      <c r="F269" s="53"/>
      <c r="G269" s="53"/>
      <c r="H269" s="53">
        <f t="shared" ref="H269:AQ269" si="267">((H270*H271)+H272)</f>
        <v>13640000</v>
      </c>
      <c r="I269" s="53">
        <f t="shared" si="267"/>
        <v>13691345.02088131</v>
      </c>
      <c r="J269" s="53">
        <f t="shared" si="267"/>
        <v>13742885.392818926</v>
      </c>
      <c r="K269" s="53">
        <f t="shared" si="267"/>
        <v>13794621.866405325</v>
      </c>
      <c r="L269" s="53">
        <f t="shared" si="267"/>
        <v>13846555.195142712</v>
      </c>
      <c r="M269" s="53">
        <f t="shared" si="267"/>
        <v>13898686.135454394</v>
      </c>
      <c r="N269" s="53">
        <f t="shared" si="267"/>
        <v>13951015.446696207</v>
      </c>
      <c r="O269" s="53">
        <f t="shared" si="267"/>
        <v>14003543.891167939</v>
      </c>
      <c r="P269" s="53">
        <f t="shared" si="267"/>
        <v>14056272.234124873</v>
      </c>
      <c r="Q269" s="53">
        <f t="shared" si="267"/>
        <v>14109201.243789319</v>
      </c>
      <c r="R269" s="53">
        <f t="shared" si="267"/>
        <v>14162331.691362206</v>
      </c>
      <c r="S269" s="53">
        <f t="shared" si="267"/>
        <v>14215664.351034718</v>
      </c>
      <c r="T269" s="53">
        <f t="shared" si="267"/>
        <v>14269200</v>
      </c>
      <c r="U269" s="53">
        <f t="shared" si="267"/>
        <v>14322939.418464877</v>
      </c>
      <c r="V269" s="53">
        <f t="shared" si="267"/>
        <v>14376883.389661621</v>
      </c>
      <c r="W269" s="53">
        <f t="shared" si="267"/>
        <v>14431032.699859805</v>
      </c>
      <c r="X269" s="53">
        <f t="shared" si="267"/>
        <v>14485388.138378141</v>
      </c>
      <c r="Y269" s="53">
        <f t="shared" si="267"/>
        <v>14539950.497596424</v>
      </c>
      <c r="Z269" s="53">
        <f t="shared" si="267"/>
        <v>14594720.572967477</v>
      </c>
      <c r="AA269" s="53">
        <f t="shared" si="267"/>
        <v>14649699.163029179</v>
      </c>
      <c r="AB269" s="53">
        <f t="shared" si="267"/>
        <v>14704887.069416519</v>
      </c>
      <c r="AC269" s="53">
        <f t="shared" si="267"/>
        <v>14760285.096873689</v>
      </c>
      <c r="AD269" s="53">
        <f t="shared" si="267"/>
        <v>14815894.053266268</v>
      </c>
      <c r="AE269" s="53">
        <f t="shared" si="267"/>
        <v>14871714.749593385</v>
      </c>
      <c r="AF269" s="53">
        <f t="shared" si="267"/>
        <v>14927748</v>
      </c>
      <c r="AG269" s="53">
        <f t="shared" si="267"/>
        <v>14983994.6217892</v>
      </c>
      <c r="AH269" s="53">
        <f t="shared" si="267"/>
        <v>15040455.435434524</v>
      </c>
      <c r="AI269" s="53">
        <f t="shared" si="267"/>
        <v>15097131.264592381</v>
      </c>
      <c r="AJ269" s="53">
        <f t="shared" si="267"/>
        <v>15154022.936114475</v>
      </c>
      <c r="AK269" s="53">
        <f t="shared" si="267"/>
        <v>15211131.280060323</v>
      </c>
      <c r="AL269" s="53">
        <f t="shared" si="267"/>
        <v>15268457.129709769</v>
      </c>
      <c r="AM269" s="53">
        <f t="shared" si="267"/>
        <v>15326001.321575597</v>
      </c>
      <c r="AN269" s="53">
        <f t="shared" si="267"/>
        <v>15383764.69541616</v>
      </c>
      <c r="AO269" s="53">
        <f t="shared" si="267"/>
        <v>15441748.094248075</v>
      </c>
      <c r="AP269" s="53">
        <f t="shared" si="267"/>
        <v>15499952.364358969</v>
      </c>
      <c r="AQ269" s="53">
        <f t="shared" si="267"/>
        <v>15558378.35532026</v>
      </c>
    </row>
    <row r="270" spans="1:43" s="16" customFormat="1" hidden="1" outlineLevel="4">
      <c r="A270" s="53"/>
      <c r="B270" s="53"/>
      <c r="C270" s="53"/>
      <c r="D270" s="53"/>
      <c r="E270" s="53" t="s">
        <v>284</v>
      </c>
      <c r="F270" s="53"/>
      <c r="G270" s="53"/>
      <c r="H270" s="53">
        <f t="shared" ref="H270:AQ270" si="268">medical_headcount_positive*(1+medical_headcount_positive_growth)^((COLUMN()-8)/12)</f>
        <v>1</v>
      </c>
      <c r="I270" s="53">
        <f t="shared" si="268"/>
        <v>1</v>
      </c>
      <c r="J270" s="53">
        <f t="shared" si="268"/>
        <v>1</v>
      </c>
      <c r="K270" s="53">
        <f t="shared" si="268"/>
        <v>1</v>
      </c>
      <c r="L270" s="53">
        <f t="shared" si="268"/>
        <v>1</v>
      </c>
      <c r="M270" s="53">
        <f t="shared" si="268"/>
        <v>1</v>
      </c>
      <c r="N270" s="53">
        <f t="shared" si="268"/>
        <v>1</v>
      </c>
      <c r="O270" s="53">
        <f t="shared" si="268"/>
        <v>1</v>
      </c>
      <c r="P270" s="53">
        <f t="shared" si="268"/>
        <v>1</v>
      </c>
      <c r="Q270" s="53">
        <f t="shared" si="268"/>
        <v>1</v>
      </c>
      <c r="R270" s="53">
        <f t="shared" si="268"/>
        <v>1</v>
      </c>
      <c r="S270" s="53">
        <f t="shared" si="268"/>
        <v>1</v>
      </c>
      <c r="T270" s="53">
        <f t="shared" si="268"/>
        <v>1</v>
      </c>
      <c r="U270" s="53">
        <f t="shared" si="268"/>
        <v>1</v>
      </c>
      <c r="V270" s="53">
        <f t="shared" si="268"/>
        <v>1</v>
      </c>
      <c r="W270" s="53">
        <f t="shared" si="268"/>
        <v>1</v>
      </c>
      <c r="X270" s="53">
        <f t="shared" si="268"/>
        <v>1</v>
      </c>
      <c r="Y270" s="53">
        <f t="shared" si="268"/>
        <v>1</v>
      </c>
      <c r="Z270" s="53">
        <f t="shared" si="268"/>
        <v>1</v>
      </c>
      <c r="AA270" s="53">
        <f t="shared" si="268"/>
        <v>1</v>
      </c>
      <c r="AB270" s="53">
        <f t="shared" si="268"/>
        <v>1</v>
      </c>
      <c r="AC270" s="53">
        <f t="shared" si="268"/>
        <v>1</v>
      </c>
      <c r="AD270" s="53">
        <f t="shared" si="268"/>
        <v>1</v>
      </c>
      <c r="AE270" s="53">
        <f t="shared" si="268"/>
        <v>1</v>
      </c>
      <c r="AF270" s="53">
        <f t="shared" si="268"/>
        <v>1</v>
      </c>
      <c r="AG270" s="53">
        <f t="shared" si="268"/>
        <v>1</v>
      </c>
      <c r="AH270" s="53">
        <f t="shared" si="268"/>
        <v>1</v>
      </c>
      <c r="AI270" s="53">
        <f t="shared" si="268"/>
        <v>1</v>
      </c>
      <c r="AJ270" s="53">
        <f t="shared" si="268"/>
        <v>1</v>
      </c>
      <c r="AK270" s="53">
        <f t="shared" si="268"/>
        <v>1</v>
      </c>
      <c r="AL270" s="53">
        <f t="shared" si="268"/>
        <v>1</v>
      </c>
      <c r="AM270" s="53">
        <f t="shared" si="268"/>
        <v>1</v>
      </c>
      <c r="AN270" s="53">
        <f t="shared" si="268"/>
        <v>1</v>
      </c>
      <c r="AO270" s="53">
        <f t="shared" si="268"/>
        <v>1</v>
      </c>
      <c r="AP270" s="53">
        <f t="shared" si="268"/>
        <v>1</v>
      </c>
      <c r="AQ270" s="53">
        <f t="shared" si="268"/>
        <v>1</v>
      </c>
    </row>
    <row r="271" spans="1:43" s="16" customFormat="1" hidden="1" outlineLevel="4">
      <c r="A271" s="53"/>
      <c r="B271" s="53"/>
      <c r="C271" s="53"/>
      <c r="D271" s="53"/>
      <c r="E271" s="53" t="s">
        <v>497</v>
      </c>
      <c r="F271" s="53"/>
      <c r="G271" s="53"/>
      <c r="H271" s="53">
        <f t="shared" ref="H271:AQ271" si="269">medical_cost_per_fte_positive*(1+medical_cost_per_fte_positive_growth)^((COLUMN()-8)/12)</f>
        <v>8360000</v>
      </c>
      <c r="I271" s="53">
        <f t="shared" si="269"/>
        <v>8394059.674831301</v>
      </c>
      <c r="J271" s="53">
        <f t="shared" si="269"/>
        <v>8428258.1129938923</v>
      </c>
      <c r="K271" s="53">
        <f t="shared" si="269"/>
        <v>8462595.8798267692</v>
      </c>
      <c r="L271" s="53">
        <f t="shared" si="269"/>
        <v>8497073.5429721754</v>
      </c>
      <c r="M271" s="53">
        <f t="shared" si="269"/>
        <v>8531691.6723850053</v>
      </c>
      <c r="N271" s="53">
        <f t="shared" si="269"/>
        <v>8566450.8403422255</v>
      </c>
      <c r="O271" s="53">
        <f t="shared" si="269"/>
        <v>8601351.6214523166</v>
      </c>
      <c r="P271" s="53">
        <f t="shared" si="269"/>
        <v>8636394.5926647969</v>
      </c>
      <c r="Q271" s="53">
        <f t="shared" si="269"/>
        <v>8671580.3332797438</v>
      </c>
      <c r="R271" s="53">
        <f t="shared" si="269"/>
        <v>8706909.4249573778</v>
      </c>
      <c r="S271" s="53">
        <f t="shared" si="269"/>
        <v>8742382.4517276678</v>
      </c>
      <c r="T271" s="53">
        <f t="shared" si="269"/>
        <v>8778000</v>
      </c>
      <c r="U271" s="53">
        <f t="shared" si="269"/>
        <v>8813762.6585728657</v>
      </c>
      <c r="V271" s="53">
        <f t="shared" si="269"/>
        <v>8849671.0186435878</v>
      </c>
      <c r="W271" s="53">
        <f t="shared" si="269"/>
        <v>8885725.6738181077</v>
      </c>
      <c r="X271" s="53">
        <f t="shared" si="269"/>
        <v>8921927.2201207839</v>
      </c>
      <c r="Y271" s="53">
        <f t="shared" si="269"/>
        <v>8958276.2560042571</v>
      </c>
      <c r="Z271" s="53">
        <f t="shared" si="269"/>
        <v>8994773.3823593352</v>
      </c>
      <c r="AA271" s="53">
        <f t="shared" si="269"/>
        <v>9031419.202524934</v>
      </c>
      <c r="AB271" s="53">
        <f t="shared" si="269"/>
        <v>9068214.3222980388</v>
      </c>
      <c r="AC271" s="53">
        <f t="shared" si="269"/>
        <v>9105159.349943731</v>
      </c>
      <c r="AD271" s="53">
        <f t="shared" si="269"/>
        <v>9142254.8962052464</v>
      </c>
      <c r="AE271" s="53">
        <f t="shared" si="269"/>
        <v>9179501.5743140522</v>
      </c>
      <c r="AF271" s="53">
        <f t="shared" si="269"/>
        <v>9216900</v>
      </c>
      <c r="AG271" s="53">
        <f t="shared" si="269"/>
        <v>9254450.791501509</v>
      </c>
      <c r="AH271" s="53">
        <f t="shared" si="269"/>
        <v>9292154.569575768</v>
      </c>
      <c r="AI271" s="53">
        <f t="shared" si="269"/>
        <v>9330011.9575090148</v>
      </c>
      <c r="AJ271" s="53">
        <f t="shared" si="269"/>
        <v>9368023.581126824</v>
      </c>
      <c r="AK271" s="53">
        <f t="shared" si="269"/>
        <v>9406190.0688044708</v>
      </c>
      <c r="AL271" s="53">
        <f t="shared" si="269"/>
        <v>9444512.0514773037</v>
      </c>
      <c r="AM271" s="53">
        <f t="shared" si="269"/>
        <v>9482990.1626511812</v>
      </c>
      <c r="AN271" s="53">
        <f t="shared" si="269"/>
        <v>9521625.0384129398</v>
      </c>
      <c r="AO271" s="53">
        <f t="shared" si="269"/>
        <v>9560417.3174409196</v>
      </c>
      <c r="AP271" s="53">
        <f t="shared" si="269"/>
        <v>9599367.6410155091</v>
      </c>
      <c r="AQ271" s="53">
        <f t="shared" si="269"/>
        <v>9638476.6530297529</v>
      </c>
    </row>
    <row r="272" spans="1:43" s="16" customFormat="1" hidden="1" outlineLevel="4">
      <c r="A272" s="53"/>
      <c r="B272" s="53"/>
      <c r="C272" s="53"/>
      <c r="D272" s="53"/>
      <c r="E272" s="53" t="s">
        <v>498</v>
      </c>
      <c r="F272" s="53"/>
      <c r="G272" s="53"/>
      <c r="H272" s="53">
        <f t="shared" ref="H272:AQ272" si="270">kol_and_medical_program_budget_positive*(1+kol_and_medical_program_budget_positive_growth)^((COLUMN()-8)/12)</f>
        <v>5280000</v>
      </c>
      <c r="I272" s="53">
        <f t="shared" si="270"/>
        <v>5297285.3460500101</v>
      </c>
      <c r="J272" s="53">
        <f t="shared" si="270"/>
        <v>5314627.2798250336</v>
      </c>
      <c r="K272" s="53">
        <f t="shared" si="270"/>
        <v>5332025.9865785558</v>
      </c>
      <c r="L272" s="53">
        <f t="shared" si="270"/>
        <v>5349481.6521705361</v>
      </c>
      <c r="M272" s="53">
        <f t="shared" si="270"/>
        <v>5366994.4630693896</v>
      </c>
      <c r="N272" s="53">
        <f t="shared" si="270"/>
        <v>5384564.6063539814</v>
      </c>
      <c r="O272" s="53">
        <f t="shared" si="270"/>
        <v>5402192.2697156211</v>
      </c>
      <c r="P272" s="53">
        <f t="shared" si="270"/>
        <v>5419877.6414600769</v>
      </c>
      <c r="Q272" s="53">
        <f t="shared" si="270"/>
        <v>5437620.9105095742</v>
      </c>
      <c r="R272" s="53">
        <f t="shared" si="270"/>
        <v>5455422.2664048271</v>
      </c>
      <c r="S272" s="53">
        <f t="shared" si="270"/>
        <v>5473281.8993070498</v>
      </c>
      <c r="T272" s="53">
        <f t="shared" si="270"/>
        <v>5491200</v>
      </c>
      <c r="U272" s="53">
        <f t="shared" si="270"/>
        <v>5509176.7598920111</v>
      </c>
      <c r="V272" s="53">
        <f t="shared" si="270"/>
        <v>5527212.3710180344</v>
      </c>
      <c r="W272" s="53">
        <f t="shared" si="270"/>
        <v>5545307.0260416986</v>
      </c>
      <c r="X272" s="53">
        <f t="shared" si="270"/>
        <v>5563460.9182573576</v>
      </c>
      <c r="Y272" s="53">
        <f t="shared" si="270"/>
        <v>5581674.241592166</v>
      </c>
      <c r="Z272" s="53">
        <f t="shared" si="270"/>
        <v>5599947.190608141</v>
      </c>
      <c r="AA272" s="53">
        <f t="shared" si="270"/>
        <v>5618279.9605042459</v>
      </c>
      <c r="AB272" s="53">
        <f t="shared" si="270"/>
        <v>5636672.7471184805</v>
      </c>
      <c r="AC272" s="53">
        <f t="shared" si="270"/>
        <v>5655125.7469299575</v>
      </c>
      <c r="AD272" s="53">
        <f t="shared" si="270"/>
        <v>5673639.1570610208</v>
      </c>
      <c r="AE272" s="53">
        <f t="shared" si="270"/>
        <v>5692213.1752793323</v>
      </c>
      <c r="AF272" s="53">
        <f t="shared" si="270"/>
        <v>5710848.0000000009</v>
      </c>
      <c r="AG272" s="53">
        <f t="shared" si="270"/>
        <v>5729543.8302876912</v>
      </c>
      <c r="AH272" s="53">
        <f t="shared" si="270"/>
        <v>5748300.865858756</v>
      </c>
      <c r="AI272" s="53">
        <f t="shared" si="270"/>
        <v>5767119.3070833664</v>
      </c>
      <c r="AJ272" s="53">
        <f t="shared" si="270"/>
        <v>5785999.354987652</v>
      </c>
      <c r="AK272" s="53">
        <f t="shared" si="270"/>
        <v>5804941.2112558521</v>
      </c>
      <c r="AL272" s="53">
        <f t="shared" si="270"/>
        <v>5823945.0782324662</v>
      </c>
      <c r="AM272" s="53">
        <f t="shared" si="270"/>
        <v>5843011.1589244166</v>
      </c>
      <c r="AN272" s="53">
        <f t="shared" si="270"/>
        <v>5862139.6570032192</v>
      </c>
      <c r="AO272" s="53">
        <f t="shared" si="270"/>
        <v>5881330.7768071564</v>
      </c>
      <c r="AP272" s="53">
        <f t="shared" si="270"/>
        <v>5900584.7233434608</v>
      </c>
      <c r="AQ272" s="53">
        <f t="shared" si="270"/>
        <v>5919901.7022905061</v>
      </c>
    </row>
    <row r="273" spans="1:43" s="16" customFormat="1" outlineLevel="3" collapsed="1">
      <c r="A273" s="53"/>
      <c r="B273" s="53"/>
      <c r="C273" s="53"/>
      <c r="D273" s="53" t="s">
        <v>499</v>
      </c>
      <c r="E273" s="53"/>
      <c r="F273" s="53"/>
      <c r="G273" s="53"/>
      <c r="H273" s="53">
        <f t="shared" ref="H273:AQ273" si="271">(((H274+H275)+H276)+H277)</f>
        <v>14625000</v>
      </c>
      <c r="I273" s="53">
        <f t="shared" si="271"/>
        <v>14661069.195419943</v>
      </c>
      <c r="J273" s="53">
        <f t="shared" si="271"/>
        <v>14697227.347206255</v>
      </c>
      <c r="K273" s="53">
        <f t="shared" si="271"/>
        <v>14733474.674749345</v>
      </c>
      <c r="L273" s="53">
        <f t="shared" si="271"/>
        <v>14769811.397980677</v>
      </c>
      <c r="M273" s="53">
        <f t="shared" si="271"/>
        <v>14806237.737374142</v>
      </c>
      <c r="N273" s="53">
        <f t="shared" si="271"/>
        <v>14842753.913947372</v>
      </c>
      <c r="O273" s="53">
        <f t="shared" si="271"/>
        <v>14879360.14926308</v>
      </c>
      <c r="P273" s="53">
        <f t="shared" si="271"/>
        <v>14916056.665430427</v>
      </c>
      <c r="Q273" s="53">
        <f t="shared" si="271"/>
        <v>14952843.685106345</v>
      </c>
      <c r="R273" s="53">
        <f t="shared" si="271"/>
        <v>14989721.431496903</v>
      </c>
      <c r="S273" s="53">
        <f t="shared" si="271"/>
        <v>15026690.128358658</v>
      </c>
      <c r="T273" s="53">
        <f t="shared" si="271"/>
        <v>15063750</v>
      </c>
      <c r="U273" s="53">
        <f t="shared" si="271"/>
        <v>15100901.271282539</v>
      </c>
      <c r="V273" s="53">
        <f t="shared" si="271"/>
        <v>15138144.167622445</v>
      </c>
      <c r="W273" s="53">
        <f t="shared" si="271"/>
        <v>15175478.914991826</v>
      </c>
      <c r="X273" s="53">
        <f t="shared" si="271"/>
        <v>15212905.739920098</v>
      </c>
      <c r="Y273" s="53">
        <f t="shared" si="271"/>
        <v>15250424.869495369</v>
      </c>
      <c r="Z273" s="53">
        <f t="shared" si="271"/>
        <v>15288036.531365793</v>
      </c>
      <c r="AA273" s="53">
        <f t="shared" si="271"/>
        <v>15325740.953740977</v>
      </c>
      <c r="AB273" s="53">
        <f t="shared" si="271"/>
        <v>15363538.365393341</v>
      </c>
      <c r="AC273" s="53">
        <f t="shared" si="271"/>
        <v>15401428.995659536</v>
      </c>
      <c r="AD273" s="53">
        <f t="shared" si="271"/>
        <v>15439413.074441813</v>
      </c>
      <c r="AE273" s="53">
        <f t="shared" si="271"/>
        <v>15477490.832209416</v>
      </c>
      <c r="AF273" s="53">
        <f t="shared" si="271"/>
        <v>15515662.5</v>
      </c>
      <c r="AG273" s="53">
        <f t="shared" si="271"/>
        <v>15553928.309421012</v>
      </c>
      <c r="AH273" s="53">
        <f t="shared" si="271"/>
        <v>15592288.492651118</v>
      </c>
      <c r="AI273" s="53">
        <f t="shared" si="271"/>
        <v>15630743.282441579</v>
      </c>
      <c r="AJ273" s="53">
        <f t="shared" si="271"/>
        <v>15669292.912117705</v>
      </c>
      <c r="AK273" s="53">
        <f t="shared" si="271"/>
        <v>15707937.615580231</v>
      </c>
      <c r="AL273" s="53">
        <f t="shared" si="271"/>
        <v>15746677.627306767</v>
      </c>
      <c r="AM273" s="53">
        <f t="shared" si="271"/>
        <v>15785513.182353202</v>
      </c>
      <c r="AN273" s="53">
        <f t="shared" si="271"/>
        <v>15824444.516355142</v>
      </c>
      <c r="AO273" s="53">
        <f t="shared" si="271"/>
        <v>15863471.865529323</v>
      </c>
      <c r="AP273" s="53">
        <f t="shared" si="271"/>
        <v>15902595.466675065</v>
      </c>
      <c r="AQ273" s="53">
        <f t="shared" si="271"/>
        <v>15941815.5571757</v>
      </c>
    </row>
    <row r="274" spans="1:43" s="16" customFormat="1" hidden="1" outlineLevel="4">
      <c r="A274" s="53"/>
      <c r="B274" s="53"/>
      <c r="C274" s="53"/>
      <c r="D274" s="53"/>
      <c r="E274" s="53" t="s">
        <v>290</v>
      </c>
      <c r="F274" s="53"/>
      <c r="G274" s="53"/>
      <c r="H274" s="53">
        <f t="shared" ref="H274:AQ274" si="272">central_training_budget_positive*(1+central_training_budget_positive_growth)^((COLUMN()-8)/12)</f>
        <v>6000000</v>
      </c>
      <c r="I274" s="53">
        <f t="shared" si="272"/>
        <v>6014797.6186338225</v>
      </c>
      <c r="J274" s="53">
        <f t="shared" si="272"/>
        <v>6029631.7321871817</v>
      </c>
      <c r="K274" s="53">
        <f t="shared" si="272"/>
        <v>6044502.4306663973</v>
      </c>
      <c r="L274" s="53">
        <f t="shared" si="272"/>
        <v>6059409.8042997653</v>
      </c>
      <c r="M274" s="53">
        <f t="shared" si="272"/>
        <v>6074353.9435381098</v>
      </c>
      <c r="N274" s="53">
        <f t="shared" si="272"/>
        <v>6089334.939055332</v>
      </c>
      <c r="O274" s="53">
        <f t="shared" si="272"/>
        <v>6104352.8817489557</v>
      </c>
      <c r="P274" s="53">
        <f t="shared" si="272"/>
        <v>6119407.862740688</v>
      </c>
      <c r="Q274" s="53">
        <f t="shared" si="272"/>
        <v>6134499.9733769624</v>
      </c>
      <c r="R274" s="53">
        <f t="shared" si="272"/>
        <v>6149629.305229499</v>
      </c>
      <c r="S274" s="53">
        <f t="shared" si="272"/>
        <v>6164795.9500958594</v>
      </c>
      <c r="T274" s="53">
        <f t="shared" si="272"/>
        <v>6180000</v>
      </c>
      <c r="U274" s="53">
        <f t="shared" si="272"/>
        <v>6195241.5471928362</v>
      </c>
      <c r="V274" s="53">
        <f t="shared" si="272"/>
        <v>6210520.6841527978</v>
      </c>
      <c r="W274" s="53">
        <f t="shared" si="272"/>
        <v>6225837.5035863901</v>
      </c>
      <c r="X274" s="53">
        <f t="shared" si="272"/>
        <v>6241192.0984287588</v>
      </c>
      <c r="Y274" s="53">
        <f t="shared" si="272"/>
        <v>6256584.5618442539</v>
      </c>
      <c r="Z274" s="53">
        <f t="shared" si="272"/>
        <v>6272014.9872269919</v>
      </c>
      <c r="AA274" s="53">
        <f t="shared" si="272"/>
        <v>6287483.4682014259</v>
      </c>
      <c r="AB274" s="53">
        <f t="shared" si="272"/>
        <v>6302990.0986229088</v>
      </c>
      <c r="AC274" s="53">
        <f t="shared" si="272"/>
        <v>6318534.9725782713</v>
      </c>
      <c r="AD274" s="53">
        <f t="shared" si="272"/>
        <v>6334118.1843863847</v>
      </c>
      <c r="AE274" s="53">
        <f t="shared" si="272"/>
        <v>6349739.8285987349</v>
      </c>
      <c r="AF274" s="53">
        <f t="shared" si="272"/>
        <v>6365400</v>
      </c>
      <c r="AG274" s="53">
        <f t="shared" si="272"/>
        <v>6381098.7936086208</v>
      </c>
      <c r="AH274" s="53">
        <f t="shared" si="272"/>
        <v>6396836.3046773821</v>
      </c>
      <c r="AI274" s="53">
        <f t="shared" si="272"/>
        <v>6412612.6286939811</v>
      </c>
      <c r="AJ274" s="53">
        <f t="shared" si="272"/>
        <v>6428427.861381623</v>
      </c>
      <c r="AK274" s="53">
        <f t="shared" si="272"/>
        <v>6444282.0986995818</v>
      </c>
      <c r="AL274" s="53">
        <f t="shared" si="272"/>
        <v>6460175.4368438013</v>
      </c>
      <c r="AM274" s="53">
        <f t="shared" si="272"/>
        <v>6476107.9722474674</v>
      </c>
      <c r="AN274" s="53">
        <f t="shared" si="272"/>
        <v>6492079.801581597</v>
      </c>
      <c r="AO274" s="53">
        <f t="shared" si="272"/>
        <v>6508091.021755619</v>
      </c>
      <c r="AP274" s="53">
        <f t="shared" si="272"/>
        <v>6524141.7299179761</v>
      </c>
      <c r="AQ274" s="53">
        <f t="shared" si="272"/>
        <v>6540232.0234566974</v>
      </c>
    </row>
    <row r="275" spans="1:43" s="16" customFormat="1" hidden="1" outlineLevel="4">
      <c r="A275" s="53"/>
      <c r="B275" s="53"/>
      <c r="C275" s="53"/>
      <c r="D275" s="53"/>
      <c r="E275" s="53" t="s">
        <v>500</v>
      </c>
      <c r="F275" s="53"/>
      <c r="G275" s="53"/>
      <c r="H275" s="53">
        <f t="shared" ref="H275:AQ275" si="273">western_training_budget_positive*(1+western_training_budget_positive_growth)^((COLUMN()-8)/12)</f>
        <v>3750000</v>
      </c>
      <c r="I275" s="53">
        <f t="shared" si="273"/>
        <v>3759248.511646139</v>
      </c>
      <c r="J275" s="53">
        <f t="shared" si="273"/>
        <v>3768519.8326169881</v>
      </c>
      <c r="K275" s="53">
        <f t="shared" si="273"/>
        <v>3777814.0191664984</v>
      </c>
      <c r="L275" s="53">
        <f t="shared" si="273"/>
        <v>3787131.1276873536</v>
      </c>
      <c r="M275" s="53">
        <f t="shared" si="273"/>
        <v>3796471.2147113187</v>
      </c>
      <c r="N275" s="53">
        <f t="shared" si="273"/>
        <v>3805834.3369095824</v>
      </c>
      <c r="O275" s="53">
        <f t="shared" si="273"/>
        <v>3815220.5510930973</v>
      </c>
      <c r="P275" s="53">
        <f t="shared" si="273"/>
        <v>3824629.91421293</v>
      </c>
      <c r="Q275" s="53">
        <f t="shared" si="273"/>
        <v>3834062.4833606011</v>
      </c>
      <c r="R275" s="53">
        <f t="shared" si="273"/>
        <v>3843518.3157684365</v>
      </c>
      <c r="S275" s="53">
        <f t="shared" si="273"/>
        <v>3852997.468809912</v>
      </c>
      <c r="T275" s="53">
        <f t="shared" si="273"/>
        <v>3862500</v>
      </c>
      <c r="U275" s="53">
        <f t="shared" si="273"/>
        <v>3872025.9669955228</v>
      </c>
      <c r="V275" s="53">
        <f t="shared" si="273"/>
        <v>3881575.4275954985</v>
      </c>
      <c r="W275" s="53">
        <f t="shared" si="273"/>
        <v>3891148.4397414937</v>
      </c>
      <c r="X275" s="53">
        <f t="shared" si="273"/>
        <v>3900745.0615179744</v>
      </c>
      <c r="Y275" s="53">
        <f t="shared" si="273"/>
        <v>3910365.3511526589</v>
      </c>
      <c r="Z275" s="53">
        <f t="shared" si="273"/>
        <v>3920009.3670168701</v>
      </c>
      <c r="AA275" s="53">
        <f t="shared" si="273"/>
        <v>3929677.167625891</v>
      </c>
      <c r="AB275" s="53">
        <f t="shared" si="273"/>
        <v>3939368.8116393178</v>
      </c>
      <c r="AC275" s="53">
        <f t="shared" si="273"/>
        <v>3949084.3578614192</v>
      </c>
      <c r="AD275" s="53">
        <f t="shared" si="273"/>
        <v>3958823.8652414903</v>
      </c>
      <c r="AE275" s="53">
        <f t="shared" si="273"/>
        <v>3968587.3928742092</v>
      </c>
      <c r="AF275" s="53">
        <f t="shared" si="273"/>
        <v>3978375</v>
      </c>
      <c r="AG275" s="53">
        <f t="shared" si="273"/>
        <v>3988186.7460053884</v>
      </c>
      <c r="AH275" s="53">
        <f t="shared" si="273"/>
        <v>3998022.6904233638</v>
      </c>
      <c r="AI275" s="53">
        <f t="shared" si="273"/>
        <v>4007882.892933738</v>
      </c>
      <c r="AJ275" s="53">
        <f t="shared" si="273"/>
        <v>4017767.413363514</v>
      </c>
      <c r="AK275" s="53">
        <f t="shared" si="273"/>
        <v>4027676.3116872385</v>
      </c>
      <c r="AL275" s="53">
        <f t="shared" si="273"/>
        <v>4037609.6480273758</v>
      </c>
      <c r="AM275" s="53">
        <f t="shared" si="273"/>
        <v>4047567.4826546675</v>
      </c>
      <c r="AN275" s="53">
        <f t="shared" si="273"/>
        <v>4057549.8759884979</v>
      </c>
      <c r="AO275" s="53">
        <f t="shared" si="273"/>
        <v>4067556.8885972621</v>
      </c>
      <c r="AP275" s="53">
        <f t="shared" si="273"/>
        <v>4077588.5811987352</v>
      </c>
      <c r="AQ275" s="53">
        <f t="shared" si="273"/>
        <v>4087645.0146604357</v>
      </c>
    </row>
    <row r="276" spans="1:43" s="16" customFormat="1" hidden="1" outlineLevel="4">
      <c r="A276" s="53"/>
      <c r="B276" s="53"/>
      <c r="C276" s="53"/>
      <c r="D276" s="53"/>
      <c r="E276" s="53" t="s">
        <v>501</v>
      </c>
      <c r="F276" s="53"/>
      <c r="G276" s="53"/>
      <c r="H276" s="53">
        <f t="shared" ref="H276:AQ276" si="274">eastern_training_budget_positive*(1+eastern_training_budget_positive_growth)^((COLUMN()-8)/12)</f>
        <v>2625000</v>
      </c>
      <c r="I276" s="53">
        <f t="shared" si="274"/>
        <v>2631473.958152297</v>
      </c>
      <c r="J276" s="53">
        <f t="shared" si="274"/>
        <v>2637963.882831892</v>
      </c>
      <c r="K276" s="53">
        <f t="shared" si="274"/>
        <v>2644469.813416549</v>
      </c>
      <c r="L276" s="53">
        <f t="shared" si="274"/>
        <v>2650991.7893811474</v>
      </c>
      <c r="M276" s="53">
        <f t="shared" si="274"/>
        <v>2657529.8502979232</v>
      </c>
      <c r="N276" s="53">
        <f t="shared" si="274"/>
        <v>2664084.0358367078</v>
      </c>
      <c r="O276" s="53">
        <f t="shared" si="274"/>
        <v>2670654.3857651679</v>
      </c>
      <c r="P276" s="53">
        <f t="shared" si="274"/>
        <v>2677240.939949051</v>
      </c>
      <c r="Q276" s="53">
        <f t="shared" si="274"/>
        <v>2683843.7383524207</v>
      </c>
      <c r="R276" s="53">
        <f t="shared" si="274"/>
        <v>2690462.8210379058</v>
      </c>
      <c r="S276" s="53">
        <f t="shared" si="274"/>
        <v>2697098.2281669383</v>
      </c>
      <c r="T276" s="53">
        <f t="shared" si="274"/>
        <v>2703750</v>
      </c>
      <c r="U276" s="53">
        <f t="shared" si="274"/>
        <v>2710418.1768968659</v>
      </c>
      <c r="V276" s="53">
        <f t="shared" si="274"/>
        <v>2717102.7993168486</v>
      </c>
      <c r="W276" s="53">
        <f t="shared" si="274"/>
        <v>2723803.9078190457</v>
      </c>
      <c r="X276" s="53">
        <f t="shared" si="274"/>
        <v>2730521.5430625821</v>
      </c>
      <c r="Y276" s="53">
        <f t="shared" si="274"/>
        <v>2737255.7458068612</v>
      </c>
      <c r="Z276" s="53">
        <f t="shared" si="274"/>
        <v>2744006.5569118089</v>
      </c>
      <c r="AA276" s="53">
        <f t="shared" si="274"/>
        <v>2750774.0173381236</v>
      </c>
      <c r="AB276" s="53">
        <f t="shared" si="274"/>
        <v>2757558.1681475225</v>
      </c>
      <c r="AC276" s="53">
        <f t="shared" si="274"/>
        <v>2764359.0505029936</v>
      </c>
      <c r="AD276" s="53">
        <f t="shared" si="274"/>
        <v>2771176.7056690431</v>
      </c>
      <c r="AE276" s="53">
        <f t="shared" si="274"/>
        <v>2778011.1750119464</v>
      </c>
      <c r="AF276" s="53">
        <f t="shared" si="274"/>
        <v>2784862.5</v>
      </c>
      <c r="AG276" s="53">
        <f t="shared" si="274"/>
        <v>2791730.7222037716</v>
      </c>
      <c r="AH276" s="53">
        <f t="shared" si="274"/>
        <v>2798615.8832963547</v>
      </c>
      <c r="AI276" s="53">
        <f t="shared" si="274"/>
        <v>2805518.0250536166</v>
      </c>
      <c r="AJ276" s="53">
        <f t="shared" si="274"/>
        <v>2812437.1893544598</v>
      </c>
      <c r="AK276" s="53">
        <f t="shared" si="274"/>
        <v>2819373.4181810669</v>
      </c>
      <c r="AL276" s="53">
        <f t="shared" si="274"/>
        <v>2826326.7536191633</v>
      </c>
      <c r="AM276" s="53">
        <f t="shared" si="274"/>
        <v>2833297.237858267</v>
      </c>
      <c r="AN276" s="53">
        <f t="shared" si="274"/>
        <v>2840284.9131919486</v>
      </c>
      <c r="AO276" s="53">
        <f t="shared" si="274"/>
        <v>2847289.8220180837</v>
      </c>
      <c r="AP276" s="53">
        <f t="shared" si="274"/>
        <v>2854312.0068391147</v>
      </c>
      <c r="AQ276" s="53">
        <f t="shared" si="274"/>
        <v>2861351.5102623054</v>
      </c>
    </row>
    <row r="277" spans="1:43" s="16" customFormat="1" hidden="1" outlineLevel="4">
      <c r="A277" s="53"/>
      <c r="B277" s="53"/>
      <c r="C277" s="53"/>
      <c r="D277" s="53"/>
      <c r="E277" s="53" t="s">
        <v>502</v>
      </c>
      <c r="F277" s="53"/>
      <c r="G277" s="53"/>
      <c r="H277" s="53">
        <f t="shared" ref="H277:AQ277" si="275">northern_training_budget_positive*(1+northern_training_budget_positive_growth)^((COLUMN()-8)/12)</f>
        <v>2250000</v>
      </c>
      <c r="I277" s="53">
        <f t="shared" si="275"/>
        <v>2255549.1069876831</v>
      </c>
      <c r="J277" s="53">
        <f t="shared" si="275"/>
        <v>2261111.8995701931</v>
      </c>
      <c r="K277" s="53">
        <f t="shared" si="275"/>
        <v>2266688.4114998989</v>
      </c>
      <c r="L277" s="53">
        <f t="shared" si="275"/>
        <v>2272278.6766124121</v>
      </c>
      <c r="M277" s="53">
        <f t="shared" si="275"/>
        <v>2277882.7288267915</v>
      </c>
      <c r="N277" s="53">
        <f t="shared" si="275"/>
        <v>2283500.6021457496</v>
      </c>
      <c r="O277" s="53">
        <f t="shared" si="275"/>
        <v>2289132.3306558584</v>
      </c>
      <c r="P277" s="53">
        <f t="shared" si="275"/>
        <v>2294777.948527758</v>
      </c>
      <c r="Q277" s="53">
        <f t="shared" si="275"/>
        <v>2300437.4900163608</v>
      </c>
      <c r="R277" s="53">
        <f t="shared" si="275"/>
        <v>2306110.989461062</v>
      </c>
      <c r="S277" s="53">
        <f t="shared" si="275"/>
        <v>2311798.4812859474</v>
      </c>
      <c r="T277" s="53">
        <f t="shared" si="275"/>
        <v>2317500</v>
      </c>
      <c r="U277" s="53">
        <f t="shared" si="275"/>
        <v>2323215.5801973138</v>
      </c>
      <c r="V277" s="53">
        <f t="shared" si="275"/>
        <v>2328945.2565572988</v>
      </c>
      <c r="W277" s="53">
        <f t="shared" si="275"/>
        <v>2334689.0638448964</v>
      </c>
      <c r="X277" s="53">
        <f t="shared" si="275"/>
        <v>2340447.0369107844</v>
      </c>
      <c r="Y277" s="53">
        <f t="shared" si="275"/>
        <v>2346219.2106915955</v>
      </c>
      <c r="Z277" s="53">
        <f t="shared" si="275"/>
        <v>2352005.6202101219</v>
      </c>
      <c r="AA277" s="53">
        <f t="shared" si="275"/>
        <v>2357806.3005755348</v>
      </c>
      <c r="AB277" s="53">
        <f t="shared" si="275"/>
        <v>2363621.2869835906</v>
      </c>
      <c r="AC277" s="53">
        <f t="shared" si="275"/>
        <v>2369450.6147168516</v>
      </c>
      <c r="AD277" s="53">
        <f t="shared" si="275"/>
        <v>2375294.3191448944</v>
      </c>
      <c r="AE277" s="53">
        <f t="shared" si="275"/>
        <v>2381152.4357245252</v>
      </c>
      <c r="AF277" s="53">
        <f t="shared" si="275"/>
        <v>2387025</v>
      </c>
      <c r="AG277" s="53">
        <f t="shared" si="275"/>
        <v>2392912.0476032328</v>
      </c>
      <c r="AH277" s="53">
        <f t="shared" si="275"/>
        <v>2398813.6142540183</v>
      </c>
      <c r="AI277" s="53">
        <f t="shared" si="275"/>
        <v>2404729.7357602427</v>
      </c>
      <c r="AJ277" s="53">
        <f t="shared" si="275"/>
        <v>2410660.4480181085</v>
      </c>
      <c r="AK277" s="53">
        <f t="shared" si="275"/>
        <v>2416605.7870123433</v>
      </c>
      <c r="AL277" s="53">
        <f t="shared" si="275"/>
        <v>2422565.7888164255</v>
      </c>
      <c r="AM277" s="53">
        <f t="shared" si="275"/>
        <v>2428540.4895928004</v>
      </c>
      <c r="AN277" s="53">
        <f t="shared" si="275"/>
        <v>2434529.9255930986</v>
      </c>
      <c r="AO277" s="53">
        <f t="shared" si="275"/>
        <v>2440534.1331583573</v>
      </c>
      <c r="AP277" s="53">
        <f t="shared" si="275"/>
        <v>2446553.1487192409</v>
      </c>
      <c r="AQ277" s="53">
        <f t="shared" si="275"/>
        <v>2452587.0087962616</v>
      </c>
    </row>
    <row r="278" spans="1:43" s="16" customFormat="1" outlineLevel="3" collapsed="1">
      <c r="A278" s="53"/>
      <c r="B278" s="53"/>
      <c r="C278" s="53"/>
      <c r="D278" s="53" t="s">
        <v>503</v>
      </c>
      <c r="E278" s="53"/>
      <c r="F278" s="53"/>
      <c r="G278" s="53"/>
      <c r="H278" s="53">
        <f t="shared" ref="H278:AQ278" si="276">(((H279*H280)+H281)+H282)</f>
        <v>17864000</v>
      </c>
      <c r="I278" s="53">
        <f t="shared" si="276"/>
        <v>17933610.626625355</v>
      </c>
      <c r="J278" s="53">
        <f t="shared" si="276"/>
        <v>18003494.479374405</v>
      </c>
      <c r="K278" s="53">
        <f t="shared" si="276"/>
        <v>18073652.63743528</v>
      </c>
      <c r="L278" s="53">
        <f t="shared" si="276"/>
        <v>18144086.184281625</v>
      </c>
      <c r="M278" s="53">
        <f t="shared" si="276"/>
        <v>18214796.207689736</v>
      </c>
      <c r="N278" s="53">
        <f t="shared" si="276"/>
        <v>18285783.799755715</v>
      </c>
      <c r="O278" s="53">
        <f t="shared" si="276"/>
        <v>18357050.056912675</v>
      </c>
      <c r="P278" s="53">
        <f t="shared" si="276"/>
        <v>18428596.07994809</v>
      </c>
      <c r="Q278" s="53">
        <f t="shared" si="276"/>
        <v>18500422.974021126</v>
      </c>
      <c r="R278" s="53">
        <f t="shared" si="276"/>
        <v>18572531.848680101</v>
      </c>
      <c r="S278" s="53">
        <f t="shared" si="276"/>
        <v>18644923.81787999</v>
      </c>
      <c r="T278" s="53">
        <f t="shared" si="276"/>
        <v>18717600</v>
      </c>
      <c r="U278" s="53">
        <f t="shared" si="276"/>
        <v>18790561.517861251</v>
      </c>
      <c r="V278" s="53">
        <f t="shared" si="276"/>
        <v>18863809.498744439</v>
      </c>
      <c r="W278" s="53">
        <f t="shared" si="276"/>
        <v>18937345.074407704</v>
      </c>
      <c r="X278" s="53">
        <f t="shared" si="276"/>
        <v>19011169.381104425</v>
      </c>
      <c r="Y278" s="53">
        <f t="shared" si="276"/>
        <v>19085283.559601203</v>
      </c>
      <c r="Z278" s="53">
        <f t="shared" si="276"/>
        <v>19159688.755195841</v>
      </c>
      <c r="AA278" s="53">
        <f t="shared" si="276"/>
        <v>19234386.117735445</v>
      </c>
      <c r="AB278" s="53">
        <f t="shared" si="276"/>
        <v>19309376.801634543</v>
      </c>
      <c r="AC278" s="53">
        <f t="shared" si="276"/>
        <v>19384661.965893358</v>
      </c>
      <c r="AD278" s="53">
        <f t="shared" si="276"/>
        <v>19460242.774116069</v>
      </c>
      <c r="AE278" s="53">
        <f t="shared" si="276"/>
        <v>19536120.394529186</v>
      </c>
      <c r="AF278" s="53">
        <f t="shared" si="276"/>
        <v>19612296</v>
      </c>
      <c r="AG278" s="53">
        <f t="shared" si="276"/>
        <v>19688770.768055119</v>
      </c>
      <c r="AH278" s="53">
        <f t="shared" si="276"/>
        <v>19765545.880899031</v>
      </c>
      <c r="AI278" s="53">
        <f t="shared" si="276"/>
        <v>19842622.52543278</v>
      </c>
      <c r="AJ278" s="53">
        <f t="shared" si="276"/>
        <v>19920001.89327272</v>
      </c>
      <c r="AK278" s="53">
        <f t="shared" si="276"/>
        <v>19997685.180769324</v>
      </c>
      <c r="AL278" s="53">
        <f t="shared" si="276"/>
        <v>20075673.589026079</v>
      </c>
      <c r="AM278" s="53">
        <f t="shared" si="276"/>
        <v>20153968.323918436</v>
      </c>
      <c r="AN278" s="53">
        <f t="shared" si="276"/>
        <v>20232570.596112881</v>
      </c>
      <c r="AO278" s="53">
        <f t="shared" si="276"/>
        <v>20311481.621086054</v>
      </c>
      <c r="AP278" s="53">
        <f t="shared" si="276"/>
        <v>20390702.619143914</v>
      </c>
      <c r="AQ278" s="53">
        <f t="shared" si="276"/>
        <v>20470234.815441046</v>
      </c>
    </row>
    <row r="279" spans="1:43" s="16" customFormat="1" hidden="1" outlineLevel="4">
      <c r="A279" s="53"/>
      <c r="B279" s="53"/>
      <c r="C279" s="53"/>
      <c r="D279" s="53"/>
      <c r="E279" s="53" t="s">
        <v>298</v>
      </c>
      <c r="F279" s="53"/>
      <c r="G279" s="53"/>
      <c r="H279" s="53">
        <f t="shared" ref="H279:AQ279" si="277">private_field_rep_headcount_positive*(1+private_field_rep_headcount_positive_growth)^((COLUMN()-8)/12)</f>
        <v>3</v>
      </c>
      <c r="I279" s="53">
        <f t="shared" si="277"/>
        <v>3</v>
      </c>
      <c r="J279" s="53">
        <f t="shared" si="277"/>
        <v>3</v>
      </c>
      <c r="K279" s="53">
        <f t="shared" si="277"/>
        <v>3</v>
      </c>
      <c r="L279" s="53">
        <f t="shared" si="277"/>
        <v>3</v>
      </c>
      <c r="M279" s="53">
        <f t="shared" si="277"/>
        <v>3</v>
      </c>
      <c r="N279" s="53">
        <f t="shared" si="277"/>
        <v>3</v>
      </c>
      <c r="O279" s="53">
        <f t="shared" si="277"/>
        <v>3</v>
      </c>
      <c r="P279" s="53">
        <f t="shared" si="277"/>
        <v>3</v>
      </c>
      <c r="Q279" s="53">
        <f t="shared" si="277"/>
        <v>3</v>
      </c>
      <c r="R279" s="53">
        <f t="shared" si="277"/>
        <v>3</v>
      </c>
      <c r="S279" s="53">
        <f t="shared" si="277"/>
        <v>3</v>
      </c>
      <c r="T279" s="53">
        <f t="shared" si="277"/>
        <v>3</v>
      </c>
      <c r="U279" s="53">
        <f t="shared" si="277"/>
        <v>3</v>
      </c>
      <c r="V279" s="53">
        <f t="shared" si="277"/>
        <v>3</v>
      </c>
      <c r="W279" s="53">
        <f t="shared" si="277"/>
        <v>3</v>
      </c>
      <c r="X279" s="53">
        <f t="shared" si="277"/>
        <v>3</v>
      </c>
      <c r="Y279" s="53">
        <f t="shared" si="277"/>
        <v>3</v>
      </c>
      <c r="Z279" s="53">
        <f t="shared" si="277"/>
        <v>3</v>
      </c>
      <c r="AA279" s="53">
        <f t="shared" si="277"/>
        <v>3</v>
      </c>
      <c r="AB279" s="53">
        <f t="shared" si="277"/>
        <v>3</v>
      </c>
      <c r="AC279" s="53">
        <f t="shared" si="277"/>
        <v>3</v>
      </c>
      <c r="AD279" s="53">
        <f t="shared" si="277"/>
        <v>3</v>
      </c>
      <c r="AE279" s="53">
        <f t="shared" si="277"/>
        <v>3</v>
      </c>
      <c r="AF279" s="53">
        <f t="shared" si="277"/>
        <v>3</v>
      </c>
      <c r="AG279" s="53">
        <f t="shared" si="277"/>
        <v>3</v>
      </c>
      <c r="AH279" s="53">
        <f t="shared" si="277"/>
        <v>3</v>
      </c>
      <c r="AI279" s="53">
        <f t="shared" si="277"/>
        <v>3</v>
      </c>
      <c r="AJ279" s="53">
        <f t="shared" si="277"/>
        <v>3</v>
      </c>
      <c r="AK279" s="53">
        <f t="shared" si="277"/>
        <v>3</v>
      </c>
      <c r="AL279" s="53">
        <f t="shared" si="277"/>
        <v>3</v>
      </c>
      <c r="AM279" s="53">
        <f t="shared" si="277"/>
        <v>3</v>
      </c>
      <c r="AN279" s="53">
        <f t="shared" si="277"/>
        <v>3</v>
      </c>
      <c r="AO279" s="53">
        <f t="shared" si="277"/>
        <v>3</v>
      </c>
      <c r="AP279" s="53">
        <f t="shared" si="277"/>
        <v>3</v>
      </c>
      <c r="AQ279" s="53">
        <f t="shared" si="277"/>
        <v>3</v>
      </c>
    </row>
    <row r="280" spans="1:43" s="16" customFormat="1" hidden="1" outlineLevel="4">
      <c r="A280" s="53"/>
      <c r="B280" s="53"/>
      <c r="C280" s="53"/>
      <c r="D280" s="53"/>
      <c r="E280" s="53" t="s">
        <v>504</v>
      </c>
      <c r="F280" s="53"/>
      <c r="G280" s="53"/>
      <c r="H280" s="53">
        <f t="shared" ref="H280:AQ280" si="278">private_field_rep_cost_per_fte_positive*(1+private_field_rep_cost_per_fte_positive_growth)^((COLUMN()-8)/12)</f>
        <v>3168000</v>
      </c>
      <c r="I280" s="53">
        <f t="shared" si="278"/>
        <v>3180906.8241465981</v>
      </c>
      <c r="J280" s="53">
        <f t="shared" si="278"/>
        <v>3193866.2322924226</v>
      </c>
      <c r="K280" s="53">
        <f t="shared" si="278"/>
        <v>3206878.4386711968</v>
      </c>
      <c r="L280" s="53">
        <f t="shared" si="278"/>
        <v>3219943.6583894561</v>
      </c>
      <c r="M280" s="53">
        <f t="shared" si="278"/>
        <v>3233062.1074301074</v>
      </c>
      <c r="N280" s="53">
        <f t="shared" si="278"/>
        <v>3246234.0026560011</v>
      </c>
      <c r="O280" s="53">
        <f t="shared" si="278"/>
        <v>3259459.5618135096</v>
      </c>
      <c r="P280" s="53">
        <f t="shared" si="278"/>
        <v>3272739.003536134</v>
      </c>
      <c r="Q280" s="53">
        <f t="shared" si="278"/>
        <v>3286072.5473481137</v>
      </c>
      <c r="R280" s="53">
        <f t="shared" si="278"/>
        <v>3299460.4136680588</v>
      </c>
      <c r="S280" s="53">
        <f t="shared" si="278"/>
        <v>3312902.82381259</v>
      </c>
      <c r="T280" s="53">
        <f t="shared" si="278"/>
        <v>3326400</v>
      </c>
      <c r="U280" s="53">
        <f t="shared" si="278"/>
        <v>3339952.1653539282</v>
      </c>
      <c r="V280" s="53">
        <f t="shared" si="278"/>
        <v>3353559.543907044</v>
      </c>
      <c r="W280" s="53">
        <f t="shared" si="278"/>
        <v>3367222.3606047565</v>
      </c>
      <c r="X280" s="53">
        <f t="shared" si="278"/>
        <v>3380940.8413089286</v>
      </c>
      <c r="Y280" s="53">
        <f t="shared" si="278"/>
        <v>3394715.2128016129</v>
      </c>
      <c r="Z280" s="53">
        <f t="shared" si="278"/>
        <v>3408545.7027888009</v>
      </c>
      <c r="AA280" s="53">
        <f t="shared" si="278"/>
        <v>3422432.5399041851</v>
      </c>
      <c r="AB280" s="53">
        <f t="shared" si="278"/>
        <v>3436375.9537129407</v>
      </c>
      <c r="AC280" s="53">
        <f t="shared" si="278"/>
        <v>3450376.1747155194</v>
      </c>
      <c r="AD280" s="53">
        <f t="shared" si="278"/>
        <v>3464433.4343514619</v>
      </c>
      <c r="AE280" s="53">
        <f t="shared" si="278"/>
        <v>3478547.9650032194</v>
      </c>
      <c r="AF280" s="53">
        <f t="shared" si="278"/>
        <v>3492720</v>
      </c>
      <c r="AG280" s="53">
        <f t="shared" si="278"/>
        <v>3506949.7736216243</v>
      </c>
      <c r="AH280" s="53">
        <f t="shared" si="278"/>
        <v>3521237.5211023968</v>
      </c>
      <c r="AI280" s="53">
        <f t="shared" si="278"/>
        <v>3535583.4786349949</v>
      </c>
      <c r="AJ280" s="53">
        <f t="shared" si="278"/>
        <v>3549987.8833743753</v>
      </c>
      <c r="AK280" s="53">
        <f t="shared" si="278"/>
        <v>3564450.9734416939</v>
      </c>
      <c r="AL280" s="53">
        <f t="shared" si="278"/>
        <v>3578972.9879282415</v>
      </c>
      <c r="AM280" s="53">
        <f t="shared" si="278"/>
        <v>3593554.1668993947</v>
      </c>
      <c r="AN280" s="53">
        <f t="shared" si="278"/>
        <v>3608194.7513985876</v>
      </c>
      <c r="AO280" s="53">
        <f t="shared" si="278"/>
        <v>3622894.9834512956</v>
      </c>
      <c r="AP280" s="53">
        <f t="shared" si="278"/>
        <v>3637655.1060690349</v>
      </c>
      <c r="AQ280" s="53">
        <f t="shared" si="278"/>
        <v>3652475.3632533802</v>
      </c>
    </row>
    <row r="281" spans="1:43" s="16" customFormat="1" hidden="1" outlineLevel="4">
      <c r="A281" s="53"/>
      <c r="B281" s="53"/>
      <c r="C281" s="53"/>
      <c r="D281" s="53"/>
      <c r="E281" s="53" t="s">
        <v>505</v>
      </c>
      <c r="F281" s="53"/>
      <c r="G281" s="53"/>
      <c r="H281" s="53">
        <f t="shared" ref="H281:AQ281" si="279">private_sales_manager_cost_positive*(1+private_sales_manager_cost_positive_growth)^((COLUMN()-8)/12)</f>
        <v>4400000</v>
      </c>
      <c r="I281" s="53">
        <f t="shared" si="279"/>
        <v>4417926.1446480528</v>
      </c>
      <c r="J281" s="53">
        <f t="shared" si="279"/>
        <v>4435925.3226283649</v>
      </c>
      <c r="K281" s="53">
        <f t="shared" si="279"/>
        <v>4453997.831487773</v>
      </c>
      <c r="L281" s="53">
        <f t="shared" si="279"/>
        <v>4472143.9699853556</v>
      </c>
      <c r="M281" s="53">
        <f t="shared" si="279"/>
        <v>4490364.0380973713</v>
      </c>
      <c r="N281" s="53">
        <f t="shared" si="279"/>
        <v>4508658.3370222235</v>
      </c>
      <c r="O281" s="53">
        <f t="shared" si="279"/>
        <v>4527027.1691854298</v>
      </c>
      <c r="P281" s="53">
        <f t="shared" si="279"/>
        <v>4545470.83824463</v>
      </c>
      <c r="Q281" s="53">
        <f t="shared" si="279"/>
        <v>4563989.6490946021</v>
      </c>
      <c r="R281" s="53">
        <f t="shared" si="279"/>
        <v>4582583.9078723034</v>
      </c>
      <c r="S281" s="53">
        <f t="shared" si="279"/>
        <v>4601253.9219619306</v>
      </c>
      <c r="T281" s="53">
        <f t="shared" si="279"/>
        <v>4620000</v>
      </c>
      <c r="U281" s="53">
        <f t="shared" si="279"/>
        <v>4638822.4518804559</v>
      </c>
      <c r="V281" s="53">
        <f t="shared" si="279"/>
        <v>4657721.5887597827</v>
      </c>
      <c r="W281" s="53">
        <f t="shared" si="279"/>
        <v>4676697.7230621614</v>
      </c>
      <c r="X281" s="53">
        <f t="shared" si="279"/>
        <v>4695751.1684846226</v>
      </c>
      <c r="Y281" s="53">
        <f t="shared" si="279"/>
        <v>4714882.2400022401</v>
      </c>
      <c r="Z281" s="53">
        <f t="shared" si="279"/>
        <v>4734091.2538733343</v>
      </c>
      <c r="AA281" s="53">
        <f t="shared" si="279"/>
        <v>4753378.5276447022</v>
      </c>
      <c r="AB281" s="53">
        <f t="shared" si="279"/>
        <v>4772744.3801568625</v>
      </c>
      <c r="AC281" s="53">
        <f t="shared" si="279"/>
        <v>4792189.1315493323</v>
      </c>
      <c r="AD281" s="53">
        <f t="shared" si="279"/>
        <v>4811713.1032659188</v>
      </c>
      <c r="AE281" s="53">
        <f t="shared" si="279"/>
        <v>4831316.6180600272</v>
      </c>
      <c r="AF281" s="53">
        <f t="shared" si="279"/>
        <v>4851000</v>
      </c>
      <c r="AG281" s="53">
        <f t="shared" si="279"/>
        <v>4870763.5744744781</v>
      </c>
      <c r="AH281" s="53">
        <f t="shared" si="279"/>
        <v>4890607.6681977734</v>
      </c>
      <c r="AI281" s="53">
        <f t="shared" si="279"/>
        <v>4910532.6092152707</v>
      </c>
      <c r="AJ281" s="53">
        <f t="shared" si="279"/>
        <v>4930538.7269088551</v>
      </c>
      <c r="AK281" s="53">
        <f t="shared" si="279"/>
        <v>4950626.3520023534</v>
      </c>
      <c r="AL281" s="53">
        <f t="shared" si="279"/>
        <v>4970795.8165670019</v>
      </c>
      <c r="AM281" s="53">
        <f t="shared" si="279"/>
        <v>4991047.4540269375</v>
      </c>
      <c r="AN281" s="53">
        <f t="shared" si="279"/>
        <v>5011381.5991647048</v>
      </c>
      <c r="AO281" s="53">
        <f t="shared" si="279"/>
        <v>5031798.5881268</v>
      </c>
      <c r="AP281" s="53">
        <f t="shared" si="279"/>
        <v>5052298.7584292153</v>
      </c>
      <c r="AQ281" s="53">
        <f t="shared" si="279"/>
        <v>5072882.4489630284</v>
      </c>
    </row>
    <row r="282" spans="1:43" s="16" customFormat="1" hidden="1" outlineLevel="4">
      <c r="A282" s="53"/>
      <c r="B282" s="53"/>
      <c r="C282" s="53"/>
      <c r="D282" s="53"/>
      <c r="E282" s="53" t="s">
        <v>506</v>
      </c>
      <c r="F282" s="53"/>
      <c r="G282" s="53"/>
      <c r="H282" s="53">
        <f t="shared" ref="H282:AQ282" si="280">private_sales_travel_budget_positive*(1+private_sales_travel_budget_positive_growth)^((COLUMN()-8)/12)</f>
        <v>3960000</v>
      </c>
      <c r="I282" s="53">
        <f t="shared" si="280"/>
        <v>3972964.0095375078</v>
      </c>
      <c r="J282" s="53">
        <f t="shared" si="280"/>
        <v>3985970.4598687752</v>
      </c>
      <c r="K282" s="53">
        <f t="shared" si="280"/>
        <v>3999019.4899339164</v>
      </c>
      <c r="L282" s="53">
        <f t="shared" si="280"/>
        <v>4012111.2391279018</v>
      </c>
      <c r="M282" s="53">
        <f t="shared" si="280"/>
        <v>4025245.8473020419</v>
      </c>
      <c r="N282" s="53">
        <f t="shared" si="280"/>
        <v>4038423.4547654861</v>
      </c>
      <c r="O282" s="53">
        <f t="shared" si="280"/>
        <v>4051644.2022867161</v>
      </c>
      <c r="P282" s="53">
        <f t="shared" si="280"/>
        <v>4064908.2310950574</v>
      </c>
      <c r="Q282" s="53">
        <f t="shared" si="280"/>
        <v>4078215.6828821809</v>
      </c>
      <c r="R282" s="53">
        <f t="shared" si="280"/>
        <v>4091566.6998036206</v>
      </c>
      <c r="S282" s="53">
        <f t="shared" si="280"/>
        <v>4104961.4244802878</v>
      </c>
      <c r="T282" s="53">
        <f t="shared" si="280"/>
        <v>4118400</v>
      </c>
      <c r="U282" s="53">
        <f t="shared" si="280"/>
        <v>4131882.5699190083</v>
      </c>
      <c r="V282" s="53">
        <f t="shared" si="280"/>
        <v>4145409.2782635256</v>
      </c>
      <c r="W282" s="53">
        <f t="shared" si="280"/>
        <v>4158980.2695312737</v>
      </c>
      <c r="X282" s="53">
        <f t="shared" si="280"/>
        <v>4172595.6886930182</v>
      </c>
      <c r="Y282" s="53">
        <f t="shared" si="280"/>
        <v>4186255.6811941243</v>
      </c>
      <c r="Z282" s="53">
        <f t="shared" si="280"/>
        <v>4199960.3929561051</v>
      </c>
      <c r="AA282" s="53">
        <f t="shared" si="280"/>
        <v>4213709.9703781847</v>
      </c>
      <c r="AB282" s="53">
        <f t="shared" si="280"/>
        <v>4227504.5603388604</v>
      </c>
      <c r="AC282" s="53">
        <f t="shared" si="280"/>
        <v>4241344.3101974688</v>
      </c>
      <c r="AD282" s="53">
        <f t="shared" si="280"/>
        <v>4255229.3677957654</v>
      </c>
      <c r="AE282" s="53">
        <f t="shared" si="280"/>
        <v>4269159.8814594988</v>
      </c>
      <c r="AF282" s="53">
        <f t="shared" si="280"/>
        <v>4283136</v>
      </c>
      <c r="AG282" s="53">
        <f t="shared" si="280"/>
        <v>4297157.8727157684</v>
      </c>
      <c r="AH282" s="53">
        <f t="shared" si="280"/>
        <v>4311225.649394067</v>
      </c>
      <c r="AI282" s="53">
        <f t="shared" si="280"/>
        <v>4325339.4803125244</v>
      </c>
      <c r="AJ282" s="53">
        <f t="shared" si="280"/>
        <v>4339499.5162407393</v>
      </c>
      <c r="AK282" s="53">
        <f t="shared" si="280"/>
        <v>4353705.9084418891</v>
      </c>
      <c r="AL282" s="53">
        <f t="shared" si="280"/>
        <v>4367958.8086743504</v>
      </c>
      <c r="AM282" s="53">
        <f t="shared" si="280"/>
        <v>4382258.3691933127</v>
      </c>
      <c r="AN282" s="53">
        <f t="shared" si="280"/>
        <v>4396604.7427524142</v>
      </c>
      <c r="AO282" s="53">
        <f t="shared" si="280"/>
        <v>4410998.0826053675</v>
      </c>
      <c r="AP282" s="53">
        <f t="shared" si="280"/>
        <v>4425438.5425075954</v>
      </c>
      <c r="AQ282" s="53">
        <f t="shared" si="280"/>
        <v>4439926.2767178798</v>
      </c>
    </row>
    <row r="283" spans="1:43" s="16" customFormat="1" outlineLevel="3" collapsed="1">
      <c r="A283" s="53"/>
      <c r="B283" s="53"/>
      <c r="C283" s="53"/>
      <c r="D283" s="53" t="s">
        <v>507</v>
      </c>
      <c r="E283" s="53"/>
      <c r="F283" s="53"/>
      <c r="G283" s="53"/>
      <c r="H283" s="53">
        <f t="shared" ref="H283:AQ283" si="281">((H284+H285)+H286)</f>
        <v>14080000</v>
      </c>
      <c r="I283" s="53">
        <f t="shared" si="281"/>
        <v>14126094.256133361</v>
      </c>
      <c r="J283" s="53">
        <f t="shared" si="281"/>
        <v>14172339.412866756</v>
      </c>
      <c r="K283" s="53">
        <f t="shared" si="281"/>
        <v>14218735.964209482</v>
      </c>
      <c r="L283" s="53">
        <f t="shared" si="281"/>
        <v>14265284.405788096</v>
      </c>
      <c r="M283" s="53">
        <f t="shared" si="281"/>
        <v>14311985.234851705</v>
      </c>
      <c r="N283" s="53">
        <f t="shared" si="281"/>
        <v>14358838.950277284</v>
      </c>
      <c r="O283" s="53">
        <f t="shared" si="281"/>
        <v>14405846.05257499</v>
      </c>
      <c r="P283" s="53">
        <f t="shared" si="281"/>
        <v>14453007.043893537</v>
      </c>
      <c r="Q283" s="53">
        <f t="shared" si="281"/>
        <v>14500322.428025533</v>
      </c>
      <c r="R283" s="53">
        <f t="shared" si="281"/>
        <v>14547792.710412873</v>
      </c>
      <c r="S283" s="53">
        <f t="shared" si="281"/>
        <v>14595418.398152133</v>
      </c>
      <c r="T283" s="53">
        <f t="shared" si="281"/>
        <v>14643200</v>
      </c>
      <c r="U283" s="53">
        <f t="shared" si="281"/>
        <v>14691138.026378695</v>
      </c>
      <c r="V283" s="53">
        <f t="shared" si="281"/>
        <v>14739232.989381423</v>
      </c>
      <c r="W283" s="53">
        <f t="shared" si="281"/>
        <v>14787485.402777862</v>
      </c>
      <c r="X283" s="53">
        <f t="shared" si="281"/>
        <v>14835895.782019619</v>
      </c>
      <c r="Y283" s="53">
        <f t="shared" si="281"/>
        <v>14884464.644245775</v>
      </c>
      <c r="Z283" s="53">
        <f t="shared" si="281"/>
        <v>14933192.508288374</v>
      </c>
      <c r="AA283" s="53">
        <f t="shared" si="281"/>
        <v>14982079.894677989</v>
      </c>
      <c r="AB283" s="53">
        <f t="shared" si="281"/>
        <v>15031127.32564928</v>
      </c>
      <c r="AC283" s="53">
        <f t="shared" si="281"/>
        <v>15080335.325146556</v>
      </c>
      <c r="AD283" s="53">
        <f t="shared" si="281"/>
        <v>15129704.418829389</v>
      </c>
      <c r="AE283" s="53">
        <f t="shared" si="281"/>
        <v>15179235.13407822</v>
      </c>
      <c r="AF283" s="53">
        <f t="shared" si="281"/>
        <v>15228928</v>
      </c>
      <c r="AG283" s="53">
        <f t="shared" si="281"/>
        <v>15278783.547433844</v>
      </c>
      <c r="AH283" s="53">
        <f t="shared" si="281"/>
        <v>15328802.308956683</v>
      </c>
      <c r="AI283" s="53">
        <f t="shared" si="281"/>
        <v>15378984.818888977</v>
      </c>
      <c r="AJ283" s="53">
        <f t="shared" si="281"/>
        <v>15429331.613300405</v>
      </c>
      <c r="AK283" s="53">
        <f t="shared" si="281"/>
        <v>15479843.230015606</v>
      </c>
      <c r="AL283" s="53">
        <f t="shared" si="281"/>
        <v>15530520.208619911</v>
      </c>
      <c r="AM283" s="53">
        <f t="shared" si="281"/>
        <v>15581363.090465112</v>
      </c>
      <c r="AN283" s="53">
        <f t="shared" si="281"/>
        <v>15632372.418675251</v>
      </c>
      <c r="AO283" s="53">
        <f t="shared" si="281"/>
        <v>15683548.738152416</v>
      </c>
      <c r="AP283" s="53">
        <f t="shared" si="281"/>
        <v>15734892.595582562</v>
      </c>
      <c r="AQ283" s="53">
        <f t="shared" si="281"/>
        <v>15786404.539441349</v>
      </c>
    </row>
    <row r="284" spans="1:43" s="16" customFormat="1" hidden="1" outlineLevel="4">
      <c r="A284" s="53"/>
      <c r="B284" s="53"/>
      <c r="C284" s="53"/>
      <c r="D284" s="53"/>
      <c r="E284" s="53" t="s">
        <v>306</v>
      </c>
      <c r="F284" s="53"/>
      <c r="G284" s="53"/>
      <c r="H284" s="53">
        <f t="shared" ref="H284:AQ284" si="282">country_office_rent_positive*(1+country_office_rent_positive_growth)^((COLUMN()-8)/12)</f>
        <v>7920000</v>
      </c>
      <c r="I284" s="53">
        <f t="shared" si="282"/>
        <v>7945928.0190750156</v>
      </c>
      <c r="J284" s="53">
        <f t="shared" si="282"/>
        <v>7971940.9197375504</v>
      </c>
      <c r="K284" s="53">
        <f t="shared" si="282"/>
        <v>7998038.9798678327</v>
      </c>
      <c r="L284" s="53">
        <f t="shared" si="282"/>
        <v>8024222.4782558037</v>
      </c>
      <c r="M284" s="53">
        <f t="shared" si="282"/>
        <v>8050491.6946040839</v>
      </c>
      <c r="N284" s="53">
        <f t="shared" si="282"/>
        <v>8076846.9095309721</v>
      </c>
      <c r="O284" s="53">
        <f t="shared" si="282"/>
        <v>8103288.4045734322</v>
      </c>
      <c r="P284" s="53">
        <f t="shared" si="282"/>
        <v>8129816.4621901149</v>
      </c>
      <c r="Q284" s="53">
        <f t="shared" si="282"/>
        <v>8156431.3657643618</v>
      </c>
      <c r="R284" s="53">
        <f t="shared" si="282"/>
        <v>8183133.3996072412</v>
      </c>
      <c r="S284" s="53">
        <f t="shared" si="282"/>
        <v>8209922.8489605756</v>
      </c>
      <c r="T284" s="53">
        <f t="shared" si="282"/>
        <v>8236800</v>
      </c>
      <c r="U284" s="53">
        <f t="shared" si="282"/>
        <v>8263765.1398380166</v>
      </c>
      <c r="V284" s="53">
        <f t="shared" si="282"/>
        <v>8290818.5565270511</v>
      </c>
      <c r="W284" s="53">
        <f t="shared" si="282"/>
        <v>8317960.5390625475</v>
      </c>
      <c r="X284" s="53">
        <f t="shared" si="282"/>
        <v>8345191.3773860363</v>
      </c>
      <c r="Y284" s="53">
        <f t="shared" si="282"/>
        <v>8372511.3623882486</v>
      </c>
      <c r="Z284" s="53">
        <f t="shared" si="282"/>
        <v>8399920.7859122101</v>
      </c>
      <c r="AA284" s="53">
        <f t="shared" si="282"/>
        <v>8427419.9407563694</v>
      </c>
      <c r="AB284" s="53">
        <f t="shared" si="282"/>
        <v>8455009.1206777208</v>
      </c>
      <c r="AC284" s="53">
        <f t="shared" si="282"/>
        <v>8482688.6203949377</v>
      </c>
      <c r="AD284" s="53">
        <f t="shared" si="282"/>
        <v>8510458.7355915308</v>
      </c>
      <c r="AE284" s="53">
        <f t="shared" si="282"/>
        <v>8538319.7629189976</v>
      </c>
      <c r="AF284" s="53">
        <f t="shared" si="282"/>
        <v>8566272</v>
      </c>
      <c r="AG284" s="53">
        <f t="shared" si="282"/>
        <v>8594315.7454315368</v>
      </c>
      <c r="AH284" s="53">
        <f t="shared" si="282"/>
        <v>8622451.298788134</v>
      </c>
      <c r="AI284" s="53">
        <f t="shared" si="282"/>
        <v>8650678.9606250487</v>
      </c>
      <c r="AJ284" s="53">
        <f t="shared" si="282"/>
        <v>8678999.0324814785</v>
      </c>
      <c r="AK284" s="53">
        <f t="shared" si="282"/>
        <v>8707411.8168837782</v>
      </c>
      <c r="AL284" s="53">
        <f t="shared" si="282"/>
        <v>8735917.6173487008</v>
      </c>
      <c r="AM284" s="53">
        <f t="shared" si="282"/>
        <v>8764516.7383866254</v>
      </c>
      <c r="AN284" s="53">
        <f t="shared" si="282"/>
        <v>8793209.4855048284</v>
      </c>
      <c r="AO284" s="53">
        <f t="shared" si="282"/>
        <v>8821996.1652107351</v>
      </c>
      <c r="AP284" s="53">
        <f t="shared" si="282"/>
        <v>8850877.0850151908</v>
      </c>
      <c r="AQ284" s="53">
        <f t="shared" si="282"/>
        <v>8879852.5534357596</v>
      </c>
    </row>
    <row r="285" spans="1:43" s="16" customFormat="1" hidden="1" outlineLevel="4">
      <c r="A285" s="53"/>
      <c r="B285" s="53"/>
      <c r="C285" s="53"/>
      <c r="D285" s="53"/>
      <c r="E285" s="53" t="s">
        <v>508</v>
      </c>
      <c r="F285" s="53"/>
      <c r="G285" s="53"/>
      <c r="H285" s="53">
        <f t="shared" ref="H285:AQ285" si="283">utilities_and_admin_positive*(1+utilities_and_admin_positive_growth)^((COLUMN()-8)/12)</f>
        <v>3520000</v>
      </c>
      <c r="I285" s="53">
        <f t="shared" si="283"/>
        <v>3531523.5640333402</v>
      </c>
      <c r="J285" s="53">
        <f t="shared" si="283"/>
        <v>3543084.8532166891</v>
      </c>
      <c r="K285" s="53">
        <f t="shared" si="283"/>
        <v>3554683.9910523701</v>
      </c>
      <c r="L285" s="53">
        <f t="shared" si="283"/>
        <v>3566321.1014470239</v>
      </c>
      <c r="M285" s="53">
        <f t="shared" si="283"/>
        <v>3577996.3087129262</v>
      </c>
      <c r="N285" s="53">
        <f t="shared" si="283"/>
        <v>3589709.7375693209</v>
      </c>
      <c r="O285" s="53">
        <f t="shared" si="283"/>
        <v>3601461.5131437476</v>
      </c>
      <c r="P285" s="53">
        <f t="shared" si="283"/>
        <v>3613251.7609733841</v>
      </c>
      <c r="Q285" s="53">
        <f t="shared" si="283"/>
        <v>3625080.6070063831</v>
      </c>
      <c r="R285" s="53">
        <f t="shared" si="283"/>
        <v>3636948.1776032182</v>
      </c>
      <c r="S285" s="53">
        <f t="shared" si="283"/>
        <v>3648854.5995380334</v>
      </c>
      <c r="T285" s="53">
        <f t="shared" si="283"/>
        <v>3660800</v>
      </c>
      <c r="U285" s="53">
        <f t="shared" si="283"/>
        <v>3672784.5065946742</v>
      </c>
      <c r="V285" s="53">
        <f t="shared" si="283"/>
        <v>3684808.2473453563</v>
      </c>
      <c r="W285" s="53">
        <f t="shared" si="283"/>
        <v>3696871.3506944655</v>
      </c>
      <c r="X285" s="53">
        <f t="shared" si="283"/>
        <v>3708973.9455049052</v>
      </c>
      <c r="Y285" s="53">
        <f t="shared" si="283"/>
        <v>3721116.1610614439</v>
      </c>
      <c r="Z285" s="53">
        <f t="shared" si="283"/>
        <v>3733298.1270720935</v>
      </c>
      <c r="AA285" s="53">
        <f t="shared" si="283"/>
        <v>3745519.9736694978</v>
      </c>
      <c r="AB285" s="53">
        <f t="shared" si="283"/>
        <v>3757781.83141232</v>
      </c>
      <c r="AC285" s="53">
        <f t="shared" si="283"/>
        <v>3770083.8312866385</v>
      </c>
      <c r="AD285" s="53">
        <f t="shared" si="283"/>
        <v>3782426.1047073472</v>
      </c>
      <c r="AE285" s="53">
        <f t="shared" si="283"/>
        <v>3794808.7835195549</v>
      </c>
      <c r="AF285" s="53">
        <f t="shared" si="283"/>
        <v>3807232.0000000005</v>
      </c>
      <c r="AG285" s="53">
        <f t="shared" si="283"/>
        <v>3819695.8868584605</v>
      </c>
      <c r="AH285" s="53">
        <f t="shared" si="283"/>
        <v>3832200.5772391707</v>
      </c>
      <c r="AI285" s="53">
        <f t="shared" si="283"/>
        <v>3844746.2047222443</v>
      </c>
      <c r="AJ285" s="53">
        <f t="shared" si="283"/>
        <v>3857332.9033251014</v>
      </c>
      <c r="AK285" s="53">
        <f t="shared" si="283"/>
        <v>3869960.8075039014</v>
      </c>
      <c r="AL285" s="53">
        <f t="shared" si="283"/>
        <v>3882630.0521549778</v>
      </c>
      <c r="AM285" s="53">
        <f t="shared" si="283"/>
        <v>3895340.7726162779</v>
      </c>
      <c r="AN285" s="53">
        <f t="shared" si="283"/>
        <v>3908093.1046688128</v>
      </c>
      <c r="AO285" s="53">
        <f t="shared" si="283"/>
        <v>3920887.1845381041</v>
      </c>
      <c r="AP285" s="53">
        <f t="shared" si="283"/>
        <v>3933723.1488956404</v>
      </c>
      <c r="AQ285" s="53">
        <f t="shared" si="283"/>
        <v>3946601.1348603372</v>
      </c>
    </row>
    <row r="286" spans="1:43" s="16" customFormat="1" hidden="1" outlineLevel="4">
      <c r="A286" s="53"/>
      <c r="B286" s="53"/>
      <c r="C286" s="53"/>
      <c r="D286" s="53"/>
      <c r="E286" s="53" t="s">
        <v>509</v>
      </c>
      <c r="F286" s="53"/>
      <c r="G286" s="53"/>
      <c r="H286" s="53">
        <f t="shared" ref="H286:AQ286" si="284">it_and_quality_support_positive*(1+it_and_quality_support_positive_growth)^((COLUMN()-8)/12)</f>
        <v>2640000</v>
      </c>
      <c r="I286" s="53">
        <f t="shared" si="284"/>
        <v>2648642.673025005</v>
      </c>
      <c r="J286" s="53">
        <f t="shared" si="284"/>
        <v>2657313.6399125168</v>
      </c>
      <c r="K286" s="53">
        <f t="shared" si="284"/>
        <v>2666012.9932892779</v>
      </c>
      <c r="L286" s="53">
        <f t="shared" si="284"/>
        <v>2674740.8260852681</v>
      </c>
      <c r="M286" s="53">
        <f t="shared" si="284"/>
        <v>2683497.2315346948</v>
      </c>
      <c r="N286" s="53">
        <f t="shared" si="284"/>
        <v>2692282.3031769907</v>
      </c>
      <c r="O286" s="53">
        <f t="shared" si="284"/>
        <v>2701096.1348578106</v>
      </c>
      <c r="P286" s="53">
        <f t="shared" si="284"/>
        <v>2709938.8207300385</v>
      </c>
      <c r="Q286" s="53">
        <f t="shared" si="284"/>
        <v>2718810.4552547871</v>
      </c>
      <c r="R286" s="53">
        <f t="shared" si="284"/>
        <v>2727711.1332024136</v>
      </c>
      <c r="S286" s="53">
        <f t="shared" si="284"/>
        <v>2736640.9496535249</v>
      </c>
      <c r="T286" s="53">
        <f t="shared" si="284"/>
        <v>2745600</v>
      </c>
      <c r="U286" s="53">
        <f t="shared" si="284"/>
        <v>2754588.3799460055</v>
      </c>
      <c r="V286" s="53">
        <f t="shared" si="284"/>
        <v>2763606.1855090172</v>
      </c>
      <c r="W286" s="53">
        <f t="shared" si="284"/>
        <v>2772653.5130208493</v>
      </c>
      <c r="X286" s="53">
        <f t="shared" si="284"/>
        <v>2781730.4591286788</v>
      </c>
      <c r="Y286" s="53">
        <f t="shared" si="284"/>
        <v>2790837.120796083</v>
      </c>
      <c r="Z286" s="53">
        <f t="shared" si="284"/>
        <v>2799973.5953040705</v>
      </c>
      <c r="AA286" s="53">
        <f t="shared" si="284"/>
        <v>2809139.980252123</v>
      </c>
      <c r="AB286" s="53">
        <f t="shared" si="284"/>
        <v>2818336.3735592403</v>
      </c>
      <c r="AC286" s="53">
        <f t="shared" si="284"/>
        <v>2827562.8734649788</v>
      </c>
      <c r="AD286" s="53">
        <f t="shared" si="284"/>
        <v>2836819.5785305104</v>
      </c>
      <c r="AE286" s="53">
        <f t="shared" si="284"/>
        <v>2846106.5876396662</v>
      </c>
      <c r="AF286" s="53">
        <f t="shared" si="284"/>
        <v>2855424.0000000005</v>
      </c>
      <c r="AG286" s="53">
        <f t="shared" si="284"/>
        <v>2864771.9151438456</v>
      </c>
      <c r="AH286" s="53">
        <f t="shared" si="284"/>
        <v>2874150.432929378</v>
      </c>
      <c r="AI286" s="53">
        <f t="shared" si="284"/>
        <v>2883559.6535416832</v>
      </c>
      <c r="AJ286" s="53">
        <f t="shared" si="284"/>
        <v>2892999.677493826</v>
      </c>
      <c r="AK286" s="53">
        <f t="shared" si="284"/>
        <v>2902470.6056279261</v>
      </c>
      <c r="AL286" s="53">
        <f t="shared" si="284"/>
        <v>2911972.5391162331</v>
      </c>
      <c r="AM286" s="53">
        <f t="shared" si="284"/>
        <v>2921505.5794622083</v>
      </c>
      <c r="AN286" s="53">
        <f t="shared" si="284"/>
        <v>2931069.8285016096</v>
      </c>
      <c r="AO286" s="53">
        <f t="shared" si="284"/>
        <v>2940665.3884035782</v>
      </c>
      <c r="AP286" s="53">
        <f t="shared" si="284"/>
        <v>2950292.3616717304</v>
      </c>
      <c r="AQ286" s="53">
        <f t="shared" si="284"/>
        <v>2959950.8511452531</v>
      </c>
    </row>
    <row r="287" spans="1:43" s="16" customFormat="1" outlineLevel="3" collapsed="1">
      <c r="A287" s="53"/>
      <c r="B287" s="53"/>
      <c r="C287" s="53"/>
      <c r="D287" s="53" t="s">
        <v>510</v>
      </c>
      <c r="E287" s="53"/>
      <c r="F287" s="53"/>
      <c r="G287" s="53"/>
      <c r="H287" s="53">
        <f t="shared" ref="H287:AQ287" si="285">(((H288+H289)+H290)+H291)</f>
        <v>15000000</v>
      </c>
      <c r="I287" s="53">
        <f t="shared" si="285"/>
        <v>15036994.046584556</v>
      </c>
      <c r="J287" s="53">
        <f t="shared" si="285"/>
        <v>15074079.330467952</v>
      </c>
      <c r="K287" s="53">
        <f t="shared" si="285"/>
        <v>15111256.076665994</v>
      </c>
      <c r="L287" s="53">
        <f t="shared" si="285"/>
        <v>15148524.510749413</v>
      </c>
      <c r="M287" s="53">
        <f t="shared" si="285"/>
        <v>15185884.858845277</v>
      </c>
      <c r="N287" s="53">
        <f t="shared" si="285"/>
        <v>15223337.347638329</v>
      </c>
      <c r="O287" s="53">
        <f t="shared" si="285"/>
        <v>15260882.204372389</v>
      </c>
      <c r="P287" s="53">
        <f t="shared" si="285"/>
        <v>15298519.65685172</v>
      </c>
      <c r="Q287" s="53">
        <f t="shared" si="285"/>
        <v>15336249.933442404</v>
      </c>
      <c r="R287" s="53">
        <f t="shared" si="285"/>
        <v>15374073.263073744</v>
      </c>
      <c r="S287" s="53">
        <f t="shared" si="285"/>
        <v>15411989.875239648</v>
      </c>
      <c r="T287" s="53">
        <f t="shared" si="285"/>
        <v>15450000</v>
      </c>
      <c r="U287" s="53">
        <f t="shared" si="285"/>
        <v>15488103.867982091</v>
      </c>
      <c r="V287" s="53">
        <f t="shared" si="285"/>
        <v>15526301.710381994</v>
      </c>
      <c r="W287" s="53">
        <f t="shared" si="285"/>
        <v>15564593.758965975</v>
      </c>
      <c r="X287" s="53">
        <f t="shared" si="285"/>
        <v>15602980.246071897</v>
      </c>
      <c r="Y287" s="53">
        <f t="shared" si="285"/>
        <v>15641461.404610636</v>
      </c>
      <c r="Z287" s="53">
        <f t="shared" si="285"/>
        <v>15680037.46806748</v>
      </c>
      <c r="AA287" s="53">
        <f t="shared" si="285"/>
        <v>15718708.670503564</v>
      </c>
      <c r="AB287" s="53">
        <f t="shared" si="285"/>
        <v>15757475.246557271</v>
      </c>
      <c r="AC287" s="53">
        <f t="shared" si="285"/>
        <v>15796337.431445675</v>
      </c>
      <c r="AD287" s="53">
        <f t="shared" si="285"/>
        <v>15835295.460965961</v>
      </c>
      <c r="AE287" s="53">
        <f t="shared" si="285"/>
        <v>15874349.571496837</v>
      </c>
      <c r="AF287" s="53">
        <f t="shared" si="285"/>
        <v>15913500</v>
      </c>
      <c r="AG287" s="53">
        <f t="shared" si="285"/>
        <v>15952746.984021554</v>
      </c>
      <c r="AH287" s="53">
        <f t="shared" si="285"/>
        <v>15992090.761693455</v>
      </c>
      <c r="AI287" s="53">
        <f t="shared" si="285"/>
        <v>16031531.571734952</v>
      </c>
      <c r="AJ287" s="53">
        <f t="shared" si="285"/>
        <v>16071069.653454056</v>
      </c>
      <c r="AK287" s="53">
        <f t="shared" si="285"/>
        <v>16110705.246748954</v>
      </c>
      <c r="AL287" s="53">
        <f t="shared" si="285"/>
        <v>16150438.592109505</v>
      </c>
      <c r="AM287" s="53">
        <f t="shared" si="285"/>
        <v>16190269.930618672</v>
      </c>
      <c r="AN287" s="53">
        <f t="shared" si="285"/>
        <v>16230199.503953991</v>
      </c>
      <c r="AO287" s="53">
        <f t="shared" si="285"/>
        <v>16270227.554389047</v>
      </c>
      <c r="AP287" s="53">
        <f t="shared" si="285"/>
        <v>16310354.324794941</v>
      </c>
      <c r="AQ287" s="53">
        <f t="shared" si="285"/>
        <v>16350580.058641743</v>
      </c>
    </row>
    <row r="288" spans="1:43" s="16" customFormat="1" hidden="1" outlineLevel="4">
      <c r="A288" s="53"/>
      <c r="B288" s="53"/>
      <c r="C288" s="53"/>
      <c r="D288" s="53"/>
      <c r="E288" s="53" t="s">
        <v>312</v>
      </c>
      <c r="F288" s="53"/>
      <c r="G288" s="53"/>
      <c r="H288" s="53">
        <f t="shared" ref="H288:AQ288" si="286">central_launch_budget_positive*(1+central_launch_budget_positive_growth)^((COLUMN()-8)/12)</f>
        <v>6750000</v>
      </c>
      <c r="I288" s="53">
        <f t="shared" si="286"/>
        <v>6766647.3209630502</v>
      </c>
      <c r="J288" s="53">
        <f t="shared" si="286"/>
        <v>6783335.6987105785</v>
      </c>
      <c r="K288" s="53">
        <f t="shared" si="286"/>
        <v>6800065.2344996966</v>
      </c>
      <c r="L288" s="53">
        <f t="shared" si="286"/>
        <v>6816836.0298372358</v>
      </c>
      <c r="M288" s="53">
        <f t="shared" si="286"/>
        <v>6833648.1864803741</v>
      </c>
      <c r="N288" s="53">
        <f t="shared" si="286"/>
        <v>6850501.8064372484</v>
      </c>
      <c r="O288" s="53">
        <f t="shared" si="286"/>
        <v>6867396.9919675747</v>
      </c>
      <c r="P288" s="53">
        <f t="shared" si="286"/>
        <v>6884333.845583274</v>
      </c>
      <c r="Q288" s="53">
        <f t="shared" si="286"/>
        <v>6901312.4700490823</v>
      </c>
      <c r="R288" s="53">
        <f t="shared" si="286"/>
        <v>6918332.9683831856</v>
      </c>
      <c r="S288" s="53">
        <f t="shared" si="286"/>
        <v>6935395.4438578412</v>
      </c>
      <c r="T288" s="53">
        <f t="shared" si="286"/>
        <v>6952500</v>
      </c>
      <c r="U288" s="53">
        <f t="shared" si="286"/>
        <v>6969646.7405919414</v>
      </c>
      <c r="V288" s="53">
        <f t="shared" si="286"/>
        <v>6986835.7696718974</v>
      </c>
      <c r="W288" s="53">
        <f t="shared" si="286"/>
        <v>7004067.1915346887</v>
      </c>
      <c r="X288" s="53">
        <f t="shared" si="286"/>
        <v>7021341.1107323533</v>
      </c>
      <c r="Y288" s="53">
        <f t="shared" si="286"/>
        <v>7038657.6320747854</v>
      </c>
      <c r="Z288" s="53">
        <f t="shared" si="286"/>
        <v>7056016.860630366</v>
      </c>
      <c r="AA288" s="53">
        <f t="shared" si="286"/>
        <v>7073418.9017266035</v>
      </c>
      <c r="AB288" s="53">
        <f t="shared" si="286"/>
        <v>7090863.8609507717</v>
      </c>
      <c r="AC288" s="53">
        <f t="shared" si="286"/>
        <v>7108351.8441505544</v>
      </c>
      <c r="AD288" s="53">
        <f t="shared" si="286"/>
        <v>7125882.9574346822</v>
      </c>
      <c r="AE288" s="53">
        <f t="shared" si="286"/>
        <v>7143457.3071735762</v>
      </c>
      <c r="AF288" s="53">
        <f t="shared" si="286"/>
        <v>7161075</v>
      </c>
      <c r="AG288" s="53">
        <f t="shared" si="286"/>
        <v>7178736.1428096993</v>
      </c>
      <c r="AH288" s="53">
        <f t="shared" si="286"/>
        <v>7196440.8427620549</v>
      </c>
      <c r="AI288" s="53">
        <f t="shared" si="286"/>
        <v>7214189.207280729</v>
      </c>
      <c r="AJ288" s="53">
        <f t="shared" si="286"/>
        <v>7231981.3440543255</v>
      </c>
      <c r="AK288" s="53">
        <f t="shared" si="286"/>
        <v>7249817.361037029</v>
      </c>
      <c r="AL288" s="53">
        <f t="shared" si="286"/>
        <v>7267697.3664492769</v>
      </c>
      <c r="AM288" s="53">
        <f t="shared" si="286"/>
        <v>7285621.4687784016</v>
      </c>
      <c r="AN288" s="53">
        <f t="shared" si="286"/>
        <v>7303589.7767792959</v>
      </c>
      <c r="AO288" s="53">
        <f t="shared" si="286"/>
        <v>7321602.3994750716</v>
      </c>
      <c r="AP288" s="53">
        <f t="shared" si="286"/>
        <v>7339659.4461577227</v>
      </c>
      <c r="AQ288" s="53">
        <f t="shared" si="286"/>
        <v>7357761.0263887849</v>
      </c>
    </row>
    <row r="289" spans="1:43" s="16" customFormat="1" hidden="1" outlineLevel="4">
      <c r="A289" s="53"/>
      <c r="B289" s="53"/>
      <c r="C289" s="53"/>
      <c r="D289" s="53"/>
      <c r="E289" s="53" t="s">
        <v>511</v>
      </c>
      <c r="F289" s="53"/>
      <c r="G289" s="53"/>
      <c r="H289" s="53">
        <f t="shared" ref="H289:AQ289" si="287">western_launch_budget_positive*(1+western_launch_budget_positive_growth)^((COLUMN()-8)/12)</f>
        <v>3750000</v>
      </c>
      <c r="I289" s="53">
        <f t="shared" si="287"/>
        <v>3759248.511646139</v>
      </c>
      <c r="J289" s="53">
        <f t="shared" si="287"/>
        <v>3768519.8326169881</v>
      </c>
      <c r="K289" s="53">
        <f t="shared" si="287"/>
        <v>3777814.0191664984</v>
      </c>
      <c r="L289" s="53">
        <f t="shared" si="287"/>
        <v>3787131.1276873536</v>
      </c>
      <c r="M289" s="53">
        <f t="shared" si="287"/>
        <v>3796471.2147113187</v>
      </c>
      <c r="N289" s="53">
        <f t="shared" si="287"/>
        <v>3805834.3369095824</v>
      </c>
      <c r="O289" s="53">
        <f t="shared" si="287"/>
        <v>3815220.5510930973</v>
      </c>
      <c r="P289" s="53">
        <f t="shared" si="287"/>
        <v>3824629.91421293</v>
      </c>
      <c r="Q289" s="53">
        <f t="shared" si="287"/>
        <v>3834062.4833606011</v>
      </c>
      <c r="R289" s="53">
        <f t="shared" si="287"/>
        <v>3843518.3157684365</v>
      </c>
      <c r="S289" s="53">
        <f t="shared" si="287"/>
        <v>3852997.468809912</v>
      </c>
      <c r="T289" s="53">
        <f t="shared" si="287"/>
        <v>3862500</v>
      </c>
      <c r="U289" s="53">
        <f t="shared" si="287"/>
        <v>3872025.9669955228</v>
      </c>
      <c r="V289" s="53">
        <f t="shared" si="287"/>
        <v>3881575.4275954985</v>
      </c>
      <c r="W289" s="53">
        <f t="shared" si="287"/>
        <v>3891148.4397414937</v>
      </c>
      <c r="X289" s="53">
        <f t="shared" si="287"/>
        <v>3900745.0615179744</v>
      </c>
      <c r="Y289" s="53">
        <f t="shared" si="287"/>
        <v>3910365.3511526589</v>
      </c>
      <c r="Z289" s="53">
        <f t="shared" si="287"/>
        <v>3920009.3670168701</v>
      </c>
      <c r="AA289" s="53">
        <f t="shared" si="287"/>
        <v>3929677.167625891</v>
      </c>
      <c r="AB289" s="53">
        <f t="shared" si="287"/>
        <v>3939368.8116393178</v>
      </c>
      <c r="AC289" s="53">
        <f t="shared" si="287"/>
        <v>3949084.3578614192</v>
      </c>
      <c r="AD289" s="53">
        <f t="shared" si="287"/>
        <v>3958823.8652414903</v>
      </c>
      <c r="AE289" s="53">
        <f t="shared" si="287"/>
        <v>3968587.3928742092</v>
      </c>
      <c r="AF289" s="53">
        <f t="shared" si="287"/>
        <v>3978375</v>
      </c>
      <c r="AG289" s="53">
        <f t="shared" si="287"/>
        <v>3988186.7460053884</v>
      </c>
      <c r="AH289" s="53">
        <f t="shared" si="287"/>
        <v>3998022.6904233638</v>
      </c>
      <c r="AI289" s="53">
        <f t="shared" si="287"/>
        <v>4007882.892933738</v>
      </c>
      <c r="AJ289" s="53">
        <f t="shared" si="287"/>
        <v>4017767.413363514</v>
      </c>
      <c r="AK289" s="53">
        <f t="shared" si="287"/>
        <v>4027676.3116872385</v>
      </c>
      <c r="AL289" s="53">
        <f t="shared" si="287"/>
        <v>4037609.6480273758</v>
      </c>
      <c r="AM289" s="53">
        <f t="shared" si="287"/>
        <v>4047567.4826546675</v>
      </c>
      <c r="AN289" s="53">
        <f t="shared" si="287"/>
        <v>4057549.8759884979</v>
      </c>
      <c r="AO289" s="53">
        <f t="shared" si="287"/>
        <v>4067556.8885972621</v>
      </c>
      <c r="AP289" s="53">
        <f t="shared" si="287"/>
        <v>4077588.5811987352</v>
      </c>
      <c r="AQ289" s="53">
        <f t="shared" si="287"/>
        <v>4087645.0146604357</v>
      </c>
    </row>
    <row r="290" spans="1:43" s="16" customFormat="1" hidden="1" outlineLevel="4">
      <c r="A290" s="53"/>
      <c r="B290" s="53"/>
      <c r="C290" s="53"/>
      <c r="D290" s="53"/>
      <c r="E290" s="53" t="s">
        <v>512</v>
      </c>
      <c r="F290" s="53"/>
      <c r="G290" s="53"/>
      <c r="H290" s="53">
        <f t="shared" ref="H290:AQ290" si="288">eastern_launch_budget_positive*(1+eastern_launch_budget_positive_growth)^((COLUMN()-8)/12)</f>
        <v>2625000</v>
      </c>
      <c r="I290" s="53">
        <f t="shared" si="288"/>
        <v>2631473.958152297</v>
      </c>
      <c r="J290" s="53">
        <f t="shared" si="288"/>
        <v>2637963.882831892</v>
      </c>
      <c r="K290" s="53">
        <f t="shared" si="288"/>
        <v>2644469.813416549</v>
      </c>
      <c r="L290" s="53">
        <f t="shared" si="288"/>
        <v>2650991.7893811474</v>
      </c>
      <c r="M290" s="53">
        <f t="shared" si="288"/>
        <v>2657529.8502979232</v>
      </c>
      <c r="N290" s="53">
        <f t="shared" si="288"/>
        <v>2664084.0358367078</v>
      </c>
      <c r="O290" s="53">
        <f t="shared" si="288"/>
        <v>2670654.3857651679</v>
      </c>
      <c r="P290" s="53">
        <f t="shared" si="288"/>
        <v>2677240.939949051</v>
      </c>
      <c r="Q290" s="53">
        <f t="shared" si="288"/>
        <v>2683843.7383524207</v>
      </c>
      <c r="R290" s="53">
        <f t="shared" si="288"/>
        <v>2690462.8210379058</v>
      </c>
      <c r="S290" s="53">
        <f t="shared" si="288"/>
        <v>2697098.2281669383</v>
      </c>
      <c r="T290" s="53">
        <f t="shared" si="288"/>
        <v>2703750</v>
      </c>
      <c r="U290" s="53">
        <f t="shared" si="288"/>
        <v>2710418.1768968659</v>
      </c>
      <c r="V290" s="53">
        <f t="shared" si="288"/>
        <v>2717102.7993168486</v>
      </c>
      <c r="W290" s="53">
        <f t="shared" si="288"/>
        <v>2723803.9078190457</v>
      </c>
      <c r="X290" s="53">
        <f t="shared" si="288"/>
        <v>2730521.5430625821</v>
      </c>
      <c r="Y290" s="53">
        <f t="shared" si="288"/>
        <v>2737255.7458068612</v>
      </c>
      <c r="Z290" s="53">
        <f t="shared" si="288"/>
        <v>2744006.5569118089</v>
      </c>
      <c r="AA290" s="53">
        <f t="shared" si="288"/>
        <v>2750774.0173381236</v>
      </c>
      <c r="AB290" s="53">
        <f t="shared" si="288"/>
        <v>2757558.1681475225</v>
      </c>
      <c r="AC290" s="53">
        <f t="shared" si="288"/>
        <v>2764359.0505029936</v>
      </c>
      <c r="AD290" s="53">
        <f t="shared" si="288"/>
        <v>2771176.7056690431</v>
      </c>
      <c r="AE290" s="53">
        <f t="shared" si="288"/>
        <v>2778011.1750119464</v>
      </c>
      <c r="AF290" s="53">
        <f t="shared" si="288"/>
        <v>2784862.5</v>
      </c>
      <c r="AG290" s="53">
        <f t="shared" si="288"/>
        <v>2791730.7222037716</v>
      </c>
      <c r="AH290" s="53">
        <f t="shared" si="288"/>
        <v>2798615.8832963547</v>
      </c>
      <c r="AI290" s="53">
        <f t="shared" si="288"/>
        <v>2805518.0250536166</v>
      </c>
      <c r="AJ290" s="53">
        <f t="shared" si="288"/>
        <v>2812437.1893544598</v>
      </c>
      <c r="AK290" s="53">
        <f t="shared" si="288"/>
        <v>2819373.4181810669</v>
      </c>
      <c r="AL290" s="53">
        <f t="shared" si="288"/>
        <v>2826326.7536191633</v>
      </c>
      <c r="AM290" s="53">
        <f t="shared" si="288"/>
        <v>2833297.237858267</v>
      </c>
      <c r="AN290" s="53">
        <f t="shared" si="288"/>
        <v>2840284.9131919486</v>
      </c>
      <c r="AO290" s="53">
        <f t="shared" si="288"/>
        <v>2847289.8220180837</v>
      </c>
      <c r="AP290" s="53">
        <f t="shared" si="288"/>
        <v>2854312.0068391147</v>
      </c>
      <c r="AQ290" s="53">
        <f t="shared" si="288"/>
        <v>2861351.5102623054</v>
      </c>
    </row>
    <row r="291" spans="1:43" s="16" customFormat="1" hidden="1" outlineLevel="4">
      <c r="A291" s="53"/>
      <c r="B291" s="53"/>
      <c r="C291" s="53"/>
      <c r="D291" s="53"/>
      <c r="E291" s="53" t="s">
        <v>513</v>
      </c>
      <c r="F291" s="53"/>
      <c r="G291" s="53"/>
      <c r="H291" s="53">
        <f t="shared" ref="H291:AQ291" si="289">northern_launch_budget_positive*(1+northern_launch_budget_positive_growth)^((COLUMN()-8)/12)</f>
        <v>1875000</v>
      </c>
      <c r="I291" s="53">
        <f t="shared" si="289"/>
        <v>1879624.2558230695</v>
      </c>
      <c r="J291" s="53">
        <f t="shared" si="289"/>
        <v>1884259.9163084941</v>
      </c>
      <c r="K291" s="53">
        <f t="shared" si="289"/>
        <v>1888907.0095832492</v>
      </c>
      <c r="L291" s="53">
        <f t="shared" si="289"/>
        <v>1893565.5638436768</v>
      </c>
      <c r="M291" s="53">
        <f t="shared" si="289"/>
        <v>1898235.6073556594</v>
      </c>
      <c r="N291" s="53">
        <f t="shared" si="289"/>
        <v>1902917.1684547912</v>
      </c>
      <c r="O291" s="53">
        <f t="shared" si="289"/>
        <v>1907610.2755465487</v>
      </c>
      <c r="P291" s="53">
        <f t="shared" si="289"/>
        <v>1912314.957106465</v>
      </c>
      <c r="Q291" s="53">
        <f t="shared" si="289"/>
        <v>1917031.2416803006</v>
      </c>
      <c r="R291" s="53">
        <f t="shared" si="289"/>
        <v>1921759.1578842183</v>
      </c>
      <c r="S291" s="53">
        <f t="shared" si="289"/>
        <v>1926498.734404956</v>
      </c>
      <c r="T291" s="53">
        <f t="shared" si="289"/>
        <v>1931250</v>
      </c>
      <c r="U291" s="53">
        <f t="shared" si="289"/>
        <v>1936012.9834977614</v>
      </c>
      <c r="V291" s="53">
        <f t="shared" si="289"/>
        <v>1940787.7137977493</v>
      </c>
      <c r="W291" s="53">
        <f t="shared" si="289"/>
        <v>1945574.2198707468</v>
      </c>
      <c r="X291" s="53">
        <f t="shared" si="289"/>
        <v>1950372.5307589872</v>
      </c>
      <c r="Y291" s="53">
        <f t="shared" si="289"/>
        <v>1955182.6755763295</v>
      </c>
      <c r="Z291" s="53">
        <f t="shared" si="289"/>
        <v>1960004.683508435</v>
      </c>
      <c r="AA291" s="53">
        <f t="shared" si="289"/>
        <v>1964838.5838129455</v>
      </c>
      <c r="AB291" s="53">
        <f t="shared" si="289"/>
        <v>1969684.4058196589</v>
      </c>
      <c r="AC291" s="53">
        <f t="shared" si="289"/>
        <v>1974542.1789307096</v>
      </c>
      <c r="AD291" s="53">
        <f t="shared" si="289"/>
        <v>1979411.9326207452</v>
      </c>
      <c r="AE291" s="53">
        <f t="shared" si="289"/>
        <v>1984293.6964371046</v>
      </c>
      <c r="AF291" s="53">
        <f t="shared" si="289"/>
        <v>1989187.5</v>
      </c>
      <c r="AG291" s="53">
        <f t="shared" si="289"/>
        <v>1994093.3730026942</v>
      </c>
      <c r="AH291" s="53">
        <f t="shared" si="289"/>
        <v>1999011.3452116819</v>
      </c>
      <c r="AI291" s="53">
        <f t="shared" si="289"/>
        <v>2003941.446466869</v>
      </c>
      <c r="AJ291" s="53">
        <f t="shared" si="289"/>
        <v>2008883.706681757</v>
      </c>
      <c r="AK291" s="53">
        <f t="shared" si="289"/>
        <v>2013838.1558436193</v>
      </c>
      <c r="AL291" s="53">
        <f t="shared" si="289"/>
        <v>2018804.8240136879</v>
      </c>
      <c r="AM291" s="53">
        <f t="shared" si="289"/>
        <v>2023783.7413273337</v>
      </c>
      <c r="AN291" s="53">
        <f t="shared" si="289"/>
        <v>2028774.9379942489</v>
      </c>
      <c r="AO291" s="53">
        <f t="shared" si="289"/>
        <v>2033778.444298631</v>
      </c>
      <c r="AP291" s="53">
        <f t="shared" si="289"/>
        <v>2038794.2905993676</v>
      </c>
      <c r="AQ291" s="53">
        <f t="shared" si="289"/>
        <v>2043822.5073302179</v>
      </c>
    </row>
    <row r="292" spans="1:43" s="16" customFormat="1"/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Q291"/>
  <sheetViews>
    <sheetView zoomScale="161" workbookViewId="0">
      <pane xSplit="7" ySplit="1" topLeftCell="H2" activePane="bottomRight" state="frozen"/>
      <selection pane="topRight"/>
      <selection pane="bottomLeft"/>
      <selection pane="bottomRight" activeCell="G116" sqref="G116"/>
    </sheetView>
  </sheetViews>
  <sheetFormatPr baseColWidth="10" defaultColWidth="8.83203125" defaultRowHeight="15" outlineLevelRow="6"/>
  <cols>
    <col min="1" max="6" width="2" customWidth="1"/>
    <col min="7" max="7" width="42" customWidth="1"/>
    <col min="8" max="43" width="12" customWidth="1"/>
  </cols>
  <sheetData>
    <row r="1" spans="1:43">
      <c r="A1" s="1"/>
      <c r="B1" s="1"/>
      <c r="C1" s="1"/>
      <c r="D1" s="1"/>
      <c r="E1" s="1"/>
      <c r="F1" s="1"/>
      <c r="G1" s="1"/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</row>
    <row r="2" spans="1:43" s="16" customFormat="1">
      <c r="A2" s="15" t="s">
        <v>320</v>
      </c>
      <c r="B2" s="15"/>
      <c r="C2" s="15"/>
      <c r="D2" s="15"/>
      <c r="E2" s="15"/>
      <c r="F2" s="15"/>
      <c r="G2" s="15"/>
      <c r="H2" s="15">
        <f t="shared" ref="H2:AQ2" si="0">(H3-H110)</f>
        <v>-118957400.79142843</v>
      </c>
      <c r="I2" s="15">
        <f t="shared" si="0"/>
        <v>-117652951.5971795</v>
      </c>
      <c r="J2" s="15">
        <f t="shared" si="0"/>
        <v>-116290429.38291433</v>
      </c>
      <c r="K2" s="15">
        <f t="shared" si="0"/>
        <v>-114868267.52190849</v>
      </c>
      <c r="L2" s="15">
        <f t="shared" si="0"/>
        <v>-113384862.44156116</v>
      </c>
      <c r="M2" s="15">
        <f t="shared" si="0"/>
        <v>-111838572.81009097</v>
      </c>
      <c r="N2" s="15">
        <f t="shared" si="0"/>
        <v>-110227718.70611514</v>
      </c>
      <c r="O2" s="15">
        <f t="shared" si="0"/>
        <v>-108550580.77076337</v>
      </c>
      <c r="P2" s="15">
        <f t="shared" si="0"/>
        <v>-106805399.34197107</v>
      </c>
      <c r="Q2" s="15">
        <f t="shared" si="0"/>
        <v>-104990373.57059008</v>
      </c>
      <c r="R2" s="15">
        <f t="shared" si="0"/>
        <v>-103103660.51794624</v>
      </c>
      <c r="S2" s="15">
        <f t="shared" si="0"/>
        <v>-101143374.23446843</v>
      </c>
      <c r="T2" s="15">
        <f t="shared" si="0"/>
        <v>-99107584.819003537</v>
      </c>
      <c r="U2" s="15">
        <f t="shared" si="0"/>
        <v>-96994317.458426237</v>
      </c>
      <c r="V2" s="15">
        <f t="shared" si="0"/>
        <v>-94801551.447143197</v>
      </c>
      <c r="W2" s="15">
        <f t="shared" si="0"/>
        <v>-92527219.186085194</v>
      </c>
      <c r="X2" s="15">
        <f t="shared" si="0"/>
        <v>-90169205.160770446</v>
      </c>
      <c r="Y2" s="15">
        <f t="shared" si="0"/>
        <v>-87725344.898016542</v>
      </c>
      <c r="Z2" s="15">
        <f t="shared" si="0"/>
        <v>-85193423.900867462</v>
      </c>
      <c r="AA2" s="15">
        <f t="shared" si="0"/>
        <v>-82571176.561296642</v>
      </c>
      <c r="AB2" s="15">
        <f t="shared" si="0"/>
        <v>-79856285.050235197</v>
      </c>
      <c r="AC2" s="15">
        <f t="shared" si="0"/>
        <v>-77046378.18446821</v>
      </c>
      <c r="AD2" s="15">
        <f t="shared" si="0"/>
        <v>-74139030.269931495</v>
      </c>
      <c r="AE2" s="15">
        <f t="shared" si="0"/>
        <v>-71131759.920932472</v>
      </c>
      <c r="AF2" s="15">
        <f t="shared" si="0"/>
        <v>-68022028.854809016</v>
      </c>
      <c r="AG2" s="15">
        <f t="shared" si="0"/>
        <v>-64807240.661531866</v>
      </c>
      <c r="AH2" s="15">
        <f t="shared" si="0"/>
        <v>-61484739.547744513</v>
      </c>
      <c r="AI2" s="15">
        <f t="shared" si="0"/>
        <v>-58051809.054726511</v>
      </c>
      <c r="AJ2" s="15">
        <f t="shared" si="0"/>
        <v>-54505670.74975428</v>
      </c>
      <c r="AK2" s="15">
        <f t="shared" si="0"/>
        <v>-50843482.890325129</v>
      </c>
      <c r="AL2" s="15">
        <f t="shared" si="0"/>
        <v>-47062339.06069684</v>
      </c>
      <c r="AM2" s="15">
        <f t="shared" si="0"/>
        <v>-43159266.780188322</v>
      </c>
      <c r="AN2" s="15">
        <f t="shared" si="0"/>
        <v>-39131226.082672477</v>
      </c>
      <c r="AO2" s="15">
        <f t="shared" si="0"/>
        <v>-34975108.066682816</v>
      </c>
      <c r="AP2" s="15">
        <f t="shared" si="0"/>
        <v>-30687733.415544838</v>
      </c>
      <c r="AQ2" s="15">
        <f t="shared" si="0"/>
        <v>-26265850.88692832</v>
      </c>
    </row>
    <row r="3" spans="1:43" outlineLevel="1" collapsed="1">
      <c r="A3" s="5"/>
      <c r="B3" s="5" t="s">
        <v>321</v>
      </c>
      <c r="C3" s="5"/>
      <c r="D3" s="5"/>
      <c r="E3" s="5"/>
      <c r="F3" s="5"/>
      <c r="G3" s="5"/>
      <c r="H3" s="6">
        <f t="shared" ref="H3:AQ3" si="1">(H4+H65)</f>
        <v>16088066.109212415</v>
      </c>
      <c r="I3" s="6">
        <f t="shared" si="1"/>
        <v>20075532.288676322</v>
      </c>
      <c r="J3" s="6">
        <f t="shared" si="1"/>
        <v>24206012.604968131</v>
      </c>
      <c r="K3" s="6">
        <f t="shared" si="1"/>
        <v>28483454.562969118</v>
      </c>
      <c r="L3" s="6">
        <f t="shared" si="1"/>
        <v>32911903.221438404</v>
      </c>
      <c r="M3" s="6">
        <f t="shared" si="1"/>
        <v>37495503.461002752</v>
      </c>
      <c r="N3" s="6">
        <f t="shared" si="1"/>
        <v>42238502.302879289</v>
      </c>
      <c r="O3" s="6">
        <f t="shared" si="1"/>
        <v>47145251.279435955</v>
      </c>
      <c r="P3" s="6">
        <f t="shared" si="1"/>
        <v>52220208.857719153</v>
      </c>
      <c r="Q3" s="6">
        <f t="shared" si="1"/>
        <v>57467942.917100847</v>
      </c>
      <c r="R3" s="6">
        <f t="shared" si="1"/>
        <v>62893133.282223582</v>
      </c>
      <c r="S3" s="6">
        <f t="shared" si="1"/>
        <v>68500574.31244567</v>
      </c>
      <c r="T3" s="6">
        <f t="shared" si="1"/>
        <v>74295177.549015179</v>
      </c>
      <c r="U3" s="6">
        <f t="shared" si="1"/>
        <v>80281974.421227515</v>
      </c>
      <c r="V3" s="6">
        <f t="shared" si="1"/>
        <v>86466119.012848079</v>
      </c>
      <c r="W3" s="6">
        <f t="shared" si="1"/>
        <v>92852890.890108466</v>
      </c>
      <c r="X3" s="6">
        <f t="shared" si="1"/>
        <v>99447697.992613614</v>
      </c>
      <c r="Y3" s="6">
        <f t="shared" si="1"/>
        <v>106256079.5885241</v>
      </c>
      <c r="Z3" s="6">
        <f t="shared" si="1"/>
        <v>113283709.29540926</v>
      </c>
      <c r="AA3" s="6">
        <f t="shared" si="1"/>
        <v>120536398.16819364</v>
      </c>
      <c r="AB3" s="6">
        <f t="shared" si="1"/>
        <v>128020097.85565247</v>
      </c>
      <c r="AC3" s="6">
        <f t="shared" si="1"/>
        <v>135740903.82694072</v>
      </c>
      <c r="AD3" s="6">
        <f t="shared" si="1"/>
        <v>143705058.66967258</v>
      </c>
      <c r="AE3" s="6">
        <f t="shared" si="1"/>
        <v>151918955.46110094</v>
      </c>
      <c r="AF3" s="6">
        <f t="shared" si="1"/>
        <v>160389141.21397993</v>
      </c>
      <c r="AG3" s="6">
        <f t="shared" si="1"/>
        <v>169122320.39872417</v>
      </c>
      <c r="AH3" s="6">
        <f t="shared" si="1"/>
        <v>178125358.54351676</v>
      </c>
      <c r="AI3" s="6">
        <f t="shared" si="1"/>
        <v>187405285.914051</v>
      </c>
      <c r="AJ3" s="6">
        <f t="shared" si="1"/>
        <v>196969301.27462667</v>
      </c>
      <c r="AK3" s="6">
        <f t="shared" si="1"/>
        <v>206824775.73235765</v>
      </c>
      <c r="AL3" s="6">
        <f t="shared" si="1"/>
        <v>216979256.66628891</v>
      </c>
      <c r="AM3" s="6">
        <f t="shared" si="1"/>
        <v>227440471.74325216</v>
      </c>
      <c r="AN3" s="6">
        <f t="shared" si="1"/>
        <v>238216333.02233446</v>
      </c>
      <c r="AO3" s="6">
        <f t="shared" si="1"/>
        <v>249314941.14987218</v>
      </c>
      <c r="AP3" s="6">
        <f t="shared" si="1"/>
        <v>260744589.64691982</v>
      </c>
      <c r="AQ3" s="6">
        <f t="shared" si="1"/>
        <v>272513769.29119182</v>
      </c>
    </row>
    <row r="4" spans="1:43" hidden="1" outlineLevel="2" collapsed="1">
      <c r="A4" s="7"/>
      <c r="B4" s="7"/>
      <c r="C4" s="7" t="s">
        <v>322</v>
      </c>
      <c r="D4" s="7"/>
      <c r="E4" s="7"/>
      <c r="F4" s="7"/>
      <c r="G4" s="7"/>
      <c r="H4" s="8">
        <f t="shared" ref="H4:AQ4" si="2">(((H5+H20)+H35)+H50)</f>
        <v>10911505.784180345</v>
      </c>
      <c r="I4" s="8">
        <f t="shared" si="2"/>
        <v>13396763.202277638</v>
      </c>
      <c r="J4" s="8">
        <f t="shared" si="2"/>
        <v>15972451.332885824</v>
      </c>
      <c r="K4" s="8">
        <f t="shared" si="2"/>
        <v>18641109.226323027</v>
      </c>
      <c r="L4" s="8">
        <f t="shared" si="2"/>
        <v>21405339.793929726</v>
      </c>
      <c r="M4" s="8">
        <f t="shared" si="2"/>
        <v>24267811.319143143</v>
      </c>
      <c r="N4" s="8">
        <f t="shared" si="2"/>
        <v>27231259.002967529</v>
      </c>
      <c r="O4" s="8">
        <f t="shared" si="2"/>
        <v>30298486.544602387</v>
      </c>
      <c r="P4" s="8">
        <f t="shared" si="2"/>
        <v>33472367.75800794</v>
      </c>
      <c r="Q4" s="8">
        <f t="shared" si="2"/>
        <v>36755848.225202985</v>
      </c>
      <c r="R4" s="8">
        <f t="shared" si="2"/>
        <v>40151946.98710902</v>
      </c>
      <c r="S4" s="8">
        <f t="shared" si="2"/>
        <v>43663758.272770666</v>
      </c>
      <c r="T4" s="8">
        <f t="shared" si="2"/>
        <v>47294453.267801605</v>
      </c>
      <c r="U4" s="8">
        <f t="shared" si="2"/>
        <v>51047281.922923043</v>
      </c>
      <c r="V4" s="8">
        <f t="shared" si="2"/>
        <v>54925574.803480908</v>
      </c>
      <c r="W4" s="8">
        <f t="shared" si="2"/>
        <v>58932744.980846606</v>
      </c>
      <c r="X4" s="8">
        <f t="shared" si="2"/>
        <v>63072289.966626771</v>
      </c>
      <c r="Y4" s="8">
        <f t="shared" si="2"/>
        <v>67347793.690626234</v>
      </c>
      <c r="Z4" s="8">
        <f t="shared" si="2"/>
        <v>71762928.523530424</v>
      </c>
      <c r="AA4" s="8">
        <f t="shared" si="2"/>
        <v>76321457.345292568</v>
      </c>
      <c r="AB4" s="8">
        <f t="shared" si="2"/>
        <v>81027235.660234198</v>
      </c>
      <c r="AC4" s="8">
        <f t="shared" si="2"/>
        <v>85884213.759887919</v>
      </c>
      <c r="AD4" s="8">
        <f t="shared" si="2"/>
        <v>90896438.934634194</v>
      </c>
      <c r="AE4" s="8">
        <f t="shared" si="2"/>
        <v>96068057.735206708</v>
      </c>
      <c r="AF4" s="8">
        <f t="shared" si="2"/>
        <v>101403318.28516503</v>
      </c>
      <c r="AG4" s="8">
        <f t="shared" si="2"/>
        <v>106906572.64545405</v>
      </c>
      <c r="AH4" s="8">
        <f t="shared" si="2"/>
        <v>112582279.23219763</v>
      </c>
      <c r="AI4" s="8">
        <f t="shared" si="2"/>
        <v>118435005.28889653</v>
      </c>
      <c r="AJ4" s="8">
        <f t="shared" si="2"/>
        <v>124469429.41422641</v>
      </c>
      <c r="AK4" s="8">
        <f t="shared" si="2"/>
        <v>130690344.14665659</v>
      </c>
      <c r="AL4" s="8">
        <f t="shared" si="2"/>
        <v>137102658.60713992</v>
      </c>
      <c r="AM4" s="8">
        <f t="shared" si="2"/>
        <v>143711401.20114604</v>
      </c>
      <c r="AN4" s="8">
        <f t="shared" si="2"/>
        <v>150521722.38134211</v>
      </c>
      <c r="AO4" s="8">
        <f t="shared" si="2"/>
        <v>157538897.47225139</v>
      </c>
      <c r="AP4" s="8">
        <f t="shared" si="2"/>
        <v>164768329.55824819</v>
      </c>
      <c r="AQ4" s="8">
        <f t="shared" si="2"/>
        <v>172215552.43627942</v>
      </c>
    </row>
    <row r="5" spans="1:43" hidden="1" outlineLevel="3" collapsed="1">
      <c r="A5" s="2"/>
      <c r="B5" s="2"/>
      <c r="C5" s="2"/>
      <c r="D5" s="2" t="s">
        <v>323</v>
      </c>
      <c r="E5" s="2"/>
      <c r="F5" s="2"/>
      <c r="G5" s="2"/>
      <c r="H5" s="9">
        <f t="shared" ref="H5:AQ5" si="3">(H6*H19)</f>
        <v>5698224.2649296252</v>
      </c>
      <c r="I5" s="9">
        <f t="shared" si="3"/>
        <v>7323801.5247891806</v>
      </c>
      <c r="J5" s="9">
        <f t="shared" si="3"/>
        <v>9008844.3365432322</v>
      </c>
      <c r="K5" s="9">
        <f t="shared" si="3"/>
        <v>10755022.062260272</v>
      </c>
      <c r="L5" s="9">
        <f t="shared" si="3"/>
        <v>12564045.990521751</v>
      </c>
      <c r="M5" s="9">
        <f t="shared" si="3"/>
        <v>14437670.326659547</v>
      </c>
      <c r="N5" s="9">
        <f t="shared" si="3"/>
        <v>16377693.205489915</v>
      </c>
      <c r="O5" s="9">
        <f t="shared" si="3"/>
        <v>18385957.727041408</v>
      </c>
      <c r="P5" s="9">
        <f t="shared" si="3"/>
        <v>20464353.015785333</v>
      </c>
      <c r="Q5" s="9">
        <f t="shared" si="3"/>
        <v>22614815.303887945</v>
      </c>
      <c r="R5" s="9">
        <f t="shared" si="3"/>
        <v>24839329.039015435</v>
      </c>
      <c r="S5" s="9">
        <f t="shared" si="3"/>
        <v>27139928.017233565</v>
      </c>
      <c r="T5" s="9">
        <f t="shared" si="3"/>
        <v>29518696.541556112</v>
      </c>
      <c r="U5" s="9">
        <f t="shared" si="3"/>
        <v>31977770.606708013</v>
      </c>
      <c r="V5" s="9">
        <f t="shared" si="3"/>
        <v>34519339.110681556</v>
      </c>
      <c r="W5" s="9">
        <f t="shared" si="3"/>
        <v>37145645.093676008</v>
      </c>
      <c r="X5" s="9">
        <f t="shared" si="3"/>
        <v>39858987.005024686</v>
      </c>
      <c r="Y5" s="9">
        <f t="shared" si="3"/>
        <v>42661719.998725504</v>
      </c>
      <c r="Z5" s="9">
        <f t="shared" si="3"/>
        <v>45556257.258205459</v>
      </c>
      <c r="AA5" s="9">
        <f t="shared" si="3"/>
        <v>48545071.350962117</v>
      </c>
      <c r="AB5" s="9">
        <f t="shared" si="3"/>
        <v>51630695.613739811</v>
      </c>
      <c r="AC5" s="9">
        <f t="shared" si="3"/>
        <v>54815725.568912297</v>
      </c>
      <c r="AD5" s="9">
        <f t="shared" si="3"/>
        <v>58102820.372757487</v>
      </c>
      <c r="AE5" s="9">
        <f t="shared" si="3"/>
        <v>61494704.296325803</v>
      </c>
      <c r="AF5" s="9">
        <f t="shared" si="3"/>
        <v>64994168.23961857</v>
      </c>
      <c r="AG5" s="9">
        <f t="shared" si="3"/>
        <v>68604071.279806703</v>
      </c>
      <c r="AH5" s="9">
        <f t="shared" si="3"/>
        <v>72327342.254238456</v>
      </c>
      <c r="AI5" s="9">
        <f t="shared" si="3"/>
        <v>76166981.378999114</v>
      </c>
      <c r="AJ5" s="9">
        <f t="shared" si="3"/>
        <v>80126061.903802618</v>
      </c>
      <c r="AK5" s="9">
        <f t="shared" si="3"/>
        <v>84207731.804011524</v>
      </c>
      <c r="AL5" s="9">
        <f t="shared" si="3"/>
        <v>88415215.510600552</v>
      </c>
      <c r="AM5" s="9">
        <f t="shared" si="3"/>
        <v>92751815.678893521</v>
      </c>
      <c r="AN5" s="9">
        <f t="shared" si="3"/>
        <v>97220914.996923953</v>
      </c>
      <c r="AO5" s="9">
        <f t="shared" si="3"/>
        <v>101825978.0342875</v>
      </c>
      <c r="AP5" s="9">
        <f t="shared" si="3"/>
        <v>106570553.13237131</v>
      </c>
      <c r="AQ5" s="9">
        <f t="shared" si="3"/>
        <v>111458274.33686727</v>
      </c>
    </row>
    <row r="6" spans="1:43" hidden="1" outlineLevel="4" collapsed="1">
      <c r="A6" s="2"/>
      <c r="B6" s="2"/>
      <c r="C6" s="2"/>
      <c r="D6" s="2"/>
      <c r="E6" s="2" t="s">
        <v>324</v>
      </c>
      <c r="F6" s="2"/>
      <c r="G6" s="2"/>
      <c r="H6" s="9">
        <f t="shared" ref="H6:AQ6" si="4">(((((H7*H12)*H13)*H14)*H15)*H16)</f>
        <v>160.51335957548241</v>
      </c>
      <c r="I6" s="9">
        <f t="shared" si="4"/>
        <v>205.79671807888334</v>
      </c>
      <c r="J6" s="9">
        <f t="shared" si="4"/>
        <v>252.52314662590396</v>
      </c>
      <c r="K6" s="9">
        <f t="shared" si="4"/>
        <v>300.72784791742691</v>
      </c>
      <c r="L6" s="9">
        <f t="shared" si="4"/>
        <v>350.4467925713771</v>
      </c>
      <c r="M6" s="9">
        <f t="shared" si="4"/>
        <v>401.71673487527056</v>
      </c>
      <c r="N6" s="9">
        <f t="shared" si="4"/>
        <v>454.57522884962327</v>
      </c>
      <c r="O6" s="9">
        <f t="shared" si="4"/>
        <v>509.06064462819165</v>
      </c>
      <c r="P6" s="9">
        <f t="shared" si="4"/>
        <v>565.21218516113368</v>
      </c>
      <c r="Q6" s="9">
        <f t="shared" si="4"/>
        <v>623.06990324728713</v>
      </c>
      <c r="R6" s="9">
        <f t="shared" si="4"/>
        <v>682.67471890189177</v>
      </c>
      <c r="S6" s="9">
        <f t="shared" si="4"/>
        <v>744.06843706618258</v>
      </c>
      <c r="T6" s="9">
        <f t="shared" si="4"/>
        <v>807.29376566542078</v>
      </c>
      <c r="U6" s="9">
        <f t="shared" si="4"/>
        <v>872.39433402203872</v>
      </c>
      <c r="V6" s="9">
        <f t="shared" si="4"/>
        <v>939.41471163071344</v>
      </c>
      <c r="W6" s="9">
        <f t="shared" si="4"/>
        <v>1008.4004273022929</v>
      </c>
      <c r="X6" s="9">
        <f t="shared" si="4"/>
        <v>1079.397988683658</v>
      </c>
      <c r="Y6" s="9">
        <f t="shared" si="4"/>
        <v>1152.4549021607002</v>
      </c>
      <c r="Z6" s="9">
        <f t="shared" si="4"/>
        <v>1227.6196931517686</v>
      </c>
      <c r="AA6" s="9">
        <f t="shared" si="4"/>
        <v>1304.9419267990445</v>
      </c>
      <c r="AB6" s="9">
        <f t="shared" si="4"/>
        <v>1384.4722290654624</v>
      </c>
      <c r="AC6" s="9">
        <f t="shared" si="4"/>
        <v>1466.2623082449377</v>
      </c>
      <c r="AD6" s="9">
        <f t="shared" si="4"/>
        <v>1550.3649768937896</v>
      </c>
      <c r="AE6" s="9">
        <f t="shared" si="4"/>
        <v>1636.8341741914207</v>
      </c>
      <c r="AF6" s="9">
        <f t="shared" si="4"/>
        <v>1725.7249887384635</v>
      </c>
      <c r="AG6" s="9">
        <f t="shared" si="4"/>
        <v>1817.0936818007167</v>
      </c>
      <c r="AH6" s="9">
        <f t="shared" si="4"/>
        <v>1910.997711007418</v>
      </c>
      <c r="AI6" s="9">
        <f t="shared" si="4"/>
        <v>2007.4957545125096</v>
      </c>
      <c r="AJ6" s="9">
        <f t="shared" si="4"/>
        <v>2106.6477356277283</v>
      </c>
      <c r="AK6" s="9">
        <f t="shared" si="4"/>
        <v>2208.5148479365212</v>
      </c>
      <c r="AL6" s="9">
        <f t="shared" si="4"/>
        <v>2313.1595808979741</v>
      </c>
      <c r="AM6" s="9">
        <f t="shared" si="4"/>
        <v>2420.6457459500621</v>
      </c>
      <c r="AN6" s="9">
        <f t="shared" si="4"/>
        <v>2531.038503121757</v>
      </c>
      <c r="AO6" s="9">
        <f t="shared" si="4"/>
        <v>2644.4043881636935</v>
      </c>
      <c r="AP6" s="9">
        <f t="shared" si="4"/>
        <v>2760.8113402072418</v>
      </c>
      <c r="AQ6" s="9">
        <f t="shared" si="4"/>
        <v>2880.3287299620847</v>
      </c>
    </row>
    <row r="7" spans="1:43" hidden="1" outlineLevel="5" collapsed="1">
      <c r="A7" s="2"/>
      <c r="B7" s="2"/>
      <c r="C7" s="2"/>
      <c r="D7" s="2"/>
      <c r="E7" s="2"/>
      <c r="F7" s="2" t="s">
        <v>325</v>
      </c>
      <c r="G7" s="2"/>
      <c r="H7" s="9">
        <f t="shared" ref="H7:AQ7" si="5">(((H8*H9)*H10)*H11)</f>
        <v>18227.958336</v>
      </c>
      <c r="I7" s="9">
        <f t="shared" si="5"/>
        <v>18268.739575357173</v>
      </c>
      <c r="J7" s="9">
        <f t="shared" si="5"/>
        <v>18309.612054196732</v>
      </c>
      <c r="K7" s="9">
        <f t="shared" si="5"/>
        <v>18350.575976647902</v>
      </c>
      <c r="L7" s="9">
        <f t="shared" si="5"/>
        <v>18391.631547296634</v>
      </c>
      <c r="M7" s="9">
        <f t="shared" si="5"/>
        <v>18432.778971186552</v>
      </c>
      <c r="N7" s="9">
        <f t="shared" si="5"/>
        <v>18474.018453820059</v>
      </c>
      <c r="O7" s="9">
        <f t="shared" si="5"/>
        <v>18515.350201159312</v>
      </c>
      <c r="P7" s="9">
        <f t="shared" si="5"/>
        <v>18556.774419627276</v>
      </c>
      <c r="Q7" s="9">
        <f t="shared" si="5"/>
        <v>18598.291316108724</v>
      </c>
      <c r="R7" s="9">
        <f t="shared" si="5"/>
        <v>18639.901097951308</v>
      </c>
      <c r="S7" s="9">
        <f t="shared" si="5"/>
        <v>18681.603972966564</v>
      </c>
      <c r="T7" s="9">
        <f t="shared" si="5"/>
        <v>18723.400149430981</v>
      </c>
      <c r="U7" s="9">
        <f t="shared" si="5"/>
        <v>18765.289836086999</v>
      </c>
      <c r="V7" s="9">
        <f t="shared" si="5"/>
        <v>18807.2732421441</v>
      </c>
      <c r="W7" s="9">
        <f t="shared" si="5"/>
        <v>18849.350577279809</v>
      </c>
      <c r="X7" s="9">
        <f t="shared" si="5"/>
        <v>18891.522051640775</v>
      </c>
      <c r="Y7" s="9">
        <f t="shared" si="5"/>
        <v>18933.787875843787</v>
      </c>
      <c r="Z7" s="9">
        <f t="shared" si="5"/>
        <v>18976.148260976868</v>
      </c>
      <c r="AA7" s="9">
        <f t="shared" si="5"/>
        <v>19018.603418600294</v>
      </c>
      <c r="AB7" s="9">
        <f t="shared" si="5"/>
        <v>19061.153560747651</v>
      </c>
      <c r="AC7" s="9">
        <f t="shared" si="5"/>
        <v>19103.798899926944</v>
      </c>
      <c r="AD7" s="9">
        <f t="shared" si="5"/>
        <v>19146.53964912158</v>
      </c>
      <c r="AE7" s="9">
        <f t="shared" si="5"/>
        <v>19189.376021791479</v>
      </c>
      <c r="AF7" s="9">
        <f t="shared" si="5"/>
        <v>19232.308231874158</v>
      </c>
      <c r="AG7" s="9">
        <f t="shared" si="5"/>
        <v>19275.336493785751</v>
      </c>
      <c r="AH7" s="9">
        <f t="shared" si="5"/>
        <v>19318.4610224221</v>
      </c>
      <c r="AI7" s="9">
        <f t="shared" si="5"/>
        <v>19361.682033159857</v>
      </c>
      <c r="AJ7" s="9">
        <f t="shared" si="5"/>
        <v>19404.999741857515</v>
      </c>
      <c r="AK7" s="9">
        <f t="shared" si="5"/>
        <v>19448.414364856493</v>
      </c>
      <c r="AL7" s="9">
        <f t="shared" si="5"/>
        <v>19491.92611898225</v>
      </c>
      <c r="AM7" s="9">
        <f t="shared" si="5"/>
        <v>19535.535221545357</v>
      </c>
      <c r="AN7" s="9">
        <f t="shared" si="5"/>
        <v>19579.241890342528</v>
      </c>
      <c r="AO7" s="9">
        <f t="shared" si="5"/>
        <v>19623.046343657803</v>
      </c>
      <c r="AP7" s="9">
        <f t="shared" si="5"/>
        <v>19666.948800263548</v>
      </c>
      <c r="AQ7" s="9">
        <f t="shared" si="5"/>
        <v>19710.949479421604</v>
      </c>
    </row>
    <row r="8" spans="1:43" hidden="1" outlineLevel="6">
      <c r="A8" s="2"/>
      <c r="B8" s="2"/>
      <c r="C8" s="2"/>
      <c r="D8" s="2"/>
      <c r="E8" s="2"/>
      <c r="F8" s="2"/>
      <c r="G8" s="2" t="s">
        <v>71</v>
      </c>
      <c r="H8" s="9">
        <f t="shared" ref="H8:AQ8" si="6">national_live_births_per_month*(1+national_live_births_per_month_growth)^((COLUMN()-8)/12)</f>
        <v>145833</v>
      </c>
      <c r="I8" s="9">
        <f t="shared" si="6"/>
        <v>146049.96530187438</v>
      </c>
      <c r="J8" s="9">
        <f t="shared" si="6"/>
        <v>146267.2533972332</v>
      </c>
      <c r="K8" s="9">
        <f t="shared" si="6"/>
        <v>146484.86476631745</v>
      </c>
      <c r="L8" s="9">
        <f t="shared" si="6"/>
        <v>146702.79989008268</v>
      </c>
      <c r="M8" s="9">
        <f t="shared" si="6"/>
        <v>146921.05925019985</v>
      </c>
      <c r="N8" s="9">
        <f t="shared" si="6"/>
        <v>147139.64332905665</v>
      </c>
      <c r="O8" s="9">
        <f t="shared" si="6"/>
        <v>147358.55260975836</v>
      </c>
      <c r="P8" s="9">
        <f t="shared" si="6"/>
        <v>147577.78757612914</v>
      </c>
      <c r="Q8" s="9">
        <f t="shared" si="6"/>
        <v>147797.34871271279</v>
      </c>
      <c r="R8" s="9">
        <f t="shared" si="6"/>
        <v>148017.23650477419</v>
      </c>
      <c r="S8" s="9">
        <f t="shared" si="6"/>
        <v>148237.45143829999</v>
      </c>
      <c r="T8" s="9">
        <f t="shared" si="6"/>
        <v>148457.99400000001</v>
      </c>
      <c r="U8" s="9">
        <f t="shared" si="6"/>
        <v>148678.8646773081</v>
      </c>
      <c r="V8" s="9">
        <f t="shared" si="6"/>
        <v>148900.0639583834</v>
      </c>
      <c r="W8" s="9">
        <f t="shared" si="6"/>
        <v>149121.59233211118</v>
      </c>
      <c r="X8" s="9">
        <f t="shared" si="6"/>
        <v>149343.45028810418</v>
      </c>
      <c r="Y8" s="9">
        <f t="shared" si="6"/>
        <v>149565.63831670344</v>
      </c>
      <c r="Z8" s="9">
        <f t="shared" si="6"/>
        <v>149788.15690897967</v>
      </c>
      <c r="AA8" s="9">
        <f t="shared" si="6"/>
        <v>150011.00655673404</v>
      </c>
      <c r="AB8" s="9">
        <f t="shared" si="6"/>
        <v>150234.18775249945</v>
      </c>
      <c r="AC8" s="9">
        <f t="shared" si="6"/>
        <v>150457.70098954163</v>
      </c>
      <c r="AD8" s="9">
        <f t="shared" si="6"/>
        <v>150681.54676186011</v>
      </c>
      <c r="AE8" s="9">
        <f t="shared" si="6"/>
        <v>150905.72556418937</v>
      </c>
      <c r="AF8" s="9">
        <f t="shared" si="6"/>
        <v>151130.237892</v>
      </c>
      <c r="AG8" s="9">
        <f t="shared" si="6"/>
        <v>151355.08424149966</v>
      </c>
      <c r="AH8" s="9">
        <f t="shared" si="6"/>
        <v>151580.26510963429</v>
      </c>
      <c r="AI8" s="9">
        <f t="shared" si="6"/>
        <v>151805.78099408917</v>
      </c>
      <c r="AJ8" s="9">
        <f t="shared" si="6"/>
        <v>152031.63239329006</v>
      </c>
      <c r="AK8" s="9">
        <f t="shared" si="6"/>
        <v>152257.81980640409</v>
      </c>
      <c r="AL8" s="9">
        <f t="shared" si="6"/>
        <v>152484.34373334129</v>
      </c>
      <c r="AM8" s="9">
        <f t="shared" si="6"/>
        <v>152711.20467475525</v>
      </c>
      <c r="AN8" s="9">
        <f t="shared" si="6"/>
        <v>152938.40313204445</v>
      </c>
      <c r="AO8" s="9">
        <f t="shared" si="6"/>
        <v>153165.93960735339</v>
      </c>
      <c r="AP8" s="9">
        <f t="shared" si="6"/>
        <v>153393.81460357361</v>
      </c>
      <c r="AQ8" s="9">
        <f t="shared" si="6"/>
        <v>153622.02862434482</v>
      </c>
    </row>
    <row r="9" spans="1:43" hidden="1" outlineLevel="6">
      <c r="A9" s="2"/>
      <c r="B9" s="2"/>
      <c r="C9" s="2"/>
      <c r="D9" s="2"/>
      <c r="E9" s="2"/>
      <c r="F9" s="2"/>
      <c r="G9" s="2" t="s">
        <v>326</v>
      </c>
      <c r="H9" s="9">
        <f t="shared" ref="H9:AQ9" si="7">central_regional_opportunity_weight*(1+central_regional_opportunity_weight_growth)^((COLUMN()-8)/12)</f>
        <v>0.28000000000000003</v>
      </c>
      <c r="I9" s="9">
        <f t="shared" si="7"/>
        <v>0.28000000000000003</v>
      </c>
      <c r="J9" s="9">
        <f t="shared" si="7"/>
        <v>0.28000000000000003</v>
      </c>
      <c r="K9" s="9">
        <f t="shared" si="7"/>
        <v>0.28000000000000003</v>
      </c>
      <c r="L9" s="9">
        <f t="shared" si="7"/>
        <v>0.28000000000000003</v>
      </c>
      <c r="M9" s="9">
        <f t="shared" si="7"/>
        <v>0.28000000000000003</v>
      </c>
      <c r="N9" s="9">
        <f t="shared" si="7"/>
        <v>0.28000000000000003</v>
      </c>
      <c r="O9" s="9">
        <f t="shared" si="7"/>
        <v>0.28000000000000003</v>
      </c>
      <c r="P9" s="9">
        <f t="shared" si="7"/>
        <v>0.28000000000000003</v>
      </c>
      <c r="Q9" s="9">
        <f t="shared" si="7"/>
        <v>0.28000000000000003</v>
      </c>
      <c r="R9" s="9">
        <f t="shared" si="7"/>
        <v>0.28000000000000003</v>
      </c>
      <c r="S9" s="9">
        <f t="shared" si="7"/>
        <v>0.28000000000000003</v>
      </c>
      <c r="T9" s="9">
        <f t="shared" si="7"/>
        <v>0.28000000000000003</v>
      </c>
      <c r="U9" s="9">
        <f t="shared" si="7"/>
        <v>0.28000000000000003</v>
      </c>
      <c r="V9" s="9">
        <f t="shared" si="7"/>
        <v>0.28000000000000003</v>
      </c>
      <c r="W9" s="9">
        <f t="shared" si="7"/>
        <v>0.28000000000000003</v>
      </c>
      <c r="X9" s="9">
        <f t="shared" si="7"/>
        <v>0.28000000000000003</v>
      </c>
      <c r="Y9" s="9">
        <f t="shared" si="7"/>
        <v>0.28000000000000003</v>
      </c>
      <c r="Z9" s="9">
        <f t="shared" si="7"/>
        <v>0.28000000000000003</v>
      </c>
      <c r="AA9" s="9">
        <f t="shared" si="7"/>
        <v>0.28000000000000003</v>
      </c>
      <c r="AB9" s="9">
        <f t="shared" si="7"/>
        <v>0.28000000000000003</v>
      </c>
      <c r="AC9" s="9">
        <f t="shared" si="7"/>
        <v>0.28000000000000003</v>
      </c>
      <c r="AD9" s="9">
        <f t="shared" si="7"/>
        <v>0.28000000000000003</v>
      </c>
      <c r="AE9" s="9">
        <f t="shared" si="7"/>
        <v>0.28000000000000003</v>
      </c>
      <c r="AF9" s="9">
        <f t="shared" si="7"/>
        <v>0.28000000000000003</v>
      </c>
      <c r="AG9" s="9">
        <f t="shared" si="7"/>
        <v>0.28000000000000003</v>
      </c>
      <c r="AH9" s="9">
        <f t="shared" si="7"/>
        <v>0.28000000000000003</v>
      </c>
      <c r="AI9" s="9">
        <f t="shared" si="7"/>
        <v>0.28000000000000003</v>
      </c>
      <c r="AJ9" s="9">
        <f t="shared" si="7"/>
        <v>0.28000000000000003</v>
      </c>
      <c r="AK9" s="9">
        <f t="shared" si="7"/>
        <v>0.28000000000000003</v>
      </c>
      <c r="AL9" s="9">
        <f t="shared" si="7"/>
        <v>0.28000000000000003</v>
      </c>
      <c r="AM9" s="9">
        <f t="shared" si="7"/>
        <v>0.28000000000000003</v>
      </c>
      <c r="AN9" s="9">
        <f t="shared" si="7"/>
        <v>0.28000000000000003</v>
      </c>
      <c r="AO9" s="9">
        <f t="shared" si="7"/>
        <v>0.28000000000000003</v>
      </c>
      <c r="AP9" s="9">
        <f t="shared" si="7"/>
        <v>0.28000000000000003</v>
      </c>
      <c r="AQ9" s="9">
        <f t="shared" si="7"/>
        <v>0.28000000000000003</v>
      </c>
    </row>
    <row r="10" spans="1:43" hidden="1" outlineLevel="6">
      <c r="A10" s="2"/>
      <c r="B10" s="2"/>
      <c r="C10" s="2"/>
      <c r="D10" s="2"/>
      <c r="E10" s="2"/>
      <c r="F10" s="2"/>
      <c r="G10" s="2" t="s">
        <v>327</v>
      </c>
      <c r="H10" s="9">
        <f t="shared" ref="H10:AQ10" si="8">central_anc_access_rate*(1+central_anc_access_rate_growth)^((COLUMN()-8)/12)</f>
        <v>0.72</v>
      </c>
      <c r="I10" s="9">
        <f t="shared" si="8"/>
        <v>0.72017975297333958</v>
      </c>
      <c r="J10" s="9">
        <f t="shared" si="8"/>
        <v>0.72035955082325087</v>
      </c>
      <c r="K10" s="9">
        <f t="shared" si="8"/>
        <v>0.72053939356093721</v>
      </c>
      <c r="L10" s="9">
        <f t="shared" si="8"/>
        <v>0.7207192811976052</v>
      </c>
      <c r="M10" s="9">
        <f t="shared" si="8"/>
        <v>0.7208992137444642</v>
      </c>
      <c r="N10" s="9">
        <f t="shared" si="8"/>
        <v>0.72107919121272657</v>
      </c>
      <c r="O10" s="9">
        <f t="shared" si="8"/>
        <v>0.7212592136136069</v>
      </c>
      <c r="P10" s="9">
        <f t="shared" si="8"/>
        <v>0.72143928095832321</v>
      </c>
      <c r="Q10" s="9">
        <f t="shared" si="8"/>
        <v>0.72161939325809599</v>
      </c>
      <c r="R10" s="9">
        <f t="shared" si="8"/>
        <v>0.72179955052414835</v>
      </c>
      <c r="S10" s="9">
        <f t="shared" si="8"/>
        <v>0.72197975276770676</v>
      </c>
      <c r="T10" s="9">
        <f t="shared" si="8"/>
        <v>0.72215999999999991</v>
      </c>
      <c r="U10" s="9">
        <f t="shared" si="8"/>
        <v>0.7223402922322596</v>
      </c>
      <c r="V10" s="9">
        <f t="shared" si="8"/>
        <v>0.72252062947572049</v>
      </c>
      <c r="W10" s="9">
        <f t="shared" si="8"/>
        <v>0.72270101174161983</v>
      </c>
      <c r="X10" s="9">
        <f t="shared" si="8"/>
        <v>0.72288143904119806</v>
      </c>
      <c r="Y10" s="9">
        <f t="shared" si="8"/>
        <v>0.72306191138569764</v>
      </c>
      <c r="Z10" s="9">
        <f t="shared" si="8"/>
        <v>0.7232424287863648</v>
      </c>
      <c r="AA10" s="9">
        <f t="shared" si="8"/>
        <v>0.72342299125444787</v>
      </c>
      <c r="AB10" s="9">
        <f t="shared" si="8"/>
        <v>0.72360359880119818</v>
      </c>
      <c r="AC10" s="9">
        <f t="shared" si="8"/>
        <v>0.72378425143787017</v>
      </c>
      <c r="AD10" s="9">
        <f t="shared" si="8"/>
        <v>0.72396494917572074</v>
      </c>
      <c r="AE10" s="9">
        <f t="shared" si="8"/>
        <v>0.72414569202600976</v>
      </c>
      <c r="AF10" s="9">
        <f t="shared" si="8"/>
        <v>0.72432647999999977</v>
      </c>
      <c r="AG10" s="9">
        <f t="shared" si="8"/>
        <v>0.72450731310895633</v>
      </c>
      <c r="AH10" s="9">
        <f t="shared" si="8"/>
        <v>0.72468819136414753</v>
      </c>
      <c r="AI10" s="9">
        <f t="shared" si="8"/>
        <v>0.72486911477684468</v>
      </c>
      <c r="AJ10" s="9">
        <f t="shared" si="8"/>
        <v>0.72505008335832144</v>
      </c>
      <c r="AK10" s="9">
        <f t="shared" si="8"/>
        <v>0.72523109711985467</v>
      </c>
      <c r="AL10" s="9">
        <f t="shared" si="8"/>
        <v>0.72541215607272369</v>
      </c>
      <c r="AM10" s="9">
        <f t="shared" si="8"/>
        <v>0.72559326022821102</v>
      </c>
      <c r="AN10" s="9">
        <f t="shared" si="8"/>
        <v>0.72577440959760164</v>
      </c>
      <c r="AO10" s="9">
        <f t="shared" si="8"/>
        <v>0.72595560419218375</v>
      </c>
      <c r="AP10" s="9">
        <f t="shared" si="8"/>
        <v>0.72613684402324785</v>
      </c>
      <c r="AQ10" s="9">
        <f t="shared" si="8"/>
        <v>0.72631812910208771</v>
      </c>
    </row>
    <row r="11" spans="1:43" hidden="1" outlineLevel="6">
      <c r="A11" s="2"/>
      <c r="B11" s="2"/>
      <c r="C11" s="2"/>
      <c r="D11" s="2"/>
      <c r="E11" s="2"/>
      <c r="F11" s="2"/>
      <c r="G11" s="2" t="s">
        <v>328</v>
      </c>
      <c r="H11" s="9">
        <f t="shared" ref="H11:AQ11" si="9">central_third_trimester_window_rate*(1+central_third_trimester_window_rate_growth)^((COLUMN()-8)/12)</f>
        <v>0.62</v>
      </c>
      <c r="I11" s="9">
        <f t="shared" si="9"/>
        <v>0.62030915075368642</v>
      </c>
      <c r="J11" s="9">
        <f t="shared" si="9"/>
        <v>0.62061845565928975</v>
      </c>
      <c r="K11" s="9">
        <f t="shared" si="9"/>
        <v>0.62092791479367482</v>
      </c>
      <c r="L11" s="9">
        <f t="shared" si="9"/>
        <v>0.6212375282337449</v>
      </c>
      <c r="M11" s="9">
        <f t="shared" si="9"/>
        <v>0.62154729605644121</v>
      </c>
      <c r="N11" s="9">
        <f t="shared" si="9"/>
        <v>0.62185721833874374</v>
      </c>
      <c r="O11" s="9">
        <f t="shared" si="9"/>
        <v>0.62216729515767077</v>
      </c>
      <c r="P11" s="9">
        <f t="shared" si="9"/>
        <v>0.62247752659027888</v>
      </c>
      <c r="Q11" s="9">
        <f t="shared" si="9"/>
        <v>0.62278791271366318</v>
      </c>
      <c r="R11" s="9">
        <f t="shared" si="9"/>
        <v>0.62309845360495697</v>
      </c>
      <c r="S11" s="9">
        <f t="shared" si="9"/>
        <v>0.6234091493413324</v>
      </c>
      <c r="T11" s="9">
        <f t="shared" si="9"/>
        <v>0.62372000000000005</v>
      </c>
      <c r="U11" s="9">
        <f t="shared" si="9"/>
        <v>0.62403100565820846</v>
      </c>
      <c r="V11" s="9">
        <f t="shared" si="9"/>
        <v>0.62434216639324547</v>
      </c>
      <c r="W11" s="9">
        <f t="shared" si="9"/>
        <v>0.62465348228243689</v>
      </c>
      <c r="X11" s="9">
        <f t="shared" si="9"/>
        <v>0.62496495340314728</v>
      </c>
      <c r="Y11" s="9">
        <f t="shared" si="9"/>
        <v>0.62527657983277984</v>
      </c>
      <c r="Z11" s="9">
        <f t="shared" si="9"/>
        <v>0.62558836164877618</v>
      </c>
      <c r="AA11" s="9">
        <f t="shared" si="9"/>
        <v>0.62590029892861676</v>
      </c>
      <c r="AB11" s="9">
        <f t="shared" si="9"/>
        <v>0.62621239174982046</v>
      </c>
      <c r="AC11" s="9">
        <f t="shared" si="9"/>
        <v>0.62652464018994514</v>
      </c>
      <c r="AD11" s="9">
        <f t="shared" si="9"/>
        <v>0.62683704432658682</v>
      </c>
      <c r="AE11" s="9">
        <f t="shared" si="9"/>
        <v>0.62714960423738042</v>
      </c>
      <c r="AF11" s="9">
        <f t="shared" si="9"/>
        <v>0.62746231999999991</v>
      </c>
      <c r="AG11" s="9">
        <f t="shared" si="9"/>
        <v>0.62777519169215779</v>
      </c>
      <c r="AH11" s="9">
        <f t="shared" si="9"/>
        <v>0.62808821939160497</v>
      </c>
      <c r="AI11" s="9">
        <f t="shared" si="9"/>
        <v>0.62840140317613147</v>
      </c>
      <c r="AJ11" s="9">
        <f t="shared" si="9"/>
        <v>0.62871474312356623</v>
      </c>
      <c r="AK11" s="9">
        <f t="shared" si="9"/>
        <v>0.62902823931177654</v>
      </c>
      <c r="AL11" s="9">
        <f t="shared" si="9"/>
        <v>0.62934189181866884</v>
      </c>
      <c r="AM11" s="9">
        <f t="shared" si="9"/>
        <v>0.62965570072218857</v>
      </c>
      <c r="AN11" s="9">
        <f t="shared" si="9"/>
        <v>0.62996966610031946</v>
      </c>
      <c r="AO11" s="9">
        <f t="shared" si="9"/>
        <v>0.63028378803108476</v>
      </c>
      <c r="AP11" s="9">
        <f t="shared" si="9"/>
        <v>0.63059806659254625</v>
      </c>
      <c r="AQ11" s="9">
        <f t="shared" si="9"/>
        <v>0.63091250186280468</v>
      </c>
    </row>
    <row r="12" spans="1:43" hidden="1" outlineLevel="5">
      <c r="A12" s="2"/>
      <c r="B12" s="2"/>
      <c r="C12" s="2"/>
      <c r="D12" s="2"/>
      <c r="E12" s="2"/>
      <c r="F12" s="2" t="s">
        <v>329</v>
      </c>
      <c r="G12" s="2"/>
      <c r="H12" s="9">
        <f t="shared" ref="H12:AQ12" si="10">central_public_eligibility_rate*(1+central_public_eligibility_rate_growth)^((COLUMN()-8)/12)</f>
        <v>0.28000000000000003</v>
      </c>
      <c r="I12" s="9">
        <f t="shared" si="10"/>
        <v>0.28180152843080097</v>
      </c>
      <c r="J12" s="9">
        <f t="shared" si="10"/>
        <v>0.28361464794976976</v>
      </c>
      <c r="K12" s="9">
        <f t="shared" si="10"/>
        <v>0.28543943313431663</v>
      </c>
      <c r="L12" s="9">
        <f t="shared" si="10"/>
        <v>0.28727595904168512</v>
      </c>
      <c r="M12" s="9">
        <f t="shared" si="10"/>
        <v>0.28912430121203947</v>
      </c>
      <c r="N12" s="9">
        <f t="shared" si="10"/>
        <v>0.29098453567157145</v>
      </c>
      <c r="O12" s="9">
        <f t="shared" si="10"/>
        <v>0.29285673893562769</v>
      </c>
      <c r="P12" s="9">
        <f t="shared" si="10"/>
        <v>0.294740988011857</v>
      </c>
      <c r="Q12" s="9">
        <f t="shared" si="10"/>
        <v>0.2966373604033774</v>
      </c>
      <c r="R12" s="9">
        <f t="shared" si="10"/>
        <v>0.29854593411196467</v>
      </c>
      <c r="S12" s="9">
        <f t="shared" si="10"/>
        <v>0.30046678764126017</v>
      </c>
      <c r="T12" s="9">
        <f t="shared" si="10"/>
        <v>0.30240000000000006</v>
      </c>
      <c r="U12" s="9">
        <f t="shared" si="10"/>
        <v>0.30434565070526509</v>
      </c>
      <c r="V12" s="9">
        <f t="shared" si="10"/>
        <v>0.30630381978575139</v>
      </c>
      <c r="W12" s="9">
        <f t="shared" si="10"/>
        <v>0.30827458778506195</v>
      </c>
      <c r="X12" s="9">
        <f t="shared" si="10"/>
        <v>0.31025803576501992</v>
      </c>
      <c r="Y12" s="9">
        <f t="shared" si="10"/>
        <v>0.31225424530900264</v>
      </c>
      <c r="Z12" s="9">
        <f t="shared" si="10"/>
        <v>0.31426329852529716</v>
      </c>
      <c r="AA12" s="9">
        <f t="shared" si="10"/>
        <v>0.3162852780504779</v>
      </c>
      <c r="AB12" s="9">
        <f t="shared" si="10"/>
        <v>0.31832026705280553</v>
      </c>
      <c r="AC12" s="9">
        <f t="shared" si="10"/>
        <v>0.32036834923564761</v>
      </c>
      <c r="AD12" s="9">
        <f t="shared" si="10"/>
        <v>0.32242960884092192</v>
      </c>
      <c r="AE12" s="9">
        <f t="shared" si="10"/>
        <v>0.32450413065256101</v>
      </c>
      <c r="AF12" s="9">
        <f t="shared" si="10"/>
        <v>0.32659200000000005</v>
      </c>
      <c r="AG12" s="9">
        <f t="shared" si="10"/>
        <v>0.32869330276168635</v>
      </c>
      <c r="AH12" s="9">
        <f t="shared" si="10"/>
        <v>0.33080812536861148</v>
      </c>
      <c r="AI12" s="9">
        <f t="shared" si="10"/>
        <v>0.33293655480786694</v>
      </c>
      <c r="AJ12" s="9">
        <f t="shared" si="10"/>
        <v>0.33507867862622159</v>
      </c>
      <c r="AK12" s="9">
        <f t="shared" si="10"/>
        <v>0.33723458493372288</v>
      </c>
      <c r="AL12" s="9">
        <f t="shared" si="10"/>
        <v>0.33940436240732097</v>
      </c>
      <c r="AM12" s="9">
        <f t="shared" si="10"/>
        <v>0.34158810029451614</v>
      </c>
      <c r="AN12" s="9">
        <f t="shared" si="10"/>
        <v>0.34378588841702995</v>
      </c>
      <c r="AO12" s="9">
        <f t="shared" si="10"/>
        <v>0.34599781717449946</v>
      </c>
      <c r="AP12" s="9">
        <f t="shared" si="10"/>
        <v>0.34822397754819567</v>
      </c>
      <c r="AQ12" s="9">
        <f t="shared" si="10"/>
        <v>0.35046446110476592</v>
      </c>
    </row>
    <row r="13" spans="1:43" hidden="1" outlineLevel="5">
      <c r="A13" s="2"/>
      <c r="B13" s="2"/>
      <c r="C13" s="2"/>
      <c r="D13" s="2"/>
      <c r="E13" s="2"/>
      <c r="F13" s="2" t="s">
        <v>330</v>
      </c>
      <c r="G13" s="2"/>
      <c r="H13" s="9">
        <f t="shared" ref="H13:AQ13" si="11">central_public_provider_recommendation_rate*(1+central_public_provider_recommendation_rate_growth)^((COLUMN()-8)/12)</f>
        <v>0.56000000000000005</v>
      </c>
      <c r="I13" s="9">
        <f t="shared" si="11"/>
        <v>0.56183329427803141</v>
      </c>
      <c r="J13" s="9">
        <f t="shared" si="11"/>
        <v>0.56367259028447325</v>
      </c>
      <c r="K13" s="9">
        <f t="shared" si="11"/>
        <v>0.5655179076674226</v>
      </c>
      <c r="L13" s="9">
        <f t="shared" si="11"/>
        <v>0.56736926613929928</v>
      </c>
      <c r="M13" s="9">
        <f t="shared" si="11"/>
        <v>0.56922668547705646</v>
      </c>
      <c r="N13" s="9">
        <f t="shared" si="11"/>
        <v>0.57109018552239199</v>
      </c>
      <c r="O13" s="9">
        <f t="shared" si="11"/>
        <v>0.57295978618195986</v>
      </c>
      <c r="P13" s="9">
        <f t="shared" si="11"/>
        <v>0.57483550742758394</v>
      </c>
      <c r="Q13" s="9">
        <f t="shared" si="11"/>
        <v>0.57671736929647011</v>
      </c>
      <c r="R13" s="9">
        <f t="shared" si="11"/>
        <v>0.57860539189142113</v>
      </c>
      <c r="S13" s="9">
        <f t="shared" si="11"/>
        <v>0.58049959538105078</v>
      </c>
      <c r="T13" s="9">
        <f t="shared" si="11"/>
        <v>0.58240000000000003</v>
      </c>
      <c r="U13" s="9">
        <f t="shared" si="11"/>
        <v>0.58430662604915273</v>
      </c>
      <c r="V13" s="9">
        <f t="shared" si="11"/>
        <v>0.58621949389585215</v>
      </c>
      <c r="W13" s="9">
        <f t="shared" si="11"/>
        <v>0.58813862397411953</v>
      </c>
      <c r="X13" s="9">
        <f t="shared" si="11"/>
        <v>0.59006403678487129</v>
      </c>
      <c r="Y13" s="9">
        <f t="shared" si="11"/>
        <v>0.59199575289613882</v>
      </c>
      <c r="Z13" s="9">
        <f t="shared" si="11"/>
        <v>0.59393379294328774</v>
      </c>
      <c r="AA13" s="9">
        <f t="shared" si="11"/>
        <v>0.59587817762923834</v>
      </c>
      <c r="AB13" s="9">
        <f t="shared" si="11"/>
        <v>0.59782892772468732</v>
      </c>
      <c r="AC13" s="9">
        <f t="shared" si="11"/>
        <v>0.59978606406832891</v>
      </c>
      <c r="AD13" s="9">
        <f t="shared" si="11"/>
        <v>0.60174960756707796</v>
      </c>
      <c r="AE13" s="9">
        <f t="shared" si="11"/>
        <v>0.60371957919629282</v>
      </c>
      <c r="AF13" s="9">
        <f t="shared" si="11"/>
        <v>0.60569600000000012</v>
      </c>
      <c r="AG13" s="9">
        <f t="shared" si="11"/>
        <v>0.60767889109111883</v>
      </c>
      <c r="AH13" s="9">
        <f t="shared" si="11"/>
        <v>0.6096682736516863</v>
      </c>
      <c r="AI13" s="9">
        <f t="shared" si="11"/>
        <v>0.6116641689330844</v>
      </c>
      <c r="AJ13" s="9">
        <f t="shared" si="11"/>
        <v>0.61366659825626624</v>
      </c>
      <c r="AK13" s="9">
        <f t="shared" si="11"/>
        <v>0.61567558301198444</v>
      </c>
      <c r="AL13" s="9">
        <f t="shared" si="11"/>
        <v>0.61769114466101926</v>
      </c>
      <c r="AM13" s="9">
        <f t="shared" si="11"/>
        <v>0.61971330473440789</v>
      </c>
      <c r="AN13" s="9">
        <f t="shared" si="11"/>
        <v>0.62174208483367488</v>
      </c>
      <c r="AO13" s="9">
        <f t="shared" si="11"/>
        <v>0.62377750663106213</v>
      </c>
      <c r="AP13" s="9">
        <f t="shared" si="11"/>
        <v>0.62581959186976099</v>
      </c>
      <c r="AQ13" s="9">
        <f t="shared" si="11"/>
        <v>0.62786836236414467</v>
      </c>
    </row>
    <row r="14" spans="1:43" hidden="1" outlineLevel="5">
      <c r="A14" s="2"/>
      <c r="B14" s="2"/>
      <c r="C14" s="2"/>
      <c r="D14" s="2"/>
      <c r="E14" s="2"/>
      <c r="F14" s="2" t="s">
        <v>331</v>
      </c>
      <c r="G14" s="2"/>
      <c r="H14" s="9">
        <f t="shared" ref="H14:AQ14" si="12">central_public_acceptance_rate*(1+central_public_acceptance_rate_growth)^((COLUMN()-8)/12)</f>
        <v>0.78</v>
      </c>
      <c r="I14" s="9">
        <f t="shared" si="12"/>
        <v>0.7812882334154978</v>
      </c>
      <c r="J14" s="9">
        <f t="shared" si="12"/>
        <v>0.78257859445321709</v>
      </c>
      <c r="K14" s="9">
        <f t="shared" si="12"/>
        <v>0.78387108662709903</v>
      </c>
      <c r="L14" s="9">
        <f t="shared" si="12"/>
        <v>0.78516571345688813</v>
      </c>
      <c r="M14" s="9">
        <f t="shared" si="12"/>
        <v>0.78646247846814232</v>
      </c>
      <c r="N14" s="9">
        <f t="shared" si="12"/>
        <v>0.78776138519224215</v>
      </c>
      <c r="O14" s="9">
        <f t="shared" si="12"/>
        <v>0.78906243716640045</v>
      </c>
      <c r="P14" s="9">
        <f t="shared" si="12"/>
        <v>0.79036563793367198</v>
      </c>
      <c r="Q14" s="9">
        <f t="shared" si="12"/>
        <v>0.79167099104296346</v>
      </c>
      <c r="R14" s="9">
        <f t="shared" si="12"/>
        <v>0.79297850004904258</v>
      </c>
      <c r="S14" s="9">
        <f t="shared" si="12"/>
        <v>0.79428816851254835</v>
      </c>
      <c r="T14" s="9">
        <f t="shared" si="12"/>
        <v>0.79560000000000008</v>
      </c>
      <c r="U14" s="9">
        <f t="shared" si="12"/>
        <v>0.79691399808380781</v>
      </c>
      <c r="V14" s="9">
        <f t="shared" si="12"/>
        <v>0.79823016634228139</v>
      </c>
      <c r="W14" s="9">
        <f t="shared" si="12"/>
        <v>0.79954850835964097</v>
      </c>
      <c r="X14" s="9">
        <f t="shared" si="12"/>
        <v>0.80086902772602597</v>
      </c>
      <c r="Y14" s="9">
        <f t="shared" si="12"/>
        <v>0.80219172803750527</v>
      </c>
      <c r="Z14" s="9">
        <f t="shared" si="12"/>
        <v>0.803516612896087</v>
      </c>
      <c r="AA14" s="9">
        <f t="shared" si="12"/>
        <v>0.80484368590972843</v>
      </c>
      <c r="AB14" s="9">
        <f t="shared" si="12"/>
        <v>0.8061729506923454</v>
      </c>
      <c r="AC14" s="9">
        <f t="shared" si="12"/>
        <v>0.80750441086382274</v>
      </c>
      <c r="AD14" s="9">
        <f t="shared" si="12"/>
        <v>0.80883807005002351</v>
      </c>
      <c r="AE14" s="9">
        <f t="shared" si="12"/>
        <v>0.81017393188279929</v>
      </c>
      <c r="AF14" s="9">
        <f t="shared" si="12"/>
        <v>0.81151200000000001</v>
      </c>
      <c r="AG14" s="9">
        <f t="shared" si="12"/>
        <v>0.81285227804548388</v>
      </c>
      <c r="AH14" s="9">
        <f t="shared" si="12"/>
        <v>0.81419476966912696</v>
      </c>
      <c r="AI14" s="9">
        <f t="shared" si="12"/>
        <v>0.81553947852683373</v>
      </c>
      <c r="AJ14" s="9">
        <f t="shared" si="12"/>
        <v>0.81688640828054637</v>
      </c>
      <c r="AK14" s="9">
        <f t="shared" si="12"/>
        <v>0.81823556259825536</v>
      </c>
      <c r="AL14" s="9">
        <f t="shared" si="12"/>
        <v>0.81958694515400865</v>
      </c>
      <c r="AM14" s="9">
        <f t="shared" si="12"/>
        <v>0.82094055962792301</v>
      </c>
      <c r="AN14" s="9">
        <f t="shared" si="12"/>
        <v>0.82229640970619233</v>
      </c>
      <c r="AO14" s="9">
        <f t="shared" si="12"/>
        <v>0.82365449908109911</v>
      </c>
      <c r="AP14" s="9">
        <f t="shared" si="12"/>
        <v>0.82501483145102394</v>
      </c>
      <c r="AQ14" s="9">
        <f t="shared" si="12"/>
        <v>0.82637741052045521</v>
      </c>
    </row>
    <row r="15" spans="1:43" hidden="1" outlineLevel="5">
      <c r="A15" s="2"/>
      <c r="B15" s="2"/>
      <c r="C15" s="2"/>
      <c r="D15" s="2"/>
      <c r="E15" s="2"/>
      <c r="F15" s="2" t="s">
        <v>332</v>
      </c>
      <c r="G15" s="2"/>
      <c r="H15" s="9">
        <f t="shared" ref="H15:AQ15" si="13">central_public_stock_availability_rate*(1+central_public_stock_availability_rate_growth)^((COLUMN()-8)/12)</f>
        <v>0.9</v>
      </c>
      <c r="I15" s="9">
        <f t="shared" si="13"/>
        <v>0.90111733894480439</v>
      </c>
      <c r="J15" s="9">
        <f t="shared" si="13"/>
        <v>0.9022360650521839</v>
      </c>
      <c r="K15" s="9">
        <f t="shared" si="13"/>
        <v>0.90335618004428375</v>
      </c>
      <c r="L15" s="9">
        <f t="shared" si="13"/>
        <v>0.90447768564538722</v>
      </c>
      <c r="M15" s="9">
        <f t="shared" si="13"/>
        <v>0.90560058358191853</v>
      </c>
      <c r="N15" s="9">
        <f t="shared" si="13"/>
        <v>0.90672487558244486</v>
      </c>
      <c r="O15" s="9">
        <f t="shared" si="13"/>
        <v>0.90785056337767944</v>
      </c>
      <c r="P15" s="9">
        <f t="shared" si="13"/>
        <v>0.90897764870048436</v>
      </c>
      <c r="Q15" s="9">
        <f t="shared" si="13"/>
        <v>0.91010613328587298</v>
      </c>
      <c r="R15" s="9">
        <f t="shared" si="13"/>
        <v>0.91123601887101269</v>
      </c>
      <c r="S15" s="9">
        <f t="shared" si="13"/>
        <v>0.91236730719522718</v>
      </c>
      <c r="T15" s="9">
        <f t="shared" si="13"/>
        <v>0.91349999999999998</v>
      </c>
      <c r="U15" s="9">
        <f t="shared" si="13"/>
        <v>0.91463409902897641</v>
      </c>
      <c r="V15" s="9">
        <f t="shared" si="13"/>
        <v>0.91576960602796664</v>
      </c>
      <c r="W15" s="9">
        <f t="shared" si="13"/>
        <v>0.91690652274494777</v>
      </c>
      <c r="X15" s="9">
        <f t="shared" si="13"/>
        <v>0.91804485093006793</v>
      </c>
      <c r="Y15" s="9">
        <f t="shared" si="13"/>
        <v>0.91918459233564709</v>
      </c>
      <c r="Z15" s="9">
        <f t="shared" si="13"/>
        <v>0.92032574871618134</v>
      </c>
      <c r="AA15" s="9">
        <f t="shared" si="13"/>
        <v>0.92146832182834459</v>
      </c>
      <c r="AB15" s="9">
        <f t="shared" si="13"/>
        <v>0.92261231343099159</v>
      </c>
      <c r="AC15" s="9">
        <f t="shared" si="13"/>
        <v>0.92375772528516087</v>
      </c>
      <c r="AD15" s="9">
        <f t="shared" si="13"/>
        <v>0.92490455915407777</v>
      </c>
      <c r="AE15" s="9">
        <f t="shared" si="13"/>
        <v>0.92605281680315554</v>
      </c>
      <c r="AF15" s="9">
        <f t="shared" si="13"/>
        <v>0.92720249999999982</v>
      </c>
      <c r="AG15" s="9">
        <f t="shared" si="13"/>
        <v>0.9283536105144109</v>
      </c>
      <c r="AH15" s="9">
        <f t="shared" si="13"/>
        <v>0.929506150118386</v>
      </c>
      <c r="AI15" s="9">
        <f t="shared" si="13"/>
        <v>0.93066012058612191</v>
      </c>
      <c r="AJ15" s="9">
        <f t="shared" si="13"/>
        <v>0.93181552369401899</v>
      </c>
      <c r="AK15" s="9">
        <f t="shared" si="13"/>
        <v>0.93297236122068172</v>
      </c>
      <c r="AL15" s="9">
        <f t="shared" si="13"/>
        <v>0.93413063494692405</v>
      </c>
      <c r="AM15" s="9">
        <f t="shared" si="13"/>
        <v>0.93529034665576949</v>
      </c>
      <c r="AN15" s="9">
        <f t="shared" si="13"/>
        <v>0.93645149813245632</v>
      </c>
      <c r="AO15" s="9">
        <f t="shared" si="13"/>
        <v>0.93761409116443839</v>
      </c>
      <c r="AP15" s="9">
        <f t="shared" si="13"/>
        <v>0.93877812754138867</v>
      </c>
      <c r="AQ15" s="9">
        <f t="shared" si="13"/>
        <v>0.9399436090552028</v>
      </c>
    </row>
    <row r="16" spans="1:43" hidden="1" outlineLevel="5" collapsed="1">
      <c r="A16" s="2"/>
      <c r="B16" s="2"/>
      <c r="C16" s="2"/>
      <c r="D16" s="2"/>
      <c r="E16" s="2"/>
      <c r="F16" s="2" t="s">
        <v>333</v>
      </c>
      <c r="G16" s="2"/>
      <c r="H16" s="9">
        <f>0.08</f>
        <v>0.08</v>
      </c>
      <c r="I16" s="9">
        <f t="shared" ref="I16:AQ16" si="14">H16+I17-I18</f>
        <v>0.10106165674430759</v>
      </c>
      <c r="J16" s="9">
        <f t="shared" si="14"/>
        <v>0.12218512229508752</v>
      </c>
      <c r="K16" s="9">
        <f t="shared" si="14"/>
        <v>0.14337054908953084</v>
      </c>
      <c r="L16" s="9">
        <f t="shared" si="14"/>
        <v>0.16461808994077987</v>
      </c>
      <c r="M16" s="9">
        <f t="shared" si="14"/>
        <v>0.18592789803885532</v>
      </c>
      <c r="N16" s="9">
        <f t="shared" si="14"/>
        <v>0.20730012695158587</v>
      </c>
      <c r="O16" s="9">
        <f t="shared" si="14"/>
        <v>0.22873493062553985</v>
      </c>
      <c r="P16" s="9">
        <f t="shared" si="14"/>
        <v>0.25023246338695937</v>
      </c>
      <c r="Q16" s="9">
        <f t="shared" si="14"/>
        <v>0.27179287994269669</v>
      </c>
      <c r="R16" s="9">
        <f t="shared" si="14"/>
        <v>0.29341633538115292</v>
      </c>
      <c r="S16" s="9">
        <f t="shared" si="14"/>
        <v>0.315102985173219</v>
      </c>
      <c r="T16" s="9">
        <f t="shared" si="14"/>
        <v>0.33685298517321899</v>
      </c>
      <c r="U16" s="9">
        <f t="shared" si="14"/>
        <v>0.35866649161985581</v>
      </c>
      <c r="V16" s="9">
        <f t="shared" si="14"/>
        <v>0.38054366113715915</v>
      </c>
      <c r="W16" s="9">
        <f t="shared" si="14"/>
        <v>0.40248465073543577</v>
      </c>
      <c r="X16" s="9">
        <f t="shared" si="14"/>
        <v>0.42448961781222228</v>
      </c>
      <c r="Y16" s="9">
        <f t="shared" si="14"/>
        <v>0.44655872015324</v>
      </c>
      <c r="Z16" s="9">
        <f t="shared" si="14"/>
        <v>0.46869211593335247</v>
      </c>
      <c r="AA16" s="9">
        <f t="shared" si="14"/>
        <v>0.49088996371752508</v>
      </c>
      <c r="AB16" s="9">
        <f t="shared" si="14"/>
        <v>0.51315242246178716</v>
      </c>
      <c r="AC16" s="9">
        <f t="shared" si="14"/>
        <v>0.53547965151419663</v>
      </c>
      <c r="AD16" s="9">
        <f t="shared" si="14"/>
        <v>0.5578718106158066</v>
      </c>
      <c r="AE16" s="9">
        <f t="shared" si="14"/>
        <v>0.58032905990163464</v>
      </c>
      <c r="AF16" s="9">
        <f t="shared" si="14"/>
        <v>0.60285155990163464</v>
      </c>
      <c r="AG16" s="9">
        <f t="shared" si="14"/>
        <v>0.62543947154167057</v>
      </c>
      <c r="AH16" s="9">
        <f t="shared" si="14"/>
        <v>0.64809295614449303</v>
      </c>
      <c r="AI16" s="9">
        <f t="shared" si="14"/>
        <v>0.67081217543071792</v>
      </c>
      <c r="AJ16" s="9">
        <f t="shared" si="14"/>
        <v>0.69359729151980798</v>
      </c>
      <c r="AK16" s="9">
        <f t="shared" si="14"/>
        <v>0.71644846693105624</v>
      </c>
      <c r="AL16" s="9">
        <f t="shared" si="14"/>
        <v>0.7393658645845721</v>
      </c>
      <c r="AM16" s="9">
        <f t="shared" si="14"/>
        <v>0.76234964780226988</v>
      </c>
      <c r="AN16" s="9">
        <f t="shared" si="14"/>
        <v>0.78539998030885982</v>
      </c>
      <c r="AO16" s="9">
        <f t="shared" si="14"/>
        <v>0.80851702623284161</v>
      </c>
      <c r="AP16" s="9">
        <f t="shared" si="14"/>
        <v>0.83170095010749989</v>
      </c>
      <c r="AQ16" s="9">
        <f t="shared" si="14"/>
        <v>0.85495191687190275</v>
      </c>
    </row>
    <row r="17" spans="1:43" hidden="1" outlineLevel="6">
      <c r="A17" s="2"/>
      <c r="B17" s="2"/>
      <c r="C17" s="2"/>
      <c r="D17" s="2"/>
      <c r="E17" s="2"/>
      <c r="F17" s="2"/>
      <c r="G17" s="2" t="s">
        <v>93</v>
      </c>
      <c r="H17" s="9">
        <f t="shared" ref="H17:AQ17" si="15">central_public_coverage_additions*(1+central_public_coverage_additions_growth)^((COLUMN()-8)/12)</f>
        <v>2.5000000000000001E-2</v>
      </c>
      <c r="I17" s="9">
        <f t="shared" si="15"/>
        <v>2.5061656744307593E-2</v>
      </c>
      <c r="J17" s="9">
        <f t="shared" si="15"/>
        <v>2.5123465550779923E-2</v>
      </c>
      <c r="K17" s="9">
        <f t="shared" si="15"/>
        <v>2.5185426794443324E-2</v>
      </c>
      <c r="L17" s="9">
        <f t="shared" si="15"/>
        <v>2.5247540851249025E-2</v>
      </c>
      <c r="M17" s="9">
        <f t="shared" si="15"/>
        <v>2.5309808098075461E-2</v>
      </c>
      <c r="N17" s="9">
        <f t="shared" si="15"/>
        <v>2.5372228912730551E-2</v>
      </c>
      <c r="O17" s="9">
        <f t="shared" si="15"/>
        <v>2.5434803673953982E-2</v>
      </c>
      <c r="P17" s="9">
        <f t="shared" si="15"/>
        <v>2.5497532761419535E-2</v>
      </c>
      <c r="Q17" s="9">
        <f t="shared" si="15"/>
        <v>2.5560416555737344E-2</v>
      </c>
      <c r="R17" s="9">
        <f t="shared" si="15"/>
        <v>2.5623455438456247E-2</v>
      </c>
      <c r="S17" s="9">
        <f t="shared" si="15"/>
        <v>2.5686649792066082E-2</v>
      </c>
      <c r="T17" s="9">
        <f t="shared" si="15"/>
        <v>2.5750000000000002E-2</v>
      </c>
      <c r="U17" s="9">
        <f t="shared" si="15"/>
        <v>2.5813506446636821E-2</v>
      </c>
      <c r="V17" s="9">
        <f t="shared" si="15"/>
        <v>2.5877169517303324E-2</v>
      </c>
      <c r="W17" s="9">
        <f t="shared" si="15"/>
        <v>2.5940989598276627E-2</v>
      </c>
      <c r="X17" s="9">
        <f t="shared" si="15"/>
        <v>2.6004967076786498E-2</v>
      </c>
      <c r="Y17" s="9">
        <f t="shared" si="15"/>
        <v>2.6069102341017725E-2</v>
      </c>
      <c r="Z17" s="9">
        <f t="shared" si="15"/>
        <v>2.6133395780112468E-2</v>
      </c>
      <c r="AA17" s="9">
        <f t="shared" si="15"/>
        <v>2.6197847784172609E-2</v>
      </c>
      <c r="AB17" s="9">
        <f t="shared" si="15"/>
        <v>2.626245874426212E-2</v>
      </c>
      <c r="AC17" s="9">
        <f t="shared" si="15"/>
        <v>2.6327229052409463E-2</v>
      </c>
      <c r="AD17" s="9">
        <f t="shared" si="15"/>
        <v>2.6392159101609938E-2</v>
      </c>
      <c r="AE17" s="9">
        <f t="shared" si="15"/>
        <v>2.6457249285828061E-2</v>
      </c>
      <c r="AF17" s="9">
        <f t="shared" si="15"/>
        <v>2.6522500000000001E-2</v>
      </c>
      <c r="AG17" s="9">
        <f t="shared" si="15"/>
        <v>2.6587911640035922E-2</v>
      </c>
      <c r="AH17" s="9">
        <f t="shared" si="15"/>
        <v>2.6653484602822426E-2</v>
      </c>
      <c r="AI17" s="9">
        <f t="shared" si="15"/>
        <v>2.6719219286224921E-2</v>
      </c>
      <c r="AJ17" s="9">
        <f t="shared" si="15"/>
        <v>2.6785116089090094E-2</v>
      </c>
      <c r="AK17" s="9">
        <f t="shared" si="15"/>
        <v>2.6851175411248259E-2</v>
      </c>
      <c r="AL17" s="9">
        <f t="shared" si="15"/>
        <v>2.6917397653515841E-2</v>
      </c>
      <c r="AM17" s="9">
        <f t="shared" si="15"/>
        <v>2.6983783217697784E-2</v>
      </c>
      <c r="AN17" s="9">
        <f t="shared" si="15"/>
        <v>2.7050332506589989E-2</v>
      </c>
      <c r="AO17" s="9">
        <f t="shared" si="15"/>
        <v>2.7117045923981748E-2</v>
      </c>
      <c r="AP17" s="9">
        <f t="shared" si="15"/>
        <v>2.7183923874658233E-2</v>
      </c>
      <c r="AQ17" s="9">
        <f t="shared" si="15"/>
        <v>2.7250966764402907E-2</v>
      </c>
    </row>
    <row r="18" spans="1:43" hidden="1" outlineLevel="6">
      <c r="A18" s="2"/>
      <c r="B18" s="2"/>
      <c r="C18" s="2"/>
      <c r="D18" s="2"/>
      <c r="E18" s="2"/>
      <c r="F18" s="2"/>
      <c r="G18" s="2" t="s">
        <v>334</v>
      </c>
      <c r="H18" s="9">
        <f t="shared" ref="H18:AQ18" si="16">central_public_coverage_churn*(1+central_public_coverage_churn_growth)^((COLUMN()-8)/12)</f>
        <v>4.0000000000000001E-3</v>
      </c>
      <c r="I18" s="9">
        <f t="shared" si="16"/>
        <v>4.0000000000000001E-3</v>
      </c>
      <c r="J18" s="9">
        <f t="shared" si="16"/>
        <v>4.0000000000000001E-3</v>
      </c>
      <c r="K18" s="9">
        <f t="shared" si="16"/>
        <v>4.0000000000000001E-3</v>
      </c>
      <c r="L18" s="9">
        <f t="shared" si="16"/>
        <v>4.0000000000000001E-3</v>
      </c>
      <c r="M18" s="9">
        <f t="shared" si="16"/>
        <v>4.0000000000000001E-3</v>
      </c>
      <c r="N18" s="9">
        <f t="shared" si="16"/>
        <v>4.0000000000000001E-3</v>
      </c>
      <c r="O18" s="9">
        <f t="shared" si="16"/>
        <v>4.0000000000000001E-3</v>
      </c>
      <c r="P18" s="9">
        <f t="shared" si="16"/>
        <v>4.0000000000000001E-3</v>
      </c>
      <c r="Q18" s="9">
        <f t="shared" si="16"/>
        <v>4.0000000000000001E-3</v>
      </c>
      <c r="R18" s="9">
        <f t="shared" si="16"/>
        <v>4.0000000000000001E-3</v>
      </c>
      <c r="S18" s="9">
        <f t="shared" si="16"/>
        <v>4.0000000000000001E-3</v>
      </c>
      <c r="T18" s="9">
        <f t="shared" si="16"/>
        <v>4.0000000000000001E-3</v>
      </c>
      <c r="U18" s="9">
        <f t="shared" si="16"/>
        <v>4.0000000000000001E-3</v>
      </c>
      <c r="V18" s="9">
        <f t="shared" si="16"/>
        <v>4.0000000000000001E-3</v>
      </c>
      <c r="W18" s="9">
        <f t="shared" si="16"/>
        <v>4.0000000000000001E-3</v>
      </c>
      <c r="X18" s="9">
        <f t="shared" si="16"/>
        <v>4.0000000000000001E-3</v>
      </c>
      <c r="Y18" s="9">
        <f t="shared" si="16"/>
        <v>4.0000000000000001E-3</v>
      </c>
      <c r="Z18" s="9">
        <f t="shared" si="16"/>
        <v>4.0000000000000001E-3</v>
      </c>
      <c r="AA18" s="9">
        <f t="shared" si="16"/>
        <v>4.0000000000000001E-3</v>
      </c>
      <c r="AB18" s="9">
        <f t="shared" si="16"/>
        <v>4.0000000000000001E-3</v>
      </c>
      <c r="AC18" s="9">
        <f t="shared" si="16"/>
        <v>4.0000000000000001E-3</v>
      </c>
      <c r="AD18" s="9">
        <f t="shared" si="16"/>
        <v>4.0000000000000001E-3</v>
      </c>
      <c r="AE18" s="9">
        <f t="shared" si="16"/>
        <v>4.0000000000000001E-3</v>
      </c>
      <c r="AF18" s="9">
        <f t="shared" si="16"/>
        <v>4.0000000000000001E-3</v>
      </c>
      <c r="AG18" s="9">
        <f t="shared" si="16"/>
        <v>4.0000000000000001E-3</v>
      </c>
      <c r="AH18" s="9">
        <f t="shared" si="16"/>
        <v>4.0000000000000001E-3</v>
      </c>
      <c r="AI18" s="9">
        <f t="shared" si="16"/>
        <v>4.0000000000000001E-3</v>
      </c>
      <c r="AJ18" s="9">
        <f t="shared" si="16"/>
        <v>4.0000000000000001E-3</v>
      </c>
      <c r="AK18" s="9">
        <f t="shared" si="16"/>
        <v>4.0000000000000001E-3</v>
      </c>
      <c r="AL18" s="9">
        <f t="shared" si="16"/>
        <v>4.0000000000000001E-3</v>
      </c>
      <c r="AM18" s="9">
        <f t="shared" si="16"/>
        <v>4.0000000000000001E-3</v>
      </c>
      <c r="AN18" s="9">
        <f t="shared" si="16"/>
        <v>4.0000000000000001E-3</v>
      </c>
      <c r="AO18" s="9">
        <f t="shared" si="16"/>
        <v>4.0000000000000001E-3</v>
      </c>
      <c r="AP18" s="9">
        <f t="shared" si="16"/>
        <v>4.0000000000000001E-3</v>
      </c>
      <c r="AQ18" s="9">
        <f t="shared" si="16"/>
        <v>4.0000000000000001E-3</v>
      </c>
    </row>
    <row r="19" spans="1:43" hidden="1" outlineLevel="4">
      <c r="A19" s="2"/>
      <c r="B19" s="2"/>
      <c r="C19" s="2"/>
      <c r="D19" s="2"/>
      <c r="E19" s="2" t="s">
        <v>335</v>
      </c>
      <c r="F19" s="2"/>
      <c r="G19" s="2"/>
      <c r="H19" s="9">
        <f t="shared" ref="H19:AQ19" si="17">central_public_net_price_per_dose*(1+central_public_net_price_per_dose_growth)^((COLUMN()-8)/12)</f>
        <v>35500</v>
      </c>
      <c r="I19" s="9">
        <f t="shared" si="17"/>
        <v>35587.55257691678</v>
      </c>
      <c r="J19" s="9">
        <f t="shared" si="17"/>
        <v>35675.32108210749</v>
      </c>
      <c r="K19" s="9">
        <f t="shared" si="17"/>
        <v>35763.306048109516</v>
      </c>
      <c r="L19" s="9">
        <f t="shared" si="17"/>
        <v>35851.508008773613</v>
      </c>
      <c r="M19" s="9">
        <f t="shared" si="17"/>
        <v>35939.927499267149</v>
      </c>
      <c r="N19" s="9">
        <f t="shared" si="17"/>
        <v>36028.565056077379</v>
      </c>
      <c r="O19" s="9">
        <f t="shared" si="17"/>
        <v>36117.421217014657</v>
      </c>
      <c r="P19" s="9">
        <f t="shared" si="17"/>
        <v>36206.49652121574</v>
      </c>
      <c r="Q19" s="9">
        <f t="shared" si="17"/>
        <v>36295.791509147028</v>
      </c>
      <c r="R19" s="9">
        <f t="shared" si="17"/>
        <v>36385.306722607864</v>
      </c>
      <c r="S19" s="9">
        <f t="shared" si="17"/>
        <v>36475.042704733831</v>
      </c>
      <c r="T19" s="9">
        <f t="shared" si="17"/>
        <v>36565</v>
      </c>
      <c r="U19" s="9">
        <f t="shared" si="17"/>
        <v>36655.179154224286</v>
      </c>
      <c r="V19" s="9">
        <f t="shared" si="17"/>
        <v>36745.580714570715</v>
      </c>
      <c r="W19" s="9">
        <f t="shared" si="17"/>
        <v>36836.205229552812</v>
      </c>
      <c r="X19" s="9">
        <f t="shared" si="17"/>
        <v>36927.05324903682</v>
      </c>
      <c r="Y19" s="9">
        <f t="shared" si="17"/>
        <v>37018.125324245171</v>
      </c>
      <c r="Z19" s="9">
        <f t="shared" si="17"/>
        <v>37109.422007759706</v>
      </c>
      <c r="AA19" s="9">
        <f t="shared" si="17"/>
        <v>37200.943853525103</v>
      </c>
      <c r="AB19" s="9">
        <f t="shared" si="17"/>
        <v>37292.691416852205</v>
      </c>
      <c r="AC19" s="9">
        <f t="shared" si="17"/>
        <v>37384.665254421438</v>
      </c>
      <c r="AD19" s="9">
        <f t="shared" si="17"/>
        <v>37476.86592428611</v>
      </c>
      <c r="AE19" s="9">
        <f t="shared" si="17"/>
        <v>37569.293985875847</v>
      </c>
      <c r="AF19" s="9">
        <f t="shared" si="17"/>
        <v>37661.949999999997</v>
      </c>
      <c r="AG19" s="9">
        <f t="shared" si="17"/>
        <v>37754.83452885101</v>
      </c>
      <c r="AH19" s="9">
        <f t="shared" si="17"/>
        <v>37847.948136007843</v>
      </c>
      <c r="AI19" s="9">
        <f t="shared" si="17"/>
        <v>37941.291386439385</v>
      </c>
      <c r="AJ19" s="9">
        <f t="shared" si="17"/>
        <v>38034.864846507931</v>
      </c>
      <c r="AK19" s="9">
        <f t="shared" si="17"/>
        <v>38128.669083972527</v>
      </c>
      <c r="AL19" s="9">
        <f t="shared" si="17"/>
        <v>38222.70466799249</v>
      </c>
      <c r="AM19" s="9">
        <f t="shared" si="17"/>
        <v>38316.972169130851</v>
      </c>
      <c r="AN19" s="9">
        <f t="shared" si="17"/>
        <v>38411.472159357778</v>
      </c>
      <c r="AO19" s="9">
        <f t="shared" si="17"/>
        <v>38506.205212054083</v>
      </c>
      <c r="AP19" s="9">
        <f t="shared" si="17"/>
        <v>38601.171902014692</v>
      </c>
      <c r="AQ19" s="9">
        <f t="shared" si="17"/>
        <v>38696.372805452127</v>
      </c>
    </row>
    <row r="20" spans="1:43" hidden="1" outlineLevel="3" collapsed="1">
      <c r="A20" s="2"/>
      <c r="B20" s="2"/>
      <c r="C20" s="2"/>
      <c r="D20" s="2" t="s">
        <v>336</v>
      </c>
      <c r="E20" s="2"/>
      <c r="F20" s="2"/>
      <c r="G20" s="2"/>
      <c r="H20" s="9">
        <f t="shared" ref="H20:AQ20" si="18">(H21*H34)</f>
        <v>2689358.3707211022</v>
      </c>
      <c r="I20" s="9">
        <f t="shared" si="18"/>
        <v>3216564.0235548792</v>
      </c>
      <c r="J20" s="9">
        <f t="shared" si="18"/>
        <v>3762870.7769939238</v>
      </c>
      <c r="K20" s="9">
        <f t="shared" si="18"/>
        <v>4328815.0087224999</v>
      </c>
      <c r="L20" s="9">
        <f t="shared" si="18"/>
        <v>4914946.6029056273</v>
      </c>
      <c r="M20" s="9">
        <f t="shared" si="18"/>
        <v>5521829.2702533752</v>
      </c>
      <c r="N20" s="9">
        <f t="shared" si="18"/>
        <v>6150040.8753820471</v>
      </c>
      <c r="O20" s="9">
        <f t="shared" si="18"/>
        <v>6800173.7716341848</v>
      </c>
      <c r="P20" s="9">
        <f t="shared" si="18"/>
        <v>7472835.1435229564</v>
      </c>
      <c r="Q20" s="9">
        <f t="shared" si="18"/>
        <v>8168647.3569699069</v>
      </c>
      <c r="R20" s="9">
        <f t="shared" si="18"/>
        <v>8888248.3175089806</v>
      </c>
      <c r="S20" s="9">
        <f t="shared" si="18"/>
        <v>9632291.8366332743</v>
      </c>
      <c r="T20" s="9">
        <f t="shared" si="18"/>
        <v>10401448.006464841</v>
      </c>
      <c r="U20" s="9">
        <f t="shared" si="18"/>
        <v>11196403.582932008</v>
      </c>
      <c r="V20" s="9">
        <f t="shared" si="18"/>
        <v>12017862.37764232</v>
      </c>
      <c r="W20" s="9">
        <f t="shared" si="18"/>
        <v>12866545.658643568</v>
      </c>
      <c r="X20" s="9">
        <f t="shared" si="18"/>
        <v>13743192.560269516</v>
      </c>
      <c r="Y20" s="9">
        <f t="shared" si="18"/>
        <v>14648560.502271056</v>
      </c>
      <c r="Z20" s="9">
        <f t="shared" si="18"/>
        <v>15583425.618438095</v>
      </c>
      <c r="AA20" s="9">
        <f t="shared" si="18"/>
        <v>16548583.194921665</v>
      </c>
      <c r="AB20" s="9">
        <f t="shared" si="18"/>
        <v>17544848.118470665</v>
      </c>
      <c r="AC20" s="9">
        <f t="shared" si="18"/>
        <v>18573055.334801774</v>
      </c>
      <c r="AD20" s="9">
        <f t="shared" si="18"/>
        <v>19634060.317326427</v>
      </c>
      <c r="AE20" s="9">
        <f t="shared" si="18"/>
        <v>20728739.546462946</v>
      </c>
      <c r="AF20" s="9">
        <f t="shared" si="18"/>
        <v>21857990.999767575</v>
      </c>
      <c r="AG20" s="9">
        <f t="shared" si="18"/>
        <v>23022734.653122492</v>
      </c>
      <c r="AH20" s="9">
        <f t="shared" si="18"/>
        <v>24223912.993224502</v>
      </c>
      <c r="AI20" s="9">
        <f t="shared" si="18"/>
        <v>25462491.541623391</v>
      </c>
      <c r="AJ20" s="9">
        <f t="shared" si="18"/>
        <v>26739459.390564118</v>
      </c>
      <c r="AK20" s="9">
        <f t="shared" si="18"/>
        <v>28055829.750892289</v>
      </c>
      <c r="AL20" s="9">
        <f t="shared" si="18"/>
        <v>29412640.512288906</v>
      </c>
      <c r="AM20" s="9">
        <f t="shared" si="18"/>
        <v>30810954.816104911</v>
      </c>
      <c r="AN20" s="9">
        <f t="shared" si="18"/>
        <v>32251861.641072653</v>
      </c>
      <c r="AO20" s="9">
        <f t="shared" si="18"/>
        <v>33736476.402177393</v>
      </c>
      <c r="AP20" s="9">
        <f t="shared" si="18"/>
        <v>35265941.562977687</v>
      </c>
      <c r="AQ20" s="9">
        <f t="shared" si="18"/>
        <v>36841427.261670023</v>
      </c>
    </row>
    <row r="21" spans="1:43" hidden="1" outlineLevel="4" collapsed="1">
      <c r="A21" s="2"/>
      <c r="B21" s="2"/>
      <c r="C21" s="2"/>
      <c r="D21" s="2"/>
      <c r="E21" s="2" t="s">
        <v>337</v>
      </c>
      <c r="F21" s="2"/>
      <c r="G21" s="2"/>
      <c r="H21" s="9">
        <f t="shared" ref="H21:AQ21" si="19">(((((H22*H27)*H28)*H29)*H30)*H31)</f>
        <v>77.952416542640648</v>
      </c>
      <c r="I21" s="9">
        <f t="shared" si="19"/>
        <v>93.004365956733551</v>
      </c>
      <c r="J21" s="9">
        <f t="shared" si="19"/>
        <v>108.53271611084627</v>
      </c>
      <c r="K21" s="9">
        <f t="shared" si="19"/>
        <v>124.54910912134501</v>
      </c>
      <c r="L21" s="9">
        <f t="shared" si="19"/>
        <v>141.06544199039129</v>
      </c>
      <c r="M21" s="9">
        <f t="shared" si="19"/>
        <v>158.09387185590228</v>
      </c>
      <c r="N21" s="9">
        <f t="shared" si="19"/>
        <v>175.64682134553883</v>
      </c>
      <c r="O21" s="9">
        <f t="shared" si="19"/>
        <v>193.73698403672688</v>
      </c>
      <c r="P21" s="9">
        <f t="shared" si="19"/>
        <v>212.37733002475892</v>
      </c>
      <c r="Q21" s="9">
        <f t="shared" si="19"/>
        <v>231.58111160105645</v>
      </c>
      <c r="R21" s="9">
        <f t="shared" si="19"/>
        <v>251.36186904371974</v>
      </c>
      <c r="S21" s="9">
        <f t="shared" si="19"/>
        <v>271.73343652252623</v>
      </c>
      <c r="T21" s="9">
        <f t="shared" si="19"/>
        <v>292.70994812058086</v>
      </c>
      <c r="U21" s="9">
        <f t="shared" si="19"/>
        <v>314.3058439748678</v>
      </c>
      <c r="V21" s="9">
        <f t="shared" si="19"/>
        <v>336.53587653798763</v>
      </c>
      <c r="W21" s="9">
        <f t="shared" si="19"/>
        <v>359.41511696341331</v>
      </c>
      <c r="X21" s="9">
        <f t="shared" si="19"/>
        <v>382.95896161664126</v>
      </c>
      <c r="Y21" s="9">
        <f t="shared" si="19"/>
        <v>407.18313871465551</v>
      </c>
      <c r="Z21" s="9">
        <f t="shared" si="19"/>
        <v>432.10371509617448</v>
      </c>
      <c r="AA21" s="9">
        <f t="shared" si="19"/>
        <v>457.73710312518773</v>
      </c>
      <c r="AB21" s="9">
        <f t="shared" si="19"/>
        <v>484.10006773034945</v>
      </c>
      <c r="AC21" s="9">
        <f t="shared" si="19"/>
        <v>511.20973358282913</v>
      </c>
      <c r="AD21" s="9">
        <f t="shared" si="19"/>
        <v>539.08359241528387</v>
      </c>
      <c r="AE21" s="9">
        <f t="shared" si="19"/>
        <v>567.73951048465392</v>
      </c>
      <c r="AF21" s="9">
        <f t="shared" si="19"/>
        <v>597.19573618154607</v>
      </c>
      <c r="AG21" s="9">
        <f t="shared" si="19"/>
        <v>627.47090778900952</v>
      </c>
      <c r="AH21" s="9">
        <f t="shared" si="19"/>
        <v>658.58406139356919</v>
      </c>
      <c r="AI21" s="9">
        <f t="shared" si="19"/>
        <v>690.55463895143714</v>
      </c>
      <c r="AJ21" s="9">
        <f t="shared" si="19"/>
        <v>723.40249651287206</v>
      </c>
      <c r="AK21" s="9">
        <f t="shared" si="19"/>
        <v>757.14791260770926</v>
      </c>
      <c r="AL21" s="9">
        <f t="shared" si="19"/>
        <v>791.81159679515952</v>
      </c>
      <c r="AM21" s="9">
        <f t="shared" si="19"/>
        <v>827.41469838100875</v>
      </c>
      <c r="AN21" s="9">
        <f t="shared" si="19"/>
        <v>863.97881530542134</v>
      </c>
      <c r="AO21" s="9">
        <f t="shared" si="19"/>
        <v>901.5260032046175</v>
      </c>
      <c r="AP21" s="9">
        <f t="shared" si="19"/>
        <v>940.07878464974033</v>
      </c>
      <c r="AQ21" s="9">
        <f t="shared" si="19"/>
        <v>979.66015856630349</v>
      </c>
    </row>
    <row r="22" spans="1:43" hidden="1" outlineLevel="5" collapsed="1">
      <c r="A22" s="2"/>
      <c r="B22" s="2"/>
      <c r="C22" s="2"/>
      <c r="D22" s="2"/>
      <c r="E22" s="2"/>
      <c r="F22" s="2" t="s">
        <v>338</v>
      </c>
      <c r="G22" s="2"/>
      <c r="H22" s="9">
        <f t="shared" ref="H22:AQ22" si="20">(((H23*H24)*H25)*H26)</f>
        <v>13474.969200000001</v>
      </c>
      <c r="I22" s="9">
        <f t="shared" si="20"/>
        <v>13505.1166215678</v>
      </c>
      <c r="J22" s="9">
        <f t="shared" si="20"/>
        <v>13535.331491677693</v>
      </c>
      <c r="K22" s="9">
        <f t="shared" si="20"/>
        <v>13565.613961231651</v>
      </c>
      <c r="L22" s="9">
        <f t="shared" si="20"/>
        <v>13595.964181469282</v>
      </c>
      <c r="M22" s="9">
        <f t="shared" si="20"/>
        <v>13626.38230396855</v>
      </c>
      <c r="N22" s="9">
        <f t="shared" si="20"/>
        <v>13656.868480646552</v>
      </c>
      <c r="O22" s="9">
        <f t="shared" si="20"/>
        <v>13687.422863760248</v>
      </c>
      <c r="P22" s="9">
        <f t="shared" si="20"/>
        <v>13718.04560590726</v>
      </c>
      <c r="Q22" s="9">
        <f t="shared" si="20"/>
        <v>13748.736860026611</v>
      </c>
      <c r="R22" s="9">
        <f t="shared" si="20"/>
        <v>13779.496779399487</v>
      </c>
      <c r="S22" s="9">
        <f t="shared" si="20"/>
        <v>13810.325517650019</v>
      </c>
      <c r="T22" s="9">
        <f t="shared" si="20"/>
        <v>13841.223228746025</v>
      </c>
      <c r="U22" s="9">
        <f t="shared" si="20"/>
        <v>13872.190066999799</v>
      </c>
      <c r="V22" s="9">
        <f t="shared" si="20"/>
        <v>13903.226187068893</v>
      </c>
      <c r="W22" s="9">
        <f t="shared" si="20"/>
        <v>13934.331743956849</v>
      </c>
      <c r="X22" s="9">
        <f t="shared" si="20"/>
        <v>13965.506893014017</v>
      </c>
      <c r="Y22" s="9">
        <f t="shared" si="20"/>
        <v>13996.751789938286</v>
      </c>
      <c r="Z22" s="9">
        <f t="shared" si="20"/>
        <v>14028.066590775916</v>
      </c>
      <c r="AA22" s="9">
        <f t="shared" si="20"/>
        <v>14059.451451922261</v>
      </c>
      <c r="AB22" s="9">
        <f t="shared" si="20"/>
        <v>14090.906530122595</v>
      </c>
      <c r="AC22" s="9">
        <f t="shared" si="20"/>
        <v>14122.431982472877</v>
      </c>
      <c r="AD22" s="9">
        <f t="shared" si="20"/>
        <v>14154.027966420523</v>
      </c>
      <c r="AE22" s="9">
        <f t="shared" si="20"/>
        <v>14185.69463976521</v>
      </c>
      <c r="AF22" s="9">
        <f t="shared" si="20"/>
        <v>14217.432160659662</v>
      </c>
      <c r="AG22" s="9">
        <f t="shared" si="20"/>
        <v>14249.240687610436</v>
      </c>
      <c r="AH22" s="9">
        <f t="shared" si="20"/>
        <v>14281.120379478709</v>
      </c>
      <c r="AI22" s="9">
        <f t="shared" si="20"/>
        <v>14313.071395481078</v>
      </c>
      <c r="AJ22" s="9">
        <f t="shared" si="20"/>
        <v>14345.093895190366</v>
      </c>
      <c r="AK22" s="9">
        <f t="shared" si="20"/>
        <v>14377.188038536387</v>
      </c>
      <c r="AL22" s="9">
        <f t="shared" si="20"/>
        <v>14409.353985806771</v>
      </c>
      <c r="AM22" s="9">
        <f t="shared" si="20"/>
        <v>14441.591897647777</v>
      </c>
      <c r="AN22" s="9">
        <f t="shared" si="20"/>
        <v>14473.901935065041</v>
      </c>
      <c r="AO22" s="9">
        <f t="shared" si="20"/>
        <v>14506.284259424448</v>
      </c>
      <c r="AP22" s="9">
        <f t="shared" si="20"/>
        <v>14538.739032452891</v>
      </c>
      <c r="AQ22" s="9">
        <f t="shared" si="20"/>
        <v>14571.266416239092</v>
      </c>
    </row>
    <row r="23" spans="1:43" hidden="1" outlineLevel="6">
      <c r="A23" s="2"/>
      <c r="B23" s="2"/>
      <c r="C23" s="2"/>
      <c r="D23" s="2"/>
      <c r="E23" s="2"/>
      <c r="F23" s="2"/>
      <c r="G23" s="2" t="s">
        <v>71</v>
      </c>
      <c r="H23" s="9">
        <f t="shared" ref="H23:AQ23" si="21">H8</f>
        <v>145833</v>
      </c>
      <c r="I23" s="9">
        <f t="shared" si="21"/>
        <v>146049.96530187438</v>
      </c>
      <c r="J23" s="9">
        <f t="shared" si="21"/>
        <v>146267.2533972332</v>
      </c>
      <c r="K23" s="9">
        <f t="shared" si="21"/>
        <v>146484.86476631745</v>
      </c>
      <c r="L23" s="9">
        <f t="shared" si="21"/>
        <v>146702.79989008268</v>
      </c>
      <c r="M23" s="9">
        <f t="shared" si="21"/>
        <v>146921.05925019985</v>
      </c>
      <c r="N23" s="9">
        <f t="shared" si="21"/>
        <v>147139.64332905665</v>
      </c>
      <c r="O23" s="9">
        <f t="shared" si="21"/>
        <v>147358.55260975836</v>
      </c>
      <c r="P23" s="9">
        <f t="shared" si="21"/>
        <v>147577.78757612914</v>
      </c>
      <c r="Q23" s="9">
        <f t="shared" si="21"/>
        <v>147797.34871271279</v>
      </c>
      <c r="R23" s="9">
        <f t="shared" si="21"/>
        <v>148017.23650477419</v>
      </c>
      <c r="S23" s="9">
        <f t="shared" si="21"/>
        <v>148237.45143829999</v>
      </c>
      <c r="T23" s="9">
        <f t="shared" si="21"/>
        <v>148457.99400000001</v>
      </c>
      <c r="U23" s="9">
        <f t="shared" si="21"/>
        <v>148678.8646773081</v>
      </c>
      <c r="V23" s="9">
        <f t="shared" si="21"/>
        <v>148900.0639583834</v>
      </c>
      <c r="W23" s="9">
        <f t="shared" si="21"/>
        <v>149121.59233211118</v>
      </c>
      <c r="X23" s="9">
        <f t="shared" si="21"/>
        <v>149343.45028810418</v>
      </c>
      <c r="Y23" s="9">
        <f t="shared" si="21"/>
        <v>149565.63831670344</v>
      </c>
      <c r="Z23" s="9">
        <f t="shared" si="21"/>
        <v>149788.15690897967</v>
      </c>
      <c r="AA23" s="9">
        <f t="shared" si="21"/>
        <v>150011.00655673404</v>
      </c>
      <c r="AB23" s="9">
        <f t="shared" si="21"/>
        <v>150234.18775249945</v>
      </c>
      <c r="AC23" s="9">
        <f t="shared" si="21"/>
        <v>150457.70098954163</v>
      </c>
      <c r="AD23" s="9">
        <f t="shared" si="21"/>
        <v>150681.54676186011</v>
      </c>
      <c r="AE23" s="9">
        <f t="shared" si="21"/>
        <v>150905.72556418937</v>
      </c>
      <c r="AF23" s="9">
        <f t="shared" si="21"/>
        <v>151130.237892</v>
      </c>
      <c r="AG23" s="9">
        <f t="shared" si="21"/>
        <v>151355.08424149966</v>
      </c>
      <c r="AH23" s="9">
        <f t="shared" si="21"/>
        <v>151580.26510963429</v>
      </c>
      <c r="AI23" s="9">
        <f t="shared" si="21"/>
        <v>151805.78099408917</v>
      </c>
      <c r="AJ23" s="9">
        <f t="shared" si="21"/>
        <v>152031.63239329006</v>
      </c>
      <c r="AK23" s="9">
        <f t="shared" si="21"/>
        <v>152257.81980640409</v>
      </c>
      <c r="AL23" s="9">
        <f t="shared" si="21"/>
        <v>152484.34373334129</v>
      </c>
      <c r="AM23" s="9">
        <f t="shared" si="21"/>
        <v>152711.20467475525</v>
      </c>
      <c r="AN23" s="9">
        <f t="shared" si="21"/>
        <v>152938.40313204445</v>
      </c>
      <c r="AO23" s="9">
        <f t="shared" si="21"/>
        <v>153165.93960735339</v>
      </c>
      <c r="AP23" s="9">
        <f t="shared" si="21"/>
        <v>153393.81460357361</v>
      </c>
      <c r="AQ23" s="9">
        <f t="shared" si="21"/>
        <v>153622.02862434482</v>
      </c>
    </row>
    <row r="24" spans="1:43" hidden="1" outlineLevel="6">
      <c r="A24" s="2"/>
      <c r="B24" s="2"/>
      <c r="C24" s="2"/>
      <c r="D24" s="2"/>
      <c r="E24" s="2"/>
      <c r="F24" s="2"/>
      <c r="G24" s="2" t="s">
        <v>339</v>
      </c>
      <c r="H24" s="9">
        <f t="shared" ref="H24:AQ24" si="22">western_regional_opportunity_weight*(1+western_regional_opportunity_weight_growth)^((COLUMN()-8)/12)</f>
        <v>0.25</v>
      </c>
      <c r="I24" s="9">
        <f t="shared" si="22"/>
        <v>0.25</v>
      </c>
      <c r="J24" s="9">
        <f t="shared" si="22"/>
        <v>0.25</v>
      </c>
      <c r="K24" s="9">
        <f t="shared" si="22"/>
        <v>0.25</v>
      </c>
      <c r="L24" s="9">
        <f t="shared" si="22"/>
        <v>0.25</v>
      </c>
      <c r="M24" s="9">
        <f t="shared" si="22"/>
        <v>0.25</v>
      </c>
      <c r="N24" s="9">
        <f t="shared" si="22"/>
        <v>0.25</v>
      </c>
      <c r="O24" s="9">
        <f t="shared" si="22"/>
        <v>0.25</v>
      </c>
      <c r="P24" s="9">
        <f t="shared" si="22"/>
        <v>0.25</v>
      </c>
      <c r="Q24" s="9">
        <f t="shared" si="22"/>
        <v>0.25</v>
      </c>
      <c r="R24" s="9">
        <f t="shared" si="22"/>
        <v>0.25</v>
      </c>
      <c r="S24" s="9">
        <f t="shared" si="22"/>
        <v>0.25</v>
      </c>
      <c r="T24" s="9">
        <f t="shared" si="22"/>
        <v>0.25</v>
      </c>
      <c r="U24" s="9">
        <f t="shared" si="22"/>
        <v>0.25</v>
      </c>
      <c r="V24" s="9">
        <f t="shared" si="22"/>
        <v>0.25</v>
      </c>
      <c r="W24" s="9">
        <f t="shared" si="22"/>
        <v>0.25</v>
      </c>
      <c r="X24" s="9">
        <f t="shared" si="22"/>
        <v>0.25</v>
      </c>
      <c r="Y24" s="9">
        <f t="shared" si="22"/>
        <v>0.25</v>
      </c>
      <c r="Z24" s="9">
        <f t="shared" si="22"/>
        <v>0.25</v>
      </c>
      <c r="AA24" s="9">
        <f t="shared" si="22"/>
        <v>0.25</v>
      </c>
      <c r="AB24" s="9">
        <f t="shared" si="22"/>
        <v>0.25</v>
      </c>
      <c r="AC24" s="9">
        <f t="shared" si="22"/>
        <v>0.25</v>
      </c>
      <c r="AD24" s="9">
        <f t="shared" si="22"/>
        <v>0.25</v>
      </c>
      <c r="AE24" s="9">
        <f t="shared" si="22"/>
        <v>0.25</v>
      </c>
      <c r="AF24" s="9">
        <f t="shared" si="22"/>
        <v>0.25</v>
      </c>
      <c r="AG24" s="9">
        <f t="shared" si="22"/>
        <v>0.25</v>
      </c>
      <c r="AH24" s="9">
        <f t="shared" si="22"/>
        <v>0.25</v>
      </c>
      <c r="AI24" s="9">
        <f t="shared" si="22"/>
        <v>0.25</v>
      </c>
      <c r="AJ24" s="9">
        <f t="shared" si="22"/>
        <v>0.25</v>
      </c>
      <c r="AK24" s="9">
        <f t="shared" si="22"/>
        <v>0.25</v>
      </c>
      <c r="AL24" s="9">
        <f t="shared" si="22"/>
        <v>0.25</v>
      </c>
      <c r="AM24" s="9">
        <f t="shared" si="22"/>
        <v>0.25</v>
      </c>
      <c r="AN24" s="9">
        <f t="shared" si="22"/>
        <v>0.25</v>
      </c>
      <c r="AO24" s="9">
        <f t="shared" si="22"/>
        <v>0.25</v>
      </c>
      <c r="AP24" s="9">
        <f t="shared" si="22"/>
        <v>0.25</v>
      </c>
      <c r="AQ24" s="9">
        <f t="shared" si="22"/>
        <v>0.25</v>
      </c>
    </row>
    <row r="25" spans="1:43" hidden="1" outlineLevel="6">
      <c r="A25" s="2"/>
      <c r="B25" s="2"/>
      <c r="C25" s="2"/>
      <c r="D25" s="2"/>
      <c r="E25" s="2"/>
      <c r="F25" s="2"/>
      <c r="G25" s="2" t="s">
        <v>340</v>
      </c>
      <c r="H25" s="9">
        <f t="shared" ref="H25:AQ25" si="23">western_anc_access_rate*(1+western_anc_access_rate_growth)^((COLUMN()-8)/12)</f>
        <v>0.66</v>
      </c>
      <c r="I25" s="9">
        <f t="shared" si="23"/>
        <v>0.66016477355889469</v>
      </c>
      <c r="J25" s="9">
        <f t="shared" si="23"/>
        <v>0.66032958825464672</v>
      </c>
      <c r="K25" s="9">
        <f t="shared" si="23"/>
        <v>0.66049444409752578</v>
      </c>
      <c r="L25" s="9">
        <f t="shared" si="23"/>
        <v>0.66065934109780478</v>
      </c>
      <c r="M25" s="9">
        <f t="shared" si="23"/>
        <v>0.66082427926575893</v>
      </c>
      <c r="N25" s="9">
        <f t="shared" si="23"/>
        <v>0.66098925861166602</v>
      </c>
      <c r="O25" s="9">
        <f t="shared" si="23"/>
        <v>0.66115427914580638</v>
      </c>
      <c r="P25" s="9">
        <f t="shared" si="23"/>
        <v>0.661319340878463</v>
      </c>
      <c r="Q25" s="9">
        <f t="shared" si="23"/>
        <v>0.66148444381992133</v>
      </c>
      <c r="R25" s="9">
        <f t="shared" si="23"/>
        <v>0.66164958798046936</v>
      </c>
      <c r="S25" s="9">
        <f t="shared" si="23"/>
        <v>0.66181477337039796</v>
      </c>
      <c r="T25" s="9">
        <f t="shared" si="23"/>
        <v>0.66198000000000001</v>
      </c>
      <c r="U25" s="9">
        <f t="shared" si="23"/>
        <v>0.6621452678795714</v>
      </c>
      <c r="V25" s="9">
        <f t="shared" si="23"/>
        <v>0.66231057701941054</v>
      </c>
      <c r="W25" s="9">
        <f t="shared" si="23"/>
        <v>0.6624759274298182</v>
      </c>
      <c r="X25" s="9">
        <f t="shared" si="23"/>
        <v>0.66264131912109825</v>
      </c>
      <c r="Y25" s="9">
        <f t="shared" si="23"/>
        <v>0.66280675210355622</v>
      </c>
      <c r="Z25" s="9">
        <f t="shared" si="23"/>
        <v>0.66297222638750108</v>
      </c>
      <c r="AA25" s="9">
        <f t="shared" si="23"/>
        <v>0.66313774198324393</v>
      </c>
      <c r="AB25" s="9">
        <f t="shared" si="23"/>
        <v>0.6633032989010984</v>
      </c>
      <c r="AC25" s="9">
        <f t="shared" si="23"/>
        <v>0.66346889715138102</v>
      </c>
      <c r="AD25" s="9">
        <f t="shared" si="23"/>
        <v>0.66363453674441075</v>
      </c>
      <c r="AE25" s="9">
        <f t="shared" si="23"/>
        <v>0.66380021769050901</v>
      </c>
      <c r="AF25" s="9">
        <f t="shared" si="23"/>
        <v>0.66396593999999987</v>
      </c>
      <c r="AG25" s="9">
        <f t="shared" si="23"/>
        <v>0.66413170368321006</v>
      </c>
      <c r="AH25" s="9">
        <f t="shared" si="23"/>
        <v>0.66429750875046867</v>
      </c>
      <c r="AI25" s="9">
        <f t="shared" si="23"/>
        <v>0.66446335521210764</v>
      </c>
      <c r="AJ25" s="9">
        <f t="shared" si="23"/>
        <v>0.66462924307846138</v>
      </c>
      <c r="AK25" s="9">
        <f t="shared" si="23"/>
        <v>0.66479517235986685</v>
      </c>
      <c r="AL25" s="9">
        <f t="shared" si="23"/>
        <v>0.66496114306666343</v>
      </c>
      <c r="AM25" s="9">
        <f t="shared" si="23"/>
        <v>0.66512715520919352</v>
      </c>
      <c r="AN25" s="9">
        <f t="shared" si="23"/>
        <v>0.66529320879780163</v>
      </c>
      <c r="AO25" s="9">
        <f t="shared" si="23"/>
        <v>0.66545930384283514</v>
      </c>
      <c r="AP25" s="9">
        <f t="shared" si="23"/>
        <v>0.66562544035464388</v>
      </c>
      <c r="AQ25" s="9">
        <f t="shared" si="23"/>
        <v>0.66579161834358047</v>
      </c>
    </row>
    <row r="26" spans="1:43" hidden="1" outlineLevel="6">
      <c r="A26" s="2"/>
      <c r="B26" s="2"/>
      <c r="C26" s="2"/>
      <c r="D26" s="2"/>
      <c r="E26" s="2"/>
      <c r="F26" s="2"/>
      <c r="G26" s="2" t="s">
        <v>341</v>
      </c>
      <c r="H26" s="9">
        <f t="shared" ref="H26:AQ26" si="24">western_third_trimester_window_rate*(1+western_third_trimester_window_rate_growth)^((COLUMN()-8)/12)</f>
        <v>0.56000000000000005</v>
      </c>
      <c r="I26" s="9">
        <f t="shared" si="24"/>
        <v>0.56027923293881354</v>
      </c>
      <c r="J26" s="9">
        <f t="shared" si="24"/>
        <v>0.56055860511161659</v>
      </c>
      <c r="K26" s="9">
        <f t="shared" si="24"/>
        <v>0.56083811658783544</v>
      </c>
      <c r="L26" s="9">
        <f t="shared" si="24"/>
        <v>0.56111776743693087</v>
      </c>
      <c r="M26" s="9">
        <f t="shared" si="24"/>
        <v>0.5613975577283985</v>
      </c>
      <c r="N26" s="9">
        <f t="shared" si="24"/>
        <v>0.5616774875317686</v>
      </c>
      <c r="O26" s="9">
        <f t="shared" si="24"/>
        <v>0.56195755691660598</v>
      </c>
      <c r="P26" s="9">
        <f t="shared" si="24"/>
        <v>0.56223776595250996</v>
      </c>
      <c r="Q26" s="9">
        <f t="shared" si="24"/>
        <v>0.56251811470911517</v>
      </c>
      <c r="R26" s="9">
        <f t="shared" si="24"/>
        <v>0.56279860325609021</v>
      </c>
      <c r="S26" s="9">
        <f t="shared" si="24"/>
        <v>0.563079231663139</v>
      </c>
      <c r="T26" s="9">
        <f t="shared" si="24"/>
        <v>0.56336000000000008</v>
      </c>
      <c r="U26" s="9">
        <f t="shared" si="24"/>
        <v>0.56364090833644642</v>
      </c>
      <c r="V26" s="9">
        <f t="shared" si="24"/>
        <v>0.56392195674228629</v>
      </c>
      <c r="W26" s="9">
        <f t="shared" si="24"/>
        <v>0.56420314528736248</v>
      </c>
      <c r="X26" s="9">
        <f t="shared" si="24"/>
        <v>0.56448447404155244</v>
      </c>
      <c r="Y26" s="9">
        <f t="shared" si="24"/>
        <v>0.56476594307476902</v>
      </c>
      <c r="Z26" s="9">
        <f t="shared" si="24"/>
        <v>0.56504755245695926</v>
      </c>
      <c r="AA26" s="9">
        <f t="shared" si="24"/>
        <v>0.56532930225810551</v>
      </c>
      <c r="AB26" s="9">
        <f t="shared" si="24"/>
        <v>0.56561119254822501</v>
      </c>
      <c r="AC26" s="9">
        <f t="shared" si="24"/>
        <v>0.56589322339736992</v>
      </c>
      <c r="AD26" s="9">
        <f t="shared" si="24"/>
        <v>0.56617539487562685</v>
      </c>
      <c r="AE26" s="9">
        <f t="shared" si="24"/>
        <v>0.56645770705311793</v>
      </c>
      <c r="AF26" s="9">
        <f t="shared" si="24"/>
        <v>0.56674016000000005</v>
      </c>
      <c r="AG26" s="9">
        <f t="shared" si="24"/>
        <v>0.56702275378646516</v>
      </c>
      <c r="AH26" s="9">
        <f t="shared" si="24"/>
        <v>0.56730548848274009</v>
      </c>
      <c r="AI26" s="9">
        <f t="shared" si="24"/>
        <v>0.56758836415908653</v>
      </c>
      <c r="AJ26" s="9">
        <f t="shared" si="24"/>
        <v>0.5678713808858018</v>
      </c>
      <c r="AK26" s="9">
        <f t="shared" si="24"/>
        <v>0.56815453873321764</v>
      </c>
      <c r="AL26" s="9">
        <f t="shared" si="24"/>
        <v>0.56843783777170087</v>
      </c>
      <c r="AM26" s="9">
        <f t="shared" si="24"/>
        <v>0.56872127807165418</v>
      </c>
      <c r="AN26" s="9">
        <f t="shared" si="24"/>
        <v>0.56900485970351433</v>
      </c>
      <c r="AO26" s="9">
        <f t="shared" si="24"/>
        <v>0.56928858273775396</v>
      </c>
      <c r="AP26" s="9">
        <f t="shared" si="24"/>
        <v>0.56957244724488054</v>
      </c>
      <c r="AQ26" s="9">
        <f t="shared" si="24"/>
        <v>0.56985645329543655</v>
      </c>
    </row>
    <row r="27" spans="1:43" hidden="1" outlineLevel="5">
      <c r="A27" s="2"/>
      <c r="B27" s="2"/>
      <c r="C27" s="2"/>
      <c r="D27" s="2"/>
      <c r="E27" s="2"/>
      <c r="F27" s="2" t="s">
        <v>342</v>
      </c>
      <c r="G27" s="2"/>
      <c r="H27" s="9">
        <f t="shared" ref="H27:AQ27" si="25">western_public_eligibility_rate*(1+western_public_eligibility_rate_growth)^((COLUMN()-8)/12)</f>
        <v>0.22</v>
      </c>
      <c r="I27" s="9">
        <f t="shared" si="25"/>
        <v>0.22141548662420077</v>
      </c>
      <c r="J27" s="9">
        <f t="shared" si="25"/>
        <v>0.22284008053196194</v>
      </c>
      <c r="K27" s="9">
        <f t="shared" si="25"/>
        <v>0.22427384031982017</v>
      </c>
      <c r="L27" s="9">
        <f t="shared" si="25"/>
        <v>0.225716824961324</v>
      </c>
      <c r="M27" s="9">
        <f t="shared" si="25"/>
        <v>0.22716909380945954</v>
      </c>
      <c r="N27" s="9">
        <f t="shared" si="25"/>
        <v>0.22863070659909182</v>
      </c>
      <c r="O27" s="9">
        <f t="shared" si="25"/>
        <v>0.23010172344942173</v>
      </c>
      <c r="P27" s="9">
        <f t="shared" si="25"/>
        <v>0.23158220486645903</v>
      </c>
      <c r="Q27" s="9">
        <f t="shared" si="25"/>
        <v>0.23307221174551079</v>
      </c>
      <c r="R27" s="9">
        <f t="shared" si="25"/>
        <v>0.23457180537368649</v>
      </c>
      <c r="S27" s="9">
        <f t="shared" si="25"/>
        <v>0.2360810474324187</v>
      </c>
      <c r="T27" s="9">
        <f t="shared" si="25"/>
        <v>0.23760000000000001</v>
      </c>
      <c r="U27" s="9">
        <f t="shared" si="25"/>
        <v>0.23912872555413683</v>
      </c>
      <c r="V27" s="9">
        <f t="shared" si="25"/>
        <v>0.24066728697451892</v>
      </c>
      <c r="W27" s="9">
        <f t="shared" si="25"/>
        <v>0.24221574754540581</v>
      </c>
      <c r="X27" s="9">
        <f t="shared" si="25"/>
        <v>0.24377417095822992</v>
      </c>
      <c r="Y27" s="9">
        <f t="shared" si="25"/>
        <v>0.24534262131421633</v>
      </c>
      <c r="Z27" s="9">
        <f t="shared" si="25"/>
        <v>0.24692116312701917</v>
      </c>
      <c r="AA27" s="9">
        <f t="shared" si="25"/>
        <v>0.24850986132537548</v>
      </c>
      <c r="AB27" s="9">
        <f t="shared" si="25"/>
        <v>0.25010878125577574</v>
      </c>
      <c r="AC27" s="9">
        <f t="shared" si="25"/>
        <v>0.25171798868515166</v>
      </c>
      <c r="AD27" s="9">
        <f t="shared" si="25"/>
        <v>0.25333754980358147</v>
      </c>
      <c r="AE27" s="9">
        <f t="shared" si="25"/>
        <v>0.25496753122701221</v>
      </c>
      <c r="AF27" s="9">
        <f t="shared" si="25"/>
        <v>0.256608</v>
      </c>
      <c r="AG27" s="9">
        <f t="shared" si="25"/>
        <v>0.25825902359846781</v>
      </c>
      <c r="AH27" s="9">
        <f t="shared" si="25"/>
        <v>0.25992066993248042</v>
      </c>
      <c r="AI27" s="9">
        <f t="shared" si="25"/>
        <v>0.26159300734903829</v>
      </c>
      <c r="AJ27" s="9">
        <f t="shared" si="25"/>
        <v>0.26327610463488837</v>
      </c>
      <c r="AK27" s="9">
        <f t="shared" si="25"/>
        <v>0.26497003101935368</v>
      </c>
      <c r="AL27" s="9">
        <f t="shared" si="25"/>
        <v>0.26667485617718073</v>
      </c>
      <c r="AM27" s="9">
        <f t="shared" si="25"/>
        <v>0.26839065023140551</v>
      </c>
      <c r="AN27" s="9">
        <f t="shared" si="25"/>
        <v>0.27011748375623779</v>
      </c>
      <c r="AO27" s="9">
        <f t="shared" si="25"/>
        <v>0.27185542777996385</v>
      </c>
      <c r="AP27" s="9">
        <f t="shared" si="25"/>
        <v>0.27360455378786802</v>
      </c>
      <c r="AQ27" s="9">
        <f t="shared" si="25"/>
        <v>0.27536493372517318</v>
      </c>
    </row>
    <row r="28" spans="1:43" hidden="1" outlineLevel="5">
      <c r="A28" s="2"/>
      <c r="B28" s="2"/>
      <c r="C28" s="2"/>
      <c r="D28" s="2"/>
      <c r="E28" s="2"/>
      <c r="F28" s="2" t="s">
        <v>343</v>
      </c>
      <c r="G28" s="2"/>
      <c r="H28" s="9">
        <f t="shared" ref="H28:AQ28" si="26">western_public_provider_recommendation_rate*(1+western_public_provider_recommendation_rate_growth)^((COLUMN()-8)/12)</f>
        <v>0.49</v>
      </c>
      <c r="I28" s="9">
        <f t="shared" si="26"/>
        <v>0.49160413249327745</v>
      </c>
      <c r="J28" s="9">
        <f t="shared" si="26"/>
        <v>0.4932135164989141</v>
      </c>
      <c r="K28" s="9">
        <f t="shared" si="26"/>
        <v>0.49482816920899469</v>
      </c>
      <c r="L28" s="9">
        <f t="shared" si="26"/>
        <v>0.49644810787188681</v>
      </c>
      <c r="M28" s="9">
        <f t="shared" si="26"/>
        <v>0.4980733497924244</v>
      </c>
      <c r="N28" s="9">
        <f t="shared" si="26"/>
        <v>0.49970391233209294</v>
      </c>
      <c r="O28" s="9">
        <f t="shared" si="26"/>
        <v>0.50133981290921481</v>
      </c>
      <c r="P28" s="9">
        <f t="shared" si="26"/>
        <v>0.50298106899913586</v>
      </c>
      <c r="Q28" s="9">
        <f t="shared" si="26"/>
        <v>0.50462769813441133</v>
      </c>
      <c r="R28" s="9">
        <f t="shared" si="26"/>
        <v>0.50627971790499338</v>
      </c>
      <c r="S28" s="9">
        <f t="shared" si="26"/>
        <v>0.50793714595841943</v>
      </c>
      <c r="T28" s="9">
        <f t="shared" si="26"/>
        <v>0.50960000000000005</v>
      </c>
      <c r="U28" s="9">
        <f t="shared" si="26"/>
        <v>0.51126829779300864</v>
      </c>
      <c r="V28" s="9">
        <f t="shared" si="26"/>
        <v>0.51294205715887065</v>
      </c>
      <c r="W28" s="9">
        <f t="shared" si="26"/>
        <v>0.51462129597735451</v>
      </c>
      <c r="X28" s="9">
        <f t="shared" si="26"/>
        <v>0.5163060321867623</v>
      </c>
      <c r="Y28" s="9">
        <f t="shared" si="26"/>
        <v>0.51799628378412144</v>
      </c>
      <c r="Z28" s="9">
        <f t="shared" si="26"/>
        <v>0.51969206882537666</v>
      </c>
      <c r="AA28" s="9">
        <f t="shared" si="26"/>
        <v>0.52139340542558343</v>
      </c>
      <c r="AB28" s="9">
        <f t="shared" si="26"/>
        <v>0.52310031175910132</v>
      </c>
      <c r="AC28" s="9">
        <f t="shared" si="26"/>
        <v>0.52481280605978775</v>
      </c>
      <c r="AD28" s="9">
        <f t="shared" si="26"/>
        <v>0.52653090662119317</v>
      </c>
      <c r="AE28" s="9">
        <f t="shared" si="26"/>
        <v>0.52825463179675625</v>
      </c>
      <c r="AF28" s="9">
        <f t="shared" si="26"/>
        <v>0.52998400000000001</v>
      </c>
      <c r="AG28" s="9">
        <f t="shared" si="26"/>
        <v>0.53171902970472884</v>
      </c>
      <c r="AH28" s="9">
        <f t="shared" si="26"/>
        <v>0.53345973944522551</v>
      </c>
      <c r="AI28" s="9">
        <f t="shared" si="26"/>
        <v>0.53520614781644871</v>
      </c>
      <c r="AJ28" s="9">
        <f t="shared" si="26"/>
        <v>0.53695827347423286</v>
      </c>
      <c r="AK28" s="9">
        <f t="shared" si="26"/>
        <v>0.53871613513548633</v>
      </c>
      <c r="AL28" s="9">
        <f t="shared" si="26"/>
        <v>0.54047975157839179</v>
      </c>
      <c r="AM28" s="9">
        <f t="shared" si="26"/>
        <v>0.54224914164260685</v>
      </c>
      <c r="AN28" s="9">
        <f t="shared" si="26"/>
        <v>0.54402432422946545</v>
      </c>
      <c r="AO28" s="9">
        <f t="shared" si="26"/>
        <v>0.54580531830217927</v>
      </c>
      <c r="AP28" s="9">
        <f t="shared" si="26"/>
        <v>0.54759214288604086</v>
      </c>
      <c r="AQ28" s="9">
        <f t="shared" si="26"/>
        <v>0.54938481706862652</v>
      </c>
    </row>
    <row r="29" spans="1:43" hidden="1" outlineLevel="5">
      <c r="A29" s="2"/>
      <c r="B29" s="2"/>
      <c r="C29" s="2"/>
      <c r="D29" s="2"/>
      <c r="E29" s="2"/>
      <c r="F29" s="2" t="s">
        <v>344</v>
      </c>
      <c r="G29" s="2"/>
      <c r="H29" s="9">
        <f t="shared" ref="H29:AQ29" si="27">western_public_acceptance_rate*(1+western_public_acceptance_rate_growth)^((COLUMN()-8)/12)</f>
        <v>0.78</v>
      </c>
      <c r="I29" s="9">
        <f t="shared" si="27"/>
        <v>0.7812882334154978</v>
      </c>
      <c r="J29" s="9">
        <f t="shared" si="27"/>
        <v>0.78257859445321709</v>
      </c>
      <c r="K29" s="9">
        <f t="shared" si="27"/>
        <v>0.78387108662709903</v>
      </c>
      <c r="L29" s="9">
        <f t="shared" si="27"/>
        <v>0.78516571345688813</v>
      </c>
      <c r="M29" s="9">
        <f t="shared" si="27"/>
        <v>0.78646247846814232</v>
      </c>
      <c r="N29" s="9">
        <f t="shared" si="27"/>
        <v>0.78776138519224215</v>
      </c>
      <c r="O29" s="9">
        <f t="shared" si="27"/>
        <v>0.78906243716640045</v>
      </c>
      <c r="P29" s="9">
        <f t="shared" si="27"/>
        <v>0.79036563793367198</v>
      </c>
      <c r="Q29" s="9">
        <f t="shared" si="27"/>
        <v>0.79167099104296346</v>
      </c>
      <c r="R29" s="9">
        <f t="shared" si="27"/>
        <v>0.79297850004904258</v>
      </c>
      <c r="S29" s="9">
        <f t="shared" si="27"/>
        <v>0.79428816851254835</v>
      </c>
      <c r="T29" s="9">
        <f t="shared" si="27"/>
        <v>0.79560000000000008</v>
      </c>
      <c r="U29" s="9">
        <f t="shared" si="27"/>
        <v>0.79691399808380781</v>
      </c>
      <c r="V29" s="9">
        <f t="shared" si="27"/>
        <v>0.79823016634228139</v>
      </c>
      <c r="W29" s="9">
        <f t="shared" si="27"/>
        <v>0.79954850835964097</v>
      </c>
      <c r="X29" s="9">
        <f t="shared" si="27"/>
        <v>0.80086902772602597</v>
      </c>
      <c r="Y29" s="9">
        <f t="shared" si="27"/>
        <v>0.80219172803750527</v>
      </c>
      <c r="Z29" s="9">
        <f t="shared" si="27"/>
        <v>0.803516612896087</v>
      </c>
      <c r="AA29" s="9">
        <f t="shared" si="27"/>
        <v>0.80484368590972843</v>
      </c>
      <c r="AB29" s="9">
        <f t="shared" si="27"/>
        <v>0.8061729506923454</v>
      </c>
      <c r="AC29" s="9">
        <f t="shared" si="27"/>
        <v>0.80750441086382274</v>
      </c>
      <c r="AD29" s="9">
        <f t="shared" si="27"/>
        <v>0.80883807005002351</v>
      </c>
      <c r="AE29" s="9">
        <f t="shared" si="27"/>
        <v>0.81017393188279929</v>
      </c>
      <c r="AF29" s="9">
        <f t="shared" si="27"/>
        <v>0.81151200000000001</v>
      </c>
      <c r="AG29" s="9">
        <f t="shared" si="27"/>
        <v>0.81285227804548388</v>
      </c>
      <c r="AH29" s="9">
        <f t="shared" si="27"/>
        <v>0.81419476966912696</v>
      </c>
      <c r="AI29" s="9">
        <f t="shared" si="27"/>
        <v>0.81553947852683373</v>
      </c>
      <c r="AJ29" s="9">
        <f t="shared" si="27"/>
        <v>0.81688640828054637</v>
      </c>
      <c r="AK29" s="9">
        <f t="shared" si="27"/>
        <v>0.81823556259825536</v>
      </c>
      <c r="AL29" s="9">
        <f t="shared" si="27"/>
        <v>0.81958694515400865</v>
      </c>
      <c r="AM29" s="9">
        <f t="shared" si="27"/>
        <v>0.82094055962792301</v>
      </c>
      <c r="AN29" s="9">
        <f t="shared" si="27"/>
        <v>0.82229640970619233</v>
      </c>
      <c r="AO29" s="9">
        <f t="shared" si="27"/>
        <v>0.82365449908109911</v>
      </c>
      <c r="AP29" s="9">
        <f t="shared" si="27"/>
        <v>0.82501483145102394</v>
      </c>
      <c r="AQ29" s="9">
        <f t="shared" si="27"/>
        <v>0.82637741052045521</v>
      </c>
    </row>
    <row r="30" spans="1:43" hidden="1" outlineLevel="5">
      <c r="A30" s="2"/>
      <c r="B30" s="2"/>
      <c r="C30" s="2"/>
      <c r="D30" s="2"/>
      <c r="E30" s="2"/>
      <c r="F30" s="2" t="s">
        <v>345</v>
      </c>
      <c r="G30" s="2"/>
      <c r="H30" s="9">
        <f t="shared" ref="H30:AQ30" si="28">western_public_stock_availability_rate*(1+western_public_stock_availability_rate_growth)^((COLUMN()-8)/12)</f>
        <v>0.86</v>
      </c>
      <c r="I30" s="9">
        <f t="shared" si="28"/>
        <v>0.86106767943614637</v>
      </c>
      <c r="J30" s="9">
        <f t="shared" si="28"/>
        <v>0.8621366843831979</v>
      </c>
      <c r="K30" s="9">
        <f t="shared" si="28"/>
        <v>0.8632070164867599</v>
      </c>
      <c r="L30" s="9">
        <f t="shared" si="28"/>
        <v>0.86427867739448105</v>
      </c>
      <c r="M30" s="9">
        <f t="shared" si="28"/>
        <v>0.8653516687560554</v>
      </c>
      <c r="N30" s="9">
        <f t="shared" si="28"/>
        <v>0.86642599222322503</v>
      </c>
      <c r="O30" s="9">
        <f t="shared" si="28"/>
        <v>0.86750164944978247</v>
      </c>
      <c r="P30" s="9">
        <f t="shared" si="28"/>
        <v>0.86857864209157398</v>
      </c>
      <c r="Q30" s="9">
        <f t="shared" si="28"/>
        <v>0.86965697180650081</v>
      </c>
      <c r="R30" s="9">
        <f t="shared" si="28"/>
        <v>0.87073664025452313</v>
      </c>
      <c r="S30" s="9">
        <f t="shared" si="28"/>
        <v>0.87181764909766146</v>
      </c>
      <c r="T30" s="9">
        <f t="shared" si="28"/>
        <v>0.8728999999999999</v>
      </c>
      <c r="U30" s="9">
        <f t="shared" si="28"/>
        <v>0.87398369462768855</v>
      </c>
      <c r="V30" s="9">
        <f t="shared" si="28"/>
        <v>0.87506873464894586</v>
      </c>
      <c r="W30" s="9">
        <f t="shared" si="28"/>
        <v>0.87615512173406118</v>
      </c>
      <c r="X30" s="9">
        <f t="shared" si="28"/>
        <v>0.87724285755539821</v>
      </c>
      <c r="Y30" s="9">
        <f t="shared" si="28"/>
        <v>0.8783319437873961</v>
      </c>
      <c r="Z30" s="9">
        <f t="shared" si="28"/>
        <v>0.8794223821065732</v>
      </c>
      <c r="AA30" s="9">
        <f t="shared" si="28"/>
        <v>0.88051417419152922</v>
      </c>
      <c r="AB30" s="9">
        <f t="shared" si="28"/>
        <v>0.88160732172294753</v>
      </c>
      <c r="AC30" s="9">
        <f t="shared" si="28"/>
        <v>0.88270182638359818</v>
      </c>
      <c r="AD30" s="9">
        <f t="shared" si="28"/>
        <v>0.88379768985834095</v>
      </c>
      <c r="AE30" s="9">
        <f t="shared" si="28"/>
        <v>0.88489491383412633</v>
      </c>
      <c r="AF30" s="9">
        <f t="shared" si="28"/>
        <v>0.88599349999999977</v>
      </c>
      <c r="AG30" s="9">
        <f t="shared" si="28"/>
        <v>0.88709345004710372</v>
      </c>
      <c r="AH30" s="9">
        <f t="shared" si="28"/>
        <v>0.88819476566867994</v>
      </c>
      <c r="AI30" s="9">
        <f t="shared" si="28"/>
        <v>0.88929744856007198</v>
      </c>
      <c r="AJ30" s="9">
        <f t="shared" si="28"/>
        <v>0.89040150041872923</v>
      </c>
      <c r="AK30" s="9">
        <f t="shared" si="28"/>
        <v>0.89150692294420697</v>
      </c>
      <c r="AL30" s="9">
        <f t="shared" si="28"/>
        <v>0.89261371783817178</v>
      </c>
      <c r="AM30" s="9">
        <f t="shared" si="28"/>
        <v>0.8937218868044019</v>
      </c>
      <c r="AN30" s="9">
        <f t="shared" si="28"/>
        <v>0.89483143154879152</v>
      </c>
      <c r="AO30" s="9">
        <f t="shared" si="28"/>
        <v>0.89594235377935227</v>
      </c>
      <c r="AP30" s="9">
        <f t="shared" si="28"/>
        <v>0.89705465520621586</v>
      </c>
      <c r="AQ30" s="9">
        <f t="shared" si="28"/>
        <v>0.89816833754163816</v>
      </c>
    </row>
    <row r="31" spans="1:43" hidden="1" outlineLevel="5" collapsed="1">
      <c r="A31" s="2"/>
      <c r="B31" s="2"/>
      <c r="C31" s="2"/>
      <c r="D31" s="2"/>
      <c r="E31" s="2"/>
      <c r="F31" s="2" t="s">
        <v>346</v>
      </c>
      <c r="G31" s="2"/>
      <c r="H31" s="9">
        <f>0.08</f>
        <v>0.08</v>
      </c>
      <c r="I31" s="9">
        <f t="shared" ref="I31:AQ31" si="29">H31+I32-I33</f>
        <v>9.4044392855901465E-2</v>
      </c>
      <c r="J31" s="9">
        <f t="shared" si="29"/>
        <v>0.108133288052463</v>
      </c>
      <c r="K31" s="9">
        <f t="shared" si="29"/>
        <v>0.12226679534446219</v>
      </c>
      <c r="L31" s="9">
        <f t="shared" si="29"/>
        <v>0.13644502475736148</v>
      </c>
      <c r="M31" s="9">
        <f t="shared" si="29"/>
        <v>0.15066808658797581</v>
      </c>
      <c r="N31" s="9">
        <f t="shared" si="29"/>
        <v>0.16493609140514182</v>
      </c>
      <c r="O31" s="9">
        <f t="shared" si="29"/>
        <v>0.17924915005038869</v>
      </c>
      <c r="P31" s="9">
        <f t="shared" si="29"/>
        <v>0.19360737363861075</v>
      </c>
      <c r="Q31" s="9">
        <f t="shared" si="29"/>
        <v>0.20801087355874162</v>
      </c>
      <c r="R31" s="9">
        <f t="shared" si="29"/>
        <v>0.22245976147443011</v>
      </c>
      <c r="S31" s="9">
        <f t="shared" si="29"/>
        <v>0.2369541493247177</v>
      </c>
      <c r="T31" s="9">
        <f t="shared" si="29"/>
        <v>0.2514941493247177</v>
      </c>
      <c r="U31" s="9">
        <f t="shared" si="29"/>
        <v>0.26607987396629618</v>
      </c>
      <c r="V31" s="9">
        <f t="shared" si="29"/>
        <v>0.28071143601875459</v>
      </c>
      <c r="W31" s="9">
        <f t="shared" si="29"/>
        <v>0.29538894852951375</v>
      </c>
      <c r="X31" s="9">
        <f t="shared" si="29"/>
        <v>0.31011252482480001</v>
      </c>
      <c r="Y31" s="9">
        <f t="shared" si="29"/>
        <v>0.32488227851033274</v>
      </c>
      <c r="Z31" s="9">
        <f t="shared" si="29"/>
        <v>0.33969832347201373</v>
      </c>
      <c r="AA31" s="9">
        <f t="shared" si="29"/>
        <v>0.354560773876618</v>
      </c>
      <c r="AB31" s="9">
        <f t="shared" si="29"/>
        <v>0.36946974417248674</v>
      </c>
      <c r="AC31" s="9">
        <f t="shared" si="29"/>
        <v>0.38442534909022152</v>
      </c>
      <c r="AD31" s="9">
        <f t="shared" si="29"/>
        <v>0.39942770364338065</v>
      </c>
      <c r="AE31" s="9">
        <f t="shared" si="29"/>
        <v>0.41447692312917683</v>
      </c>
      <c r="AF31" s="9">
        <f t="shared" si="29"/>
        <v>0.42957312312917684</v>
      </c>
      <c r="AG31" s="9">
        <f t="shared" si="29"/>
        <v>0.44471641951000268</v>
      </c>
      <c r="AH31" s="9">
        <f t="shared" si="29"/>
        <v>0.4599069284240348</v>
      </c>
      <c r="AI31" s="9">
        <f t="shared" si="29"/>
        <v>0.47514476631011676</v>
      </c>
      <c r="AJ31" s="9">
        <f t="shared" si="29"/>
        <v>0.49043004989426164</v>
      </c>
      <c r="AK31" s="9">
        <f t="shared" si="29"/>
        <v>0.50576289619036041</v>
      </c>
      <c r="AL31" s="9">
        <f t="shared" si="29"/>
        <v>0.52114342250089185</v>
      </c>
      <c r="AM31" s="9">
        <f t="shared" si="29"/>
        <v>0.53657174641763428</v>
      </c>
      <c r="AN31" s="9">
        <f t="shared" si="29"/>
        <v>0.55204798582237902</v>
      </c>
      <c r="AO31" s="9">
        <f t="shared" si="29"/>
        <v>0.56757225888764584</v>
      </c>
      <c r="AP31" s="9">
        <f t="shared" si="29"/>
        <v>0.58314468407739972</v>
      </c>
      <c r="AQ31" s="9">
        <f t="shared" si="29"/>
        <v>0.59876538014776981</v>
      </c>
    </row>
    <row r="32" spans="1:43" hidden="1" outlineLevel="6">
      <c r="A32" s="2"/>
      <c r="B32" s="2"/>
      <c r="C32" s="2"/>
      <c r="D32" s="2"/>
      <c r="E32" s="2"/>
      <c r="F32" s="2"/>
      <c r="G32" s="2" t="s">
        <v>116</v>
      </c>
      <c r="H32" s="9">
        <f t="shared" ref="H32:AQ32" si="30">western_public_coverage_additions*(1+western_public_coverage_additions_growth)^((COLUMN()-8)/12)</f>
        <v>1.7999999999999999E-2</v>
      </c>
      <c r="I32" s="9">
        <f t="shared" si="30"/>
        <v>1.8044392855901464E-2</v>
      </c>
      <c r="J32" s="9">
        <f t="shared" si="30"/>
        <v>1.8088895196561542E-2</v>
      </c>
      <c r="K32" s="9">
        <f t="shared" si="30"/>
        <v>1.8133507291999189E-2</v>
      </c>
      <c r="L32" s="9">
        <f t="shared" si="30"/>
        <v>1.8178229412899295E-2</v>
      </c>
      <c r="M32" s="9">
        <f t="shared" si="30"/>
        <v>1.822306183061433E-2</v>
      </c>
      <c r="N32" s="9">
        <f t="shared" si="30"/>
        <v>1.8268004817165995E-2</v>
      </c>
      <c r="O32" s="9">
        <f t="shared" si="30"/>
        <v>1.8313058645246866E-2</v>
      </c>
      <c r="P32" s="9">
        <f t="shared" si="30"/>
        <v>1.8358223588222061E-2</v>
      </c>
      <c r="Q32" s="9">
        <f t="shared" si="30"/>
        <v>1.8403499920130885E-2</v>
      </c>
      <c r="R32" s="9">
        <f t="shared" si="30"/>
        <v>1.8448887915688494E-2</v>
      </c>
      <c r="S32" s="9">
        <f t="shared" si="30"/>
        <v>1.8494387850287577E-2</v>
      </c>
      <c r="T32" s="9">
        <f t="shared" si="30"/>
        <v>1.8539999999999997E-2</v>
      </c>
      <c r="U32" s="9">
        <f t="shared" si="30"/>
        <v>1.8585724641578507E-2</v>
      </c>
      <c r="V32" s="9">
        <f t="shared" si="30"/>
        <v>1.8631562052458389E-2</v>
      </c>
      <c r="W32" s="9">
        <f t="shared" si="30"/>
        <v>1.8677512510759168E-2</v>
      </c>
      <c r="X32" s="9">
        <f t="shared" si="30"/>
        <v>1.8723576295286273E-2</v>
      </c>
      <c r="Y32" s="9">
        <f t="shared" si="30"/>
        <v>1.8769753685532759E-2</v>
      </c>
      <c r="Z32" s="9">
        <f t="shared" si="30"/>
        <v>1.8816044961680975E-2</v>
      </c>
      <c r="AA32" s="9">
        <f t="shared" si="30"/>
        <v>1.8862450404604277E-2</v>
      </c>
      <c r="AB32" s="9">
        <f t="shared" si="30"/>
        <v>1.8908970295868723E-2</v>
      </c>
      <c r="AC32" s="9">
        <f t="shared" si="30"/>
        <v>1.8955604917734813E-2</v>
      </c>
      <c r="AD32" s="9">
        <f t="shared" si="30"/>
        <v>1.9002354553159153E-2</v>
      </c>
      <c r="AE32" s="9">
        <f t="shared" si="30"/>
        <v>1.9049219485796201E-2</v>
      </c>
      <c r="AF32" s="9">
        <f t="shared" si="30"/>
        <v>1.9096199999999997E-2</v>
      </c>
      <c r="AG32" s="9">
        <f t="shared" si="30"/>
        <v>1.9143296380825861E-2</v>
      </c>
      <c r="AH32" s="9">
        <f t="shared" si="30"/>
        <v>1.9190508914032144E-2</v>
      </c>
      <c r="AI32" s="9">
        <f t="shared" si="30"/>
        <v>1.9237837886081941E-2</v>
      </c>
      <c r="AJ32" s="9">
        <f t="shared" si="30"/>
        <v>1.9285283584144865E-2</v>
      </c>
      <c r="AK32" s="9">
        <f t="shared" si="30"/>
        <v>1.9332846296098743E-2</v>
      </c>
      <c r="AL32" s="9">
        <f t="shared" si="30"/>
        <v>1.9380526310531405E-2</v>
      </c>
      <c r="AM32" s="9">
        <f t="shared" si="30"/>
        <v>1.9428323916742402E-2</v>
      </c>
      <c r="AN32" s="9">
        <f t="shared" si="30"/>
        <v>1.9476239404744789E-2</v>
      </c>
      <c r="AO32" s="9">
        <f t="shared" si="30"/>
        <v>1.9524273065266856E-2</v>
      </c>
      <c r="AP32" s="9">
        <f t="shared" si="30"/>
        <v>1.9572425189753925E-2</v>
      </c>
      <c r="AQ32" s="9">
        <f t="shared" si="30"/>
        <v>1.9620696070370092E-2</v>
      </c>
    </row>
    <row r="33" spans="1:43" hidden="1" outlineLevel="6">
      <c r="A33" s="2"/>
      <c r="B33" s="2"/>
      <c r="C33" s="2"/>
      <c r="D33" s="2"/>
      <c r="E33" s="2"/>
      <c r="F33" s="2"/>
      <c r="G33" s="2" t="s">
        <v>347</v>
      </c>
      <c r="H33" s="9">
        <f t="shared" ref="H33:AQ33" si="31">western_public_coverage_churn*(1+western_public_coverage_churn_growth)^((COLUMN()-8)/12)</f>
        <v>4.0000000000000001E-3</v>
      </c>
      <c r="I33" s="9">
        <f t="shared" si="31"/>
        <v>4.0000000000000001E-3</v>
      </c>
      <c r="J33" s="9">
        <f t="shared" si="31"/>
        <v>4.0000000000000001E-3</v>
      </c>
      <c r="K33" s="9">
        <f t="shared" si="31"/>
        <v>4.0000000000000001E-3</v>
      </c>
      <c r="L33" s="9">
        <f t="shared" si="31"/>
        <v>4.0000000000000001E-3</v>
      </c>
      <c r="M33" s="9">
        <f t="shared" si="31"/>
        <v>4.0000000000000001E-3</v>
      </c>
      <c r="N33" s="9">
        <f t="shared" si="31"/>
        <v>4.0000000000000001E-3</v>
      </c>
      <c r="O33" s="9">
        <f t="shared" si="31"/>
        <v>4.0000000000000001E-3</v>
      </c>
      <c r="P33" s="9">
        <f t="shared" si="31"/>
        <v>4.0000000000000001E-3</v>
      </c>
      <c r="Q33" s="9">
        <f t="shared" si="31"/>
        <v>4.0000000000000001E-3</v>
      </c>
      <c r="R33" s="9">
        <f t="shared" si="31"/>
        <v>4.0000000000000001E-3</v>
      </c>
      <c r="S33" s="9">
        <f t="shared" si="31"/>
        <v>4.0000000000000001E-3</v>
      </c>
      <c r="T33" s="9">
        <f t="shared" si="31"/>
        <v>4.0000000000000001E-3</v>
      </c>
      <c r="U33" s="9">
        <f t="shared" si="31"/>
        <v>4.0000000000000001E-3</v>
      </c>
      <c r="V33" s="9">
        <f t="shared" si="31"/>
        <v>4.0000000000000001E-3</v>
      </c>
      <c r="W33" s="9">
        <f t="shared" si="31"/>
        <v>4.0000000000000001E-3</v>
      </c>
      <c r="X33" s="9">
        <f t="shared" si="31"/>
        <v>4.0000000000000001E-3</v>
      </c>
      <c r="Y33" s="9">
        <f t="shared" si="31"/>
        <v>4.0000000000000001E-3</v>
      </c>
      <c r="Z33" s="9">
        <f t="shared" si="31"/>
        <v>4.0000000000000001E-3</v>
      </c>
      <c r="AA33" s="9">
        <f t="shared" si="31"/>
        <v>4.0000000000000001E-3</v>
      </c>
      <c r="AB33" s="9">
        <f t="shared" si="31"/>
        <v>4.0000000000000001E-3</v>
      </c>
      <c r="AC33" s="9">
        <f t="shared" si="31"/>
        <v>4.0000000000000001E-3</v>
      </c>
      <c r="AD33" s="9">
        <f t="shared" si="31"/>
        <v>4.0000000000000001E-3</v>
      </c>
      <c r="AE33" s="9">
        <f t="shared" si="31"/>
        <v>4.0000000000000001E-3</v>
      </c>
      <c r="AF33" s="9">
        <f t="shared" si="31"/>
        <v>4.0000000000000001E-3</v>
      </c>
      <c r="AG33" s="9">
        <f t="shared" si="31"/>
        <v>4.0000000000000001E-3</v>
      </c>
      <c r="AH33" s="9">
        <f t="shared" si="31"/>
        <v>4.0000000000000001E-3</v>
      </c>
      <c r="AI33" s="9">
        <f t="shared" si="31"/>
        <v>4.0000000000000001E-3</v>
      </c>
      <c r="AJ33" s="9">
        <f t="shared" si="31"/>
        <v>4.0000000000000001E-3</v>
      </c>
      <c r="AK33" s="9">
        <f t="shared" si="31"/>
        <v>4.0000000000000001E-3</v>
      </c>
      <c r="AL33" s="9">
        <f t="shared" si="31"/>
        <v>4.0000000000000001E-3</v>
      </c>
      <c r="AM33" s="9">
        <f t="shared" si="31"/>
        <v>4.0000000000000001E-3</v>
      </c>
      <c r="AN33" s="9">
        <f t="shared" si="31"/>
        <v>4.0000000000000001E-3</v>
      </c>
      <c r="AO33" s="9">
        <f t="shared" si="31"/>
        <v>4.0000000000000001E-3</v>
      </c>
      <c r="AP33" s="9">
        <f t="shared" si="31"/>
        <v>4.0000000000000001E-3</v>
      </c>
      <c r="AQ33" s="9">
        <f t="shared" si="31"/>
        <v>4.0000000000000001E-3</v>
      </c>
    </row>
    <row r="34" spans="1:43" hidden="1" outlineLevel="4">
      <c r="A34" s="2"/>
      <c r="B34" s="2"/>
      <c r="C34" s="2"/>
      <c r="D34" s="2"/>
      <c r="E34" s="2" t="s">
        <v>348</v>
      </c>
      <c r="F34" s="2"/>
      <c r="G34" s="2"/>
      <c r="H34" s="9">
        <f t="shared" ref="H34:AQ34" si="32">western_public_net_price_per_dose*(1+western_public_net_price_per_dose_growth)^((COLUMN()-8)/12)</f>
        <v>34500</v>
      </c>
      <c r="I34" s="9">
        <f t="shared" si="32"/>
        <v>34585.086307144476</v>
      </c>
      <c r="J34" s="9">
        <f t="shared" si="32"/>
        <v>34670.382460076289</v>
      </c>
      <c r="K34" s="9">
        <f t="shared" si="32"/>
        <v>34755.888976331786</v>
      </c>
      <c r="L34" s="9">
        <f t="shared" si="32"/>
        <v>34841.606374723655</v>
      </c>
      <c r="M34" s="9">
        <f t="shared" si="32"/>
        <v>34927.535175344135</v>
      </c>
      <c r="N34" s="9">
        <f t="shared" si="32"/>
        <v>35013.675899568159</v>
      </c>
      <c r="O34" s="9">
        <f t="shared" si="32"/>
        <v>35100.029070056495</v>
      </c>
      <c r="P34" s="9">
        <f t="shared" si="32"/>
        <v>35186.595210758955</v>
      </c>
      <c r="Q34" s="9">
        <f t="shared" si="32"/>
        <v>35273.374846917533</v>
      </c>
      <c r="R34" s="9">
        <f t="shared" si="32"/>
        <v>35360.368505069615</v>
      </c>
      <c r="S34" s="9">
        <f t="shared" si="32"/>
        <v>35447.576713051189</v>
      </c>
      <c r="T34" s="9">
        <f t="shared" si="32"/>
        <v>35535</v>
      </c>
      <c r="U34" s="9">
        <f t="shared" si="32"/>
        <v>35622.638896358811</v>
      </c>
      <c r="V34" s="9">
        <f t="shared" si="32"/>
        <v>35710.493933878584</v>
      </c>
      <c r="W34" s="9">
        <f t="shared" si="32"/>
        <v>35798.56564562174</v>
      </c>
      <c r="X34" s="9">
        <f t="shared" si="32"/>
        <v>35886.854565965361</v>
      </c>
      <c r="Y34" s="9">
        <f t="shared" si="32"/>
        <v>35975.36123060446</v>
      </c>
      <c r="Z34" s="9">
        <f t="shared" si="32"/>
        <v>36064.086176555204</v>
      </c>
      <c r="AA34" s="9">
        <f t="shared" si="32"/>
        <v>36153.029942158195</v>
      </c>
      <c r="AB34" s="9">
        <f t="shared" si="32"/>
        <v>36242.193067081724</v>
      </c>
      <c r="AC34" s="9">
        <f t="shared" si="32"/>
        <v>36331.576092325056</v>
      </c>
      <c r="AD34" s="9">
        <f t="shared" si="32"/>
        <v>36421.17956022171</v>
      </c>
      <c r="AE34" s="9">
        <f t="shared" si="32"/>
        <v>36511.004014442726</v>
      </c>
      <c r="AF34" s="9">
        <f t="shared" si="32"/>
        <v>36601.049999999996</v>
      </c>
      <c r="AG34" s="9">
        <f t="shared" si="32"/>
        <v>36691.318063249571</v>
      </c>
      <c r="AH34" s="9">
        <f t="shared" si="32"/>
        <v>36781.808751894947</v>
      </c>
      <c r="AI34" s="9">
        <f t="shared" si="32"/>
        <v>36872.52261499039</v>
      </c>
      <c r="AJ34" s="9">
        <f t="shared" si="32"/>
        <v>36963.460202944327</v>
      </c>
      <c r="AK34" s="9">
        <f t="shared" si="32"/>
        <v>37054.622067522592</v>
      </c>
      <c r="AL34" s="9">
        <f t="shared" si="32"/>
        <v>37146.008761851859</v>
      </c>
      <c r="AM34" s="9">
        <f t="shared" si="32"/>
        <v>37237.62084042294</v>
      </c>
      <c r="AN34" s="9">
        <f t="shared" si="32"/>
        <v>37329.458859094178</v>
      </c>
      <c r="AO34" s="9">
        <f t="shared" si="32"/>
        <v>37421.52337509481</v>
      </c>
      <c r="AP34" s="9">
        <f t="shared" si="32"/>
        <v>37513.814947028361</v>
      </c>
      <c r="AQ34" s="9">
        <f t="shared" si="32"/>
        <v>37606.334134876008</v>
      </c>
    </row>
    <row r="35" spans="1:43" hidden="1" outlineLevel="3" collapsed="1">
      <c r="A35" s="2"/>
      <c r="B35" s="2"/>
      <c r="C35" s="2"/>
      <c r="D35" s="2" t="s">
        <v>349</v>
      </c>
      <c r="E35" s="2"/>
      <c r="F35" s="2"/>
      <c r="G35" s="2"/>
      <c r="H35" s="9">
        <f t="shared" ref="H35:AQ35" si="33">(H36*H49)</f>
        <v>1645719.8178461038</v>
      </c>
      <c r="I35" s="9">
        <f t="shared" si="33"/>
        <v>1884410.8891176637</v>
      </c>
      <c r="J35" s="9">
        <f t="shared" si="33"/>
        <v>2131655.9438709775</v>
      </c>
      <c r="K35" s="9">
        <f t="shared" si="33"/>
        <v>2387695.2670898451</v>
      </c>
      <c r="L35" s="9">
        <f t="shared" si="33"/>
        <v>2652775.2124336101</v>
      </c>
      <c r="M35" s="9">
        <f t="shared" si="33"/>
        <v>2927148.3465915443</v>
      </c>
      <c r="N35" s="9">
        <f t="shared" si="33"/>
        <v>3211073.5969413351</v>
      </c>
      <c r="O35" s="9">
        <f t="shared" si="33"/>
        <v>3504816.4025852345</v>
      </c>
      <c r="P35" s="9">
        <f t="shared" si="33"/>
        <v>3808648.8688392076</v>
      </c>
      <c r="Q35" s="9">
        <f t="shared" si="33"/>
        <v>4122849.9252518322</v>
      </c>
      <c r="R35" s="9">
        <f t="shared" si="33"/>
        <v>4447705.4872316476</v>
      </c>
      <c r="S35" s="9">
        <f t="shared" si="33"/>
        <v>4783508.6213630978</v>
      </c>
      <c r="T35" s="9">
        <f t="shared" si="33"/>
        <v>5130559.7144931825</v>
      </c>
      <c r="U35" s="9">
        <f t="shared" si="33"/>
        <v>5489166.6466726102</v>
      </c>
      <c r="V35" s="9">
        <f t="shared" si="33"/>
        <v>5859644.9680370484</v>
      </c>
      <c r="W35" s="9">
        <f t="shared" si="33"/>
        <v>6242318.0797160501</v>
      </c>
      <c r="X35" s="9">
        <f t="shared" si="33"/>
        <v>6637517.4188590413</v>
      </c>
      <c r="Y35" s="9">
        <f t="shared" si="33"/>
        <v>7045582.6478696931</v>
      </c>
      <c r="Z35" s="9">
        <f t="shared" si="33"/>
        <v>7466861.8479421521</v>
      </c>
      <c r="AA35" s="9">
        <f t="shared" si="33"/>
        <v>7901711.7169943582</v>
      </c>
      <c r="AB35" s="9">
        <f t="shared" si="33"/>
        <v>8350497.7720960462</v>
      </c>
      <c r="AC35" s="9">
        <f t="shared" si="33"/>
        <v>8813594.5564909782</v>
      </c>
      <c r="AD35" s="9">
        <f t="shared" si="33"/>
        <v>9291385.8513150848</v>
      </c>
      <c r="AE35" s="9">
        <f t="shared" si="33"/>
        <v>9784264.8921146058</v>
      </c>
      <c r="AF35" s="9">
        <f t="shared" si="33"/>
        <v>10292634.590270376</v>
      </c>
      <c r="AG35" s="9">
        <f t="shared" si="33"/>
        <v>10816907.75943682</v>
      </c>
      <c r="AH35" s="9">
        <f t="shared" si="33"/>
        <v>11357507.347106477</v>
      </c>
      <c r="AI35" s="9">
        <f t="shared" si="33"/>
        <v>11914866.671413517</v>
      </c>
      <c r="AJ35" s="9">
        <f t="shared" si="33"/>
        <v>12489429.663291847</v>
      </c>
      <c r="AK35" s="9">
        <f t="shared" si="33"/>
        <v>13081651.114106122</v>
      </c>
      <c r="AL35" s="9">
        <f t="shared" si="33"/>
        <v>13691996.928876661</v>
      </c>
      <c r="AM35" s="9">
        <f t="shared" si="33"/>
        <v>14320944.385221452</v>
      </c>
      <c r="AN35" s="9">
        <f t="shared" si="33"/>
        <v>14968982.398141615</v>
      </c>
      <c r="AO35" s="9">
        <f t="shared" si="33"/>
        <v>15636611.790779175</v>
      </c>
      <c r="AP35" s="9">
        <f t="shared" si="33"/>
        <v>16324345.571278639</v>
      </c>
      <c r="AQ35" s="9">
        <f t="shared" si="33"/>
        <v>17032709.215887204</v>
      </c>
    </row>
    <row r="36" spans="1:43" hidden="1" outlineLevel="4" collapsed="1">
      <c r="A36" s="2"/>
      <c r="B36" s="2"/>
      <c r="C36" s="2"/>
      <c r="D36" s="2"/>
      <c r="E36" s="2" t="s">
        <v>350</v>
      </c>
      <c r="F36" s="2"/>
      <c r="G36" s="2"/>
      <c r="H36" s="9">
        <f t="shared" ref="H36:AQ36" si="34">(((((H37*H42)*H43)*H44)*H45)*H46)</f>
        <v>49.125964711823997</v>
      </c>
      <c r="I36" s="9">
        <f t="shared" si="34"/>
        <v>56.112682304734143</v>
      </c>
      <c r="J36" s="9">
        <f t="shared" si="34"/>
        <v>63.318813027559358</v>
      </c>
      <c r="K36" s="9">
        <f t="shared" si="34"/>
        <v>70.749729760879859</v>
      </c>
      <c r="L36" s="9">
        <f t="shared" si="34"/>
        <v>78.410923504080728</v>
      </c>
      <c r="M36" s="9">
        <f t="shared" si="34"/>
        <v>86.308005819556527</v>
      </c>
      <c r="N36" s="9">
        <f t="shared" si="34"/>
        <v>94.446711325570945</v>
      </c>
      <c r="O36" s="9">
        <f t="shared" si="34"/>
        <v>102.83290023871263</v>
      </c>
      <c r="P36" s="9">
        <f t="shared" si="34"/>
        <v>111.47256096691062</v>
      </c>
      <c r="Q36" s="9">
        <f t="shared" si="34"/>
        <v>120.37181275398481</v>
      </c>
      <c r="R36" s="9">
        <f t="shared" si="34"/>
        <v>129.53690837673281</v>
      </c>
      <c r="S36" s="9">
        <f t="shared" si="34"/>
        <v>138.97423689556641</v>
      </c>
      <c r="T36" s="9">
        <f t="shared" si="34"/>
        <v>148.69032645973576</v>
      </c>
      <c r="U36" s="9">
        <f t="shared" si="34"/>
        <v>158.69184716819603</v>
      </c>
      <c r="V36" s="9">
        <f t="shared" si="34"/>
        <v>168.98561398719102</v>
      </c>
      <c r="W36" s="9">
        <f t="shared" si="34"/>
        <v>179.57858972565131</v>
      </c>
      <c r="X36" s="9">
        <f t="shared" si="34"/>
        <v>190.47788806952275</v>
      </c>
      <c r="Y36" s="9">
        <f t="shared" si="34"/>
        <v>201.69077667616205</v>
      </c>
      <c r="Z36" s="9">
        <f t="shared" si="34"/>
        <v>213.22468032996201</v>
      </c>
      <c r="AA36" s="9">
        <f t="shared" si="34"/>
        <v>225.08718416038371</v>
      </c>
      <c r="AB36" s="9">
        <f t="shared" si="34"/>
        <v>237.2860369236021</v>
      </c>
      <c r="AC36" s="9">
        <f t="shared" si="34"/>
        <v>249.82915434899141</v>
      </c>
      <c r="AD36" s="9">
        <f t="shared" si="34"/>
        <v>262.7246225516983</v>
      </c>
      <c r="AE36" s="9">
        <f t="shared" si="34"/>
        <v>275.9807015125777</v>
      </c>
      <c r="AF36" s="9">
        <f t="shared" si="34"/>
        <v>289.60582862678899</v>
      </c>
      <c r="AG36" s="9">
        <f t="shared" si="34"/>
        <v>303.60862232237383</v>
      </c>
      <c r="AH36" s="9">
        <f t="shared" si="34"/>
        <v>317.99788575016089</v>
      </c>
      <c r="AI36" s="9">
        <f t="shared" si="34"/>
        <v>332.78261054637511</v>
      </c>
      <c r="AJ36" s="9">
        <f t="shared" si="34"/>
        <v>347.97198066934385</v>
      </c>
      <c r="AK36" s="9">
        <f t="shared" si="34"/>
        <v>363.57537631172818</v>
      </c>
      <c r="AL36" s="9">
        <f t="shared" si="34"/>
        <v>379.60237788973194</v>
      </c>
      <c r="AM36" s="9">
        <f t="shared" si="34"/>
        <v>396.0627701107644</v>
      </c>
      <c r="AN36" s="9">
        <f t="shared" si="34"/>
        <v>412.96654612106539</v>
      </c>
      <c r="AO36" s="9">
        <f t="shared" si="34"/>
        <v>430.32391173483086</v>
      </c>
      <c r="AP36" s="9">
        <f t="shared" si="34"/>
        <v>448.14528974639717</v>
      </c>
      <c r="AQ36" s="9">
        <f t="shared" si="34"/>
        <v>466.44132432708591</v>
      </c>
    </row>
    <row r="37" spans="1:43" hidden="1" outlineLevel="5" collapsed="1">
      <c r="A37" s="2"/>
      <c r="B37" s="2"/>
      <c r="C37" s="2"/>
      <c r="D37" s="2"/>
      <c r="E37" s="2"/>
      <c r="F37" s="2" t="s">
        <v>351</v>
      </c>
      <c r="G37" s="2"/>
      <c r="H37" s="9">
        <f t="shared" ref="H37:AQ37" si="35">(((H38*H39)*H40)*H41)</f>
        <v>11484.348749999999</v>
      </c>
      <c r="I37" s="9">
        <f t="shared" si="35"/>
        <v>11510.042575199832</v>
      </c>
      <c r="J37" s="9">
        <f t="shared" si="35"/>
        <v>11535.793884952576</v>
      </c>
      <c r="K37" s="9">
        <f t="shared" si="35"/>
        <v>11561.602807867881</v>
      </c>
      <c r="L37" s="9">
        <f t="shared" si="35"/>
        <v>11587.469472843139</v>
      </c>
      <c r="M37" s="9">
        <f t="shared" si="35"/>
        <v>11613.394009064104</v>
      </c>
      <c r="N37" s="9">
        <f t="shared" si="35"/>
        <v>11639.376546005584</v>
      </c>
      <c r="O37" s="9">
        <f t="shared" si="35"/>
        <v>11665.417213432027</v>
      </c>
      <c r="P37" s="9">
        <f t="shared" si="35"/>
        <v>11691.516141398233</v>
      </c>
      <c r="Q37" s="9">
        <f t="shared" si="35"/>
        <v>11717.673460249951</v>
      </c>
      <c r="R37" s="9">
        <f t="shared" si="35"/>
        <v>11743.889300624562</v>
      </c>
      <c r="S37" s="9">
        <f t="shared" si="35"/>
        <v>11770.163793451717</v>
      </c>
      <c r="T37" s="9">
        <f t="shared" si="35"/>
        <v>11796.497069953994</v>
      </c>
      <c r="U37" s="9">
        <f t="shared" si="35"/>
        <v>11822.889261647555</v>
      </c>
      <c r="V37" s="9">
        <f t="shared" si="35"/>
        <v>11849.340500342805</v>
      </c>
      <c r="W37" s="9">
        <f t="shared" si="35"/>
        <v>11875.850918145039</v>
      </c>
      <c r="X37" s="9">
        <f t="shared" si="35"/>
        <v>11902.420647455127</v>
      </c>
      <c r="Y37" s="9">
        <f t="shared" si="35"/>
        <v>11929.049820970127</v>
      </c>
      <c r="Z37" s="9">
        <f t="shared" si="35"/>
        <v>11955.738571684016</v>
      </c>
      <c r="AA37" s="9">
        <f t="shared" si="35"/>
        <v>11982.48703288829</v>
      </c>
      <c r="AB37" s="9">
        <f t="shared" si="35"/>
        <v>12009.295338172666</v>
      </c>
      <c r="AC37" s="9">
        <f t="shared" si="35"/>
        <v>12036.163621425747</v>
      </c>
      <c r="AD37" s="9">
        <f t="shared" si="35"/>
        <v>12063.092016835672</v>
      </c>
      <c r="AE37" s="9">
        <f t="shared" si="35"/>
        <v>12090.080658890804</v>
      </c>
      <c r="AF37" s="9">
        <f t="shared" si="35"/>
        <v>12117.129682380391</v>
      </c>
      <c r="AG37" s="9">
        <f t="shared" si="35"/>
        <v>12144.239222395257</v>
      </c>
      <c r="AH37" s="9">
        <f t="shared" si="35"/>
        <v>12171.409414328442</v>
      </c>
      <c r="AI37" s="9">
        <f t="shared" si="35"/>
        <v>12198.640393875916</v>
      </c>
      <c r="AJ37" s="9">
        <f t="shared" si="35"/>
        <v>12225.932297037245</v>
      </c>
      <c r="AK37" s="9">
        <f t="shared" si="35"/>
        <v>12253.285260116236</v>
      </c>
      <c r="AL37" s="9">
        <f t="shared" si="35"/>
        <v>12280.699419721677</v>
      </c>
      <c r="AM37" s="9">
        <f t="shared" si="35"/>
        <v>12308.174912767992</v>
      </c>
      <c r="AN37" s="9">
        <f t="shared" si="35"/>
        <v>12335.711876475885</v>
      </c>
      <c r="AO37" s="9">
        <f t="shared" si="35"/>
        <v>12363.310448373108</v>
      </c>
      <c r="AP37" s="9">
        <f t="shared" si="35"/>
        <v>12390.970766295077</v>
      </c>
      <c r="AQ37" s="9">
        <f t="shared" si="35"/>
        <v>12418.692968385587</v>
      </c>
    </row>
    <row r="38" spans="1:43" hidden="1" outlineLevel="6">
      <c r="A38" s="2"/>
      <c r="B38" s="2"/>
      <c r="C38" s="2"/>
      <c r="D38" s="2"/>
      <c r="E38" s="2"/>
      <c r="F38" s="2"/>
      <c r="G38" s="2" t="s">
        <v>71</v>
      </c>
      <c r="H38" s="9">
        <f t="shared" ref="H38:AQ38" si="36">H8</f>
        <v>145833</v>
      </c>
      <c r="I38" s="9">
        <f t="shared" si="36"/>
        <v>146049.96530187438</v>
      </c>
      <c r="J38" s="9">
        <f t="shared" si="36"/>
        <v>146267.2533972332</v>
      </c>
      <c r="K38" s="9">
        <f t="shared" si="36"/>
        <v>146484.86476631745</v>
      </c>
      <c r="L38" s="9">
        <f t="shared" si="36"/>
        <v>146702.79989008268</v>
      </c>
      <c r="M38" s="9">
        <f t="shared" si="36"/>
        <v>146921.05925019985</v>
      </c>
      <c r="N38" s="9">
        <f t="shared" si="36"/>
        <v>147139.64332905665</v>
      </c>
      <c r="O38" s="9">
        <f t="shared" si="36"/>
        <v>147358.55260975836</v>
      </c>
      <c r="P38" s="9">
        <f t="shared" si="36"/>
        <v>147577.78757612914</v>
      </c>
      <c r="Q38" s="9">
        <f t="shared" si="36"/>
        <v>147797.34871271279</v>
      </c>
      <c r="R38" s="9">
        <f t="shared" si="36"/>
        <v>148017.23650477419</v>
      </c>
      <c r="S38" s="9">
        <f t="shared" si="36"/>
        <v>148237.45143829999</v>
      </c>
      <c r="T38" s="9">
        <f t="shared" si="36"/>
        <v>148457.99400000001</v>
      </c>
      <c r="U38" s="9">
        <f t="shared" si="36"/>
        <v>148678.8646773081</v>
      </c>
      <c r="V38" s="9">
        <f t="shared" si="36"/>
        <v>148900.0639583834</v>
      </c>
      <c r="W38" s="9">
        <f t="shared" si="36"/>
        <v>149121.59233211118</v>
      </c>
      <c r="X38" s="9">
        <f t="shared" si="36"/>
        <v>149343.45028810418</v>
      </c>
      <c r="Y38" s="9">
        <f t="shared" si="36"/>
        <v>149565.63831670344</v>
      </c>
      <c r="Z38" s="9">
        <f t="shared" si="36"/>
        <v>149788.15690897967</v>
      </c>
      <c r="AA38" s="9">
        <f t="shared" si="36"/>
        <v>150011.00655673404</v>
      </c>
      <c r="AB38" s="9">
        <f t="shared" si="36"/>
        <v>150234.18775249945</v>
      </c>
      <c r="AC38" s="9">
        <f t="shared" si="36"/>
        <v>150457.70098954163</v>
      </c>
      <c r="AD38" s="9">
        <f t="shared" si="36"/>
        <v>150681.54676186011</v>
      </c>
      <c r="AE38" s="9">
        <f t="shared" si="36"/>
        <v>150905.72556418937</v>
      </c>
      <c r="AF38" s="9">
        <f t="shared" si="36"/>
        <v>151130.237892</v>
      </c>
      <c r="AG38" s="9">
        <f t="shared" si="36"/>
        <v>151355.08424149966</v>
      </c>
      <c r="AH38" s="9">
        <f t="shared" si="36"/>
        <v>151580.26510963429</v>
      </c>
      <c r="AI38" s="9">
        <f t="shared" si="36"/>
        <v>151805.78099408917</v>
      </c>
      <c r="AJ38" s="9">
        <f t="shared" si="36"/>
        <v>152031.63239329006</v>
      </c>
      <c r="AK38" s="9">
        <f t="shared" si="36"/>
        <v>152257.81980640409</v>
      </c>
      <c r="AL38" s="9">
        <f t="shared" si="36"/>
        <v>152484.34373334129</v>
      </c>
      <c r="AM38" s="9">
        <f t="shared" si="36"/>
        <v>152711.20467475525</v>
      </c>
      <c r="AN38" s="9">
        <f t="shared" si="36"/>
        <v>152938.40313204445</v>
      </c>
      <c r="AO38" s="9">
        <f t="shared" si="36"/>
        <v>153165.93960735339</v>
      </c>
      <c r="AP38" s="9">
        <f t="shared" si="36"/>
        <v>153393.81460357361</v>
      </c>
      <c r="AQ38" s="9">
        <f t="shared" si="36"/>
        <v>153622.02862434482</v>
      </c>
    </row>
    <row r="39" spans="1:43" hidden="1" outlineLevel="6">
      <c r="A39" s="2"/>
      <c r="B39" s="2"/>
      <c r="C39" s="2"/>
      <c r="D39" s="2"/>
      <c r="E39" s="2"/>
      <c r="F39" s="2"/>
      <c r="G39" s="2" t="s">
        <v>352</v>
      </c>
      <c r="H39" s="9">
        <f t="shared" ref="H39:AQ39" si="37">eastern_regional_opportunity_weight*(1+eastern_regional_opportunity_weight_growth)^((COLUMN()-8)/12)</f>
        <v>0.25</v>
      </c>
      <c r="I39" s="9">
        <f t="shared" si="37"/>
        <v>0.25</v>
      </c>
      <c r="J39" s="9">
        <f t="shared" si="37"/>
        <v>0.25</v>
      </c>
      <c r="K39" s="9">
        <f t="shared" si="37"/>
        <v>0.25</v>
      </c>
      <c r="L39" s="9">
        <f t="shared" si="37"/>
        <v>0.25</v>
      </c>
      <c r="M39" s="9">
        <f t="shared" si="37"/>
        <v>0.25</v>
      </c>
      <c r="N39" s="9">
        <f t="shared" si="37"/>
        <v>0.25</v>
      </c>
      <c r="O39" s="9">
        <f t="shared" si="37"/>
        <v>0.25</v>
      </c>
      <c r="P39" s="9">
        <f t="shared" si="37"/>
        <v>0.25</v>
      </c>
      <c r="Q39" s="9">
        <f t="shared" si="37"/>
        <v>0.25</v>
      </c>
      <c r="R39" s="9">
        <f t="shared" si="37"/>
        <v>0.25</v>
      </c>
      <c r="S39" s="9">
        <f t="shared" si="37"/>
        <v>0.25</v>
      </c>
      <c r="T39" s="9">
        <f t="shared" si="37"/>
        <v>0.25</v>
      </c>
      <c r="U39" s="9">
        <f t="shared" si="37"/>
        <v>0.25</v>
      </c>
      <c r="V39" s="9">
        <f t="shared" si="37"/>
        <v>0.25</v>
      </c>
      <c r="W39" s="9">
        <f t="shared" si="37"/>
        <v>0.25</v>
      </c>
      <c r="X39" s="9">
        <f t="shared" si="37"/>
        <v>0.25</v>
      </c>
      <c r="Y39" s="9">
        <f t="shared" si="37"/>
        <v>0.25</v>
      </c>
      <c r="Z39" s="9">
        <f t="shared" si="37"/>
        <v>0.25</v>
      </c>
      <c r="AA39" s="9">
        <f t="shared" si="37"/>
        <v>0.25</v>
      </c>
      <c r="AB39" s="9">
        <f t="shared" si="37"/>
        <v>0.25</v>
      </c>
      <c r="AC39" s="9">
        <f t="shared" si="37"/>
        <v>0.25</v>
      </c>
      <c r="AD39" s="9">
        <f t="shared" si="37"/>
        <v>0.25</v>
      </c>
      <c r="AE39" s="9">
        <f t="shared" si="37"/>
        <v>0.25</v>
      </c>
      <c r="AF39" s="9">
        <f t="shared" si="37"/>
        <v>0.25</v>
      </c>
      <c r="AG39" s="9">
        <f t="shared" si="37"/>
        <v>0.25</v>
      </c>
      <c r="AH39" s="9">
        <f t="shared" si="37"/>
        <v>0.25</v>
      </c>
      <c r="AI39" s="9">
        <f t="shared" si="37"/>
        <v>0.25</v>
      </c>
      <c r="AJ39" s="9">
        <f t="shared" si="37"/>
        <v>0.25</v>
      </c>
      <c r="AK39" s="9">
        <f t="shared" si="37"/>
        <v>0.25</v>
      </c>
      <c r="AL39" s="9">
        <f t="shared" si="37"/>
        <v>0.25</v>
      </c>
      <c r="AM39" s="9">
        <f t="shared" si="37"/>
        <v>0.25</v>
      </c>
      <c r="AN39" s="9">
        <f t="shared" si="37"/>
        <v>0.25</v>
      </c>
      <c r="AO39" s="9">
        <f t="shared" si="37"/>
        <v>0.25</v>
      </c>
      <c r="AP39" s="9">
        <f t="shared" si="37"/>
        <v>0.25</v>
      </c>
      <c r="AQ39" s="9">
        <f t="shared" si="37"/>
        <v>0.25</v>
      </c>
    </row>
    <row r="40" spans="1:43" hidden="1" outlineLevel="6">
      <c r="A40" s="2"/>
      <c r="B40" s="2"/>
      <c r="C40" s="2"/>
      <c r="D40" s="2"/>
      <c r="E40" s="2"/>
      <c r="F40" s="2"/>
      <c r="G40" s="2" t="s">
        <v>353</v>
      </c>
      <c r="H40" s="9">
        <f t="shared" ref="H40:AQ40" si="38">eastern_anc_access_rate*(1+eastern_anc_access_rate_growth)^((COLUMN()-8)/12)</f>
        <v>0.63</v>
      </c>
      <c r="I40" s="9">
        <f t="shared" si="38"/>
        <v>0.63015728385167225</v>
      </c>
      <c r="J40" s="9">
        <f t="shared" si="38"/>
        <v>0.63031460697034458</v>
      </c>
      <c r="K40" s="9">
        <f t="shared" si="38"/>
        <v>0.63047196936582006</v>
      </c>
      <c r="L40" s="9">
        <f t="shared" si="38"/>
        <v>0.63062937104790451</v>
      </c>
      <c r="M40" s="9">
        <f t="shared" si="38"/>
        <v>0.63078681202640619</v>
      </c>
      <c r="N40" s="9">
        <f t="shared" si="38"/>
        <v>0.6309442923111358</v>
      </c>
      <c r="O40" s="9">
        <f t="shared" si="38"/>
        <v>0.63110181191190606</v>
      </c>
      <c r="P40" s="9">
        <f t="shared" si="38"/>
        <v>0.6312593708385329</v>
      </c>
      <c r="Q40" s="9">
        <f t="shared" si="38"/>
        <v>0.631416969100834</v>
      </c>
      <c r="R40" s="9">
        <f t="shared" si="38"/>
        <v>0.63157460670862986</v>
      </c>
      <c r="S40" s="9">
        <f t="shared" si="38"/>
        <v>0.6317322836717435</v>
      </c>
      <c r="T40" s="9">
        <f t="shared" si="38"/>
        <v>0.63188999999999995</v>
      </c>
      <c r="U40" s="9">
        <f t="shared" si="38"/>
        <v>0.63204775570322724</v>
      </c>
      <c r="V40" s="9">
        <f t="shared" si="38"/>
        <v>0.63220555079125551</v>
      </c>
      <c r="W40" s="9">
        <f t="shared" si="38"/>
        <v>0.63236338527391733</v>
      </c>
      <c r="X40" s="9">
        <f t="shared" si="38"/>
        <v>0.63252125916104829</v>
      </c>
      <c r="Y40" s="9">
        <f t="shared" si="38"/>
        <v>0.6326791724624854</v>
      </c>
      <c r="Z40" s="9">
        <f t="shared" si="38"/>
        <v>0.63283712518806923</v>
      </c>
      <c r="AA40" s="9">
        <f t="shared" si="38"/>
        <v>0.63299511734764191</v>
      </c>
      <c r="AB40" s="9">
        <f t="shared" si="38"/>
        <v>0.63315314895104846</v>
      </c>
      <c r="AC40" s="9">
        <f t="shared" si="38"/>
        <v>0.63331122000813644</v>
      </c>
      <c r="AD40" s="9">
        <f t="shared" si="38"/>
        <v>0.63346933052875576</v>
      </c>
      <c r="AE40" s="9">
        <f t="shared" si="38"/>
        <v>0.63362748052275863</v>
      </c>
      <c r="AF40" s="9">
        <f t="shared" si="38"/>
        <v>0.63378566999999986</v>
      </c>
      <c r="AG40" s="9">
        <f t="shared" si="38"/>
        <v>0.63394389897033687</v>
      </c>
      <c r="AH40" s="9">
        <f t="shared" si="38"/>
        <v>0.63410216744362913</v>
      </c>
      <c r="AI40" s="9">
        <f t="shared" si="38"/>
        <v>0.63426047542973907</v>
      </c>
      <c r="AJ40" s="9">
        <f t="shared" si="38"/>
        <v>0.63441882293853136</v>
      </c>
      <c r="AK40" s="9">
        <f t="shared" si="38"/>
        <v>0.63457720997987288</v>
      </c>
      <c r="AL40" s="9">
        <f t="shared" si="38"/>
        <v>0.63473563656363319</v>
      </c>
      <c r="AM40" s="9">
        <f t="shared" si="38"/>
        <v>0.63489410269968471</v>
      </c>
      <c r="AN40" s="9">
        <f t="shared" si="38"/>
        <v>0.63505260839790145</v>
      </c>
      <c r="AO40" s="9">
        <f t="shared" si="38"/>
        <v>0.63521115366816072</v>
      </c>
      <c r="AP40" s="9">
        <f t="shared" si="38"/>
        <v>0.63536973852034184</v>
      </c>
      <c r="AQ40" s="9">
        <f t="shared" si="38"/>
        <v>0.6355283629643268</v>
      </c>
    </row>
    <row r="41" spans="1:43" hidden="1" outlineLevel="6">
      <c r="A41" s="2"/>
      <c r="B41" s="2"/>
      <c r="C41" s="2"/>
      <c r="D41" s="2"/>
      <c r="E41" s="2"/>
      <c r="F41" s="2"/>
      <c r="G41" s="2" t="s">
        <v>354</v>
      </c>
      <c r="H41" s="9">
        <f t="shared" ref="H41:AQ41" si="39">eastern_third_trimester_window_rate*(1+eastern_third_trimester_window_rate_growth)^((COLUMN()-8)/12)</f>
        <v>0.5</v>
      </c>
      <c r="I41" s="9">
        <f t="shared" si="39"/>
        <v>0.50024931512394066</v>
      </c>
      <c r="J41" s="9">
        <f t="shared" si="39"/>
        <v>0.50049875456394333</v>
      </c>
      <c r="K41" s="9">
        <f t="shared" si="39"/>
        <v>0.50074831838199585</v>
      </c>
      <c r="L41" s="9">
        <f t="shared" si="39"/>
        <v>0.50099800664011684</v>
      </c>
      <c r="M41" s="9">
        <f t="shared" si="39"/>
        <v>0.50124781940035579</v>
      </c>
      <c r="N41" s="9">
        <f t="shared" si="39"/>
        <v>0.50149775672479335</v>
      </c>
      <c r="O41" s="9">
        <f t="shared" si="39"/>
        <v>0.50174781867554097</v>
      </c>
      <c r="P41" s="9">
        <f t="shared" si="39"/>
        <v>0.50199800531474104</v>
      </c>
      <c r="Q41" s="9">
        <f t="shared" si="39"/>
        <v>0.50224831670456704</v>
      </c>
      <c r="R41" s="9">
        <f t="shared" si="39"/>
        <v>0.50249875290722334</v>
      </c>
      <c r="S41" s="9">
        <f t="shared" si="39"/>
        <v>0.50274931398494549</v>
      </c>
      <c r="T41" s="9">
        <f t="shared" si="39"/>
        <v>0.503</v>
      </c>
      <c r="U41" s="9">
        <f t="shared" si="39"/>
        <v>0.50325081101468427</v>
      </c>
      <c r="V41" s="9">
        <f t="shared" si="39"/>
        <v>0.503501747091327</v>
      </c>
      <c r="W41" s="9">
        <f t="shared" si="39"/>
        <v>0.50375280829228786</v>
      </c>
      <c r="X41" s="9">
        <f t="shared" si="39"/>
        <v>0.50400399467995749</v>
      </c>
      <c r="Y41" s="9">
        <f t="shared" si="39"/>
        <v>0.50425530631675797</v>
      </c>
      <c r="Z41" s="9">
        <f t="shared" si="39"/>
        <v>0.50450674326514211</v>
      </c>
      <c r="AA41" s="9">
        <f t="shared" si="39"/>
        <v>0.50475830558759416</v>
      </c>
      <c r="AB41" s="9">
        <f t="shared" si="39"/>
        <v>0.50500999334662944</v>
      </c>
      <c r="AC41" s="9">
        <f t="shared" si="39"/>
        <v>0.50526180660479447</v>
      </c>
      <c r="AD41" s="9">
        <f t="shared" si="39"/>
        <v>0.50551374542466676</v>
      </c>
      <c r="AE41" s="9">
        <f t="shared" si="39"/>
        <v>0.50576580986885522</v>
      </c>
      <c r="AF41" s="9">
        <f t="shared" si="39"/>
        <v>0.50601799999999997</v>
      </c>
      <c r="AG41" s="9">
        <f t="shared" si="39"/>
        <v>0.50627031588077243</v>
      </c>
      <c r="AH41" s="9">
        <f t="shared" si="39"/>
        <v>0.50652275757387499</v>
      </c>
      <c r="AI41" s="9">
        <f t="shared" si="39"/>
        <v>0.50677532514204149</v>
      </c>
      <c r="AJ41" s="9">
        <f t="shared" si="39"/>
        <v>0.50702801864803726</v>
      </c>
      <c r="AK41" s="9">
        <f t="shared" si="39"/>
        <v>0.50728083815465852</v>
      </c>
      <c r="AL41" s="9">
        <f t="shared" si="39"/>
        <v>0.5075337837247329</v>
      </c>
      <c r="AM41" s="9">
        <f t="shared" si="39"/>
        <v>0.50778685542111979</v>
      </c>
      <c r="AN41" s="9">
        <f t="shared" si="39"/>
        <v>0.50804005330670921</v>
      </c>
      <c r="AO41" s="9">
        <f t="shared" si="39"/>
        <v>0.50829337744442316</v>
      </c>
      <c r="AP41" s="9">
        <f t="shared" si="39"/>
        <v>0.50854682789721473</v>
      </c>
      <c r="AQ41" s="9">
        <f t="shared" si="39"/>
        <v>0.50880040472806831</v>
      </c>
    </row>
    <row r="42" spans="1:43" hidden="1" outlineLevel="5">
      <c r="A42" s="2"/>
      <c r="B42" s="2"/>
      <c r="C42" s="2"/>
      <c r="D42" s="2"/>
      <c r="E42" s="2"/>
      <c r="F42" s="2" t="s">
        <v>355</v>
      </c>
      <c r="G42" s="2"/>
      <c r="H42" s="9">
        <f t="shared" ref="H42:AQ42" si="40">eastern_public_eligibility_rate*(1+eastern_public_eligibility_rate_growth)^((COLUMN()-8)/12)</f>
        <v>0.19</v>
      </c>
      <c r="I42" s="9">
        <f t="shared" si="40"/>
        <v>0.19122246572090065</v>
      </c>
      <c r="J42" s="9">
        <f t="shared" si="40"/>
        <v>0.19245279682305805</v>
      </c>
      <c r="K42" s="9">
        <f t="shared" si="40"/>
        <v>0.19369104391257197</v>
      </c>
      <c r="L42" s="9">
        <f t="shared" si="40"/>
        <v>0.19493725792114344</v>
      </c>
      <c r="M42" s="9">
        <f t="shared" si="40"/>
        <v>0.19619149010816961</v>
      </c>
      <c r="N42" s="9">
        <f t="shared" si="40"/>
        <v>0.19745379206285205</v>
      </c>
      <c r="O42" s="9">
        <f t="shared" si="40"/>
        <v>0.19872421570631876</v>
      </c>
      <c r="P42" s="9">
        <f t="shared" si="40"/>
        <v>0.20000281329376007</v>
      </c>
      <c r="Q42" s="9">
        <f t="shared" si="40"/>
        <v>0.20128963741657749</v>
      </c>
      <c r="R42" s="9">
        <f t="shared" si="40"/>
        <v>0.20258474100454743</v>
      </c>
      <c r="S42" s="9">
        <f t="shared" si="40"/>
        <v>0.20388817732799797</v>
      </c>
      <c r="T42" s="9">
        <f t="shared" si="40"/>
        <v>0.20520000000000002</v>
      </c>
      <c r="U42" s="9">
        <f t="shared" si="40"/>
        <v>0.20652026297857271</v>
      </c>
      <c r="V42" s="9">
        <f t="shared" si="40"/>
        <v>0.2078490205689027</v>
      </c>
      <c r="W42" s="9">
        <f t="shared" si="40"/>
        <v>0.20918632742557774</v>
      </c>
      <c r="X42" s="9">
        <f t="shared" si="40"/>
        <v>0.21053223855483494</v>
      </c>
      <c r="Y42" s="9">
        <f t="shared" si="40"/>
        <v>0.21188680931682319</v>
      </c>
      <c r="Z42" s="9">
        <f t="shared" si="40"/>
        <v>0.21325009542788018</v>
      </c>
      <c r="AA42" s="9">
        <f t="shared" si="40"/>
        <v>0.21462215296282428</v>
      </c>
      <c r="AB42" s="9">
        <f t="shared" si="40"/>
        <v>0.21600303835726087</v>
      </c>
      <c r="AC42" s="9">
        <f t="shared" si="40"/>
        <v>0.21739280840990372</v>
      </c>
      <c r="AD42" s="9">
        <f t="shared" si="40"/>
        <v>0.21879152028491128</v>
      </c>
      <c r="AE42" s="9">
        <f t="shared" si="40"/>
        <v>0.22019923151423781</v>
      </c>
      <c r="AF42" s="9">
        <f t="shared" si="40"/>
        <v>0.22161600000000004</v>
      </c>
      <c r="AG42" s="9">
        <f t="shared" si="40"/>
        <v>0.22304188401685859</v>
      </c>
      <c r="AH42" s="9">
        <f t="shared" si="40"/>
        <v>0.22447694221441492</v>
      </c>
      <c r="AI42" s="9">
        <f t="shared" si="40"/>
        <v>0.22592123361962399</v>
      </c>
      <c r="AJ42" s="9">
        <f t="shared" si="40"/>
        <v>0.22737481763922177</v>
      </c>
      <c r="AK42" s="9">
        <f t="shared" si="40"/>
        <v>0.22883775406216908</v>
      </c>
      <c r="AL42" s="9">
        <f t="shared" si="40"/>
        <v>0.23031010306211064</v>
      </c>
      <c r="AM42" s="9">
        <f t="shared" si="40"/>
        <v>0.23179192519985023</v>
      </c>
      <c r="AN42" s="9">
        <f t="shared" si="40"/>
        <v>0.23328328142584173</v>
      </c>
      <c r="AO42" s="9">
        <f t="shared" si="40"/>
        <v>0.23478423308269603</v>
      </c>
      <c r="AP42" s="9">
        <f t="shared" si="40"/>
        <v>0.2362948419077042</v>
      </c>
      <c r="AQ42" s="9">
        <f t="shared" si="40"/>
        <v>0.23781517003537683</v>
      </c>
    </row>
    <row r="43" spans="1:43" hidden="1" outlineLevel="5">
      <c r="A43" s="2"/>
      <c r="B43" s="2"/>
      <c r="C43" s="2"/>
      <c r="D43" s="2"/>
      <c r="E43" s="2"/>
      <c r="F43" s="2" t="s">
        <v>356</v>
      </c>
      <c r="G43" s="2"/>
      <c r="H43" s="9">
        <f t="shared" ref="H43:AQ43" si="41">eastern_public_provider_recommendation_rate*(1+eastern_public_provider_recommendation_rate_growth)^((COLUMN()-8)/12)</f>
        <v>0.44</v>
      </c>
      <c r="I43" s="9">
        <f t="shared" si="41"/>
        <v>0.4414404455041675</v>
      </c>
      <c r="J43" s="9">
        <f t="shared" si="41"/>
        <v>0.44288560665208609</v>
      </c>
      <c r="K43" s="9">
        <f t="shared" si="41"/>
        <v>0.44433549888154628</v>
      </c>
      <c r="L43" s="9">
        <f t="shared" si="41"/>
        <v>0.445790137680878</v>
      </c>
      <c r="M43" s="9">
        <f t="shared" si="41"/>
        <v>0.44724953858911576</v>
      </c>
      <c r="N43" s="9">
        <f t="shared" si="41"/>
        <v>0.4487137171961651</v>
      </c>
      <c r="O43" s="9">
        <f t="shared" si="41"/>
        <v>0.45018268914296844</v>
      </c>
      <c r="P43" s="9">
        <f t="shared" si="41"/>
        <v>0.45165647012167304</v>
      </c>
      <c r="Q43" s="9">
        <f t="shared" si="41"/>
        <v>0.45313507587579788</v>
      </c>
      <c r="R43" s="9">
        <f t="shared" si="41"/>
        <v>0.45461852220040228</v>
      </c>
      <c r="S43" s="9">
        <f t="shared" si="41"/>
        <v>0.45610682494225419</v>
      </c>
      <c r="T43" s="9">
        <f t="shared" si="41"/>
        <v>0.45760000000000001</v>
      </c>
      <c r="U43" s="9">
        <f t="shared" si="41"/>
        <v>0.45909806332433428</v>
      </c>
      <c r="V43" s="9">
        <f t="shared" si="41"/>
        <v>0.46060103091816951</v>
      </c>
      <c r="W43" s="9">
        <f t="shared" si="41"/>
        <v>0.46210891883680821</v>
      </c>
      <c r="X43" s="9">
        <f t="shared" si="41"/>
        <v>0.46362174318811317</v>
      </c>
      <c r="Y43" s="9">
        <f t="shared" si="41"/>
        <v>0.46513952013268051</v>
      </c>
      <c r="Z43" s="9">
        <f t="shared" si="41"/>
        <v>0.46666226588401172</v>
      </c>
      <c r="AA43" s="9">
        <f t="shared" si="41"/>
        <v>0.46818999670868722</v>
      </c>
      <c r="AB43" s="9">
        <f t="shared" si="41"/>
        <v>0.46972272892654005</v>
      </c>
      <c r="AC43" s="9">
        <f t="shared" si="41"/>
        <v>0.47126047891082984</v>
      </c>
      <c r="AD43" s="9">
        <f t="shared" si="41"/>
        <v>0.47280326308841836</v>
      </c>
      <c r="AE43" s="9">
        <f t="shared" si="41"/>
        <v>0.47435109793994434</v>
      </c>
      <c r="AF43" s="9">
        <f t="shared" si="41"/>
        <v>0.47590400000000005</v>
      </c>
      <c r="AG43" s="9">
        <f t="shared" si="41"/>
        <v>0.47746198585730759</v>
      </c>
      <c r="AH43" s="9">
        <f t="shared" si="41"/>
        <v>0.47902507215489637</v>
      </c>
      <c r="AI43" s="9">
        <f t="shared" si="41"/>
        <v>0.48059327559028053</v>
      </c>
      <c r="AJ43" s="9">
        <f t="shared" si="41"/>
        <v>0.48216661291563767</v>
      </c>
      <c r="AK43" s="9">
        <f t="shared" si="41"/>
        <v>0.48374510093798773</v>
      </c>
      <c r="AL43" s="9">
        <f t="shared" si="41"/>
        <v>0.48532875651937224</v>
      </c>
      <c r="AM43" s="9">
        <f t="shared" si="41"/>
        <v>0.48691759657703476</v>
      </c>
      <c r="AN43" s="9">
        <f t="shared" si="41"/>
        <v>0.48851163808360165</v>
      </c>
      <c r="AO43" s="9">
        <f t="shared" si="41"/>
        <v>0.49011089806726305</v>
      </c>
      <c r="AP43" s="9">
        <f t="shared" si="41"/>
        <v>0.49171539361195504</v>
      </c>
      <c r="AQ43" s="9">
        <f t="shared" si="41"/>
        <v>0.49332514185754217</v>
      </c>
    </row>
    <row r="44" spans="1:43" hidden="1" outlineLevel="5">
      <c r="A44" s="2"/>
      <c r="B44" s="2"/>
      <c r="C44" s="2"/>
      <c r="D44" s="2"/>
      <c r="E44" s="2"/>
      <c r="F44" s="2" t="s">
        <v>357</v>
      </c>
      <c r="G44" s="2"/>
      <c r="H44" s="9">
        <f t="shared" ref="H44:AQ44" si="42">eastern_public_acceptance_rate*(1+eastern_public_acceptance_rate_growth)^((COLUMN()-8)/12)</f>
        <v>0.78</v>
      </c>
      <c r="I44" s="9">
        <f t="shared" si="42"/>
        <v>0.7812882334154978</v>
      </c>
      <c r="J44" s="9">
        <f t="shared" si="42"/>
        <v>0.78257859445321709</v>
      </c>
      <c r="K44" s="9">
        <f t="shared" si="42"/>
        <v>0.78387108662709903</v>
      </c>
      <c r="L44" s="9">
        <f t="shared" si="42"/>
        <v>0.78516571345688813</v>
      </c>
      <c r="M44" s="9">
        <f t="shared" si="42"/>
        <v>0.78646247846814232</v>
      </c>
      <c r="N44" s="9">
        <f t="shared" si="42"/>
        <v>0.78776138519224215</v>
      </c>
      <c r="O44" s="9">
        <f t="shared" si="42"/>
        <v>0.78906243716640045</v>
      </c>
      <c r="P44" s="9">
        <f t="shared" si="42"/>
        <v>0.79036563793367198</v>
      </c>
      <c r="Q44" s="9">
        <f t="shared" si="42"/>
        <v>0.79167099104296346</v>
      </c>
      <c r="R44" s="9">
        <f t="shared" si="42"/>
        <v>0.79297850004904258</v>
      </c>
      <c r="S44" s="9">
        <f t="shared" si="42"/>
        <v>0.79428816851254835</v>
      </c>
      <c r="T44" s="9">
        <f t="shared" si="42"/>
        <v>0.79560000000000008</v>
      </c>
      <c r="U44" s="9">
        <f t="shared" si="42"/>
        <v>0.79691399808380781</v>
      </c>
      <c r="V44" s="9">
        <f t="shared" si="42"/>
        <v>0.79823016634228139</v>
      </c>
      <c r="W44" s="9">
        <f t="shared" si="42"/>
        <v>0.79954850835964097</v>
      </c>
      <c r="X44" s="9">
        <f t="shared" si="42"/>
        <v>0.80086902772602597</v>
      </c>
      <c r="Y44" s="9">
        <f t="shared" si="42"/>
        <v>0.80219172803750527</v>
      </c>
      <c r="Z44" s="9">
        <f t="shared" si="42"/>
        <v>0.803516612896087</v>
      </c>
      <c r="AA44" s="9">
        <f t="shared" si="42"/>
        <v>0.80484368590972843</v>
      </c>
      <c r="AB44" s="9">
        <f t="shared" si="42"/>
        <v>0.8061729506923454</v>
      </c>
      <c r="AC44" s="9">
        <f t="shared" si="42"/>
        <v>0.80750441086382274</v>
      </c>
      <c r="AD44" s="9">
        <f t="shared" si="42"/>
        <v>0.80883807005002351</v>
      </c>
      <c r="AE44" s="9">
        <f t="shared" si="42"/>
        <v>0.81017393188279929</v>
      </c>
      <c r="AF44" s="9">
        <f t="shared" si="42"/>
        <v>0.81151200000000001</v>
      </c>
      <c r="AG44" s="9">
        <f t="shared" si="42"/>
        <v>0.81285227804548388</v>
      </c>
      <c r="AH44" s="9">
        <f t="shared" si="42"/>
        <v>0.81419476966912696</v>
      </c>
      <c r="AI44" s="9">
        <f t="shared" si="42"/>
        <v>0.81553947852683373</v>
      </c>
      <c r="AJ44" s="9">
        <f t="shared" si="42"/>
        <v>0.81688640828054637</v>
      </c>
      <c r="AK44" s="9">
        <f t="shared" si="42"/>
        <v>0.81823556259825536</v>
      </c>
      <c r="AL44" s="9">
        <f t="shared" si="42"/>
        <v>0.81958694515400865</v>
      </c>
      <c r="AM44" s="9">
        <f t="shared" si="42"/>
        <v>0.82094055962792301</v>
      </c>
      <c r="AN44" s="9">
        <f t="shared" si="42"/>
        <v>0.82229640970619233</v>
      </c>
      <c r="AO44" s="9">
        <f t="shared" si="42"/>
        <v>0.82365449908109911</v>
      </c>
      <c r="AP44" s="9">
        <f t="shared" si="42"/>
        <v>0.82501483145102394</v>
      </c>
      <c r="AQ44" s="9">
        <f t="shared" si="42"/>
        <v>0.82637741052045521</v>
      </c>
    </row>
    <row r="45" spans="1:43" hidden="1" outlineLevel="5">
      <c r="A45" s="2"/>
      <c r="B45" s="2"/>
      <c r="C45" s="2"/>
      <c r="D45" s="2"/>
      <c r="E45" s="2"/>
      <c r="F45" s="2" t="s">
        <v>358</v>
      </c>
      <c r="G45" s="2"/>
      <c r="H45" s="9">
        <f t="shared" ref="H45:AQ45" si="43">eastern_public_stock_availability_rate*(1+eastern_public_stock_availability_rate_growth)^((COLUMN()-8)/12)</f>
        <v>0.82</v>
      </c>
      <c r="I45" s="9">
        <f t="shared" si="43"/>
        <v>0.82101801992748835</v>
      </c>
      <c r="J45" s="9">
        <f t="shared" si="43"/>
        <v>0.82203730371421191</v>
      </c>
      <c r="K45" s="9">
        <f t="shared" si="43"/>
        <v>0.82305785292923617</v>
      </c>
      <c r="L45" s="9">
        <f t="shared" si="43"/>
        <v>0.824079669143575</v>
      </c>
      <c r="M45" s="9">
        <f t="shared" si="43"/>
        <v>0.82510275393019239</v>
      </c>
      <c r="N45" s="9">
        <f t="shared" si="43"/>
        <v>0.8261271088640052</v>
      </c>
      <c r="O45" s="9">
        <f t="shared" si="43"/>
        <v>0.82715273552188562</v>
      </c>
      <c r="P45" s="9">
        <f t="shared" si="43"/>
        <v>0.82817963548266349</v>
      </c>
      <c r="Q45" s="9">
        <f t="shared" si="43"/>
        <v>0.82920781032712865</v>
      </c>
      <c r="R45" s="9">
        <f t="shared" si="43"/>
        <v>0.83023726163803369</v>
      </c>
      <c r="S45" s="9">
        <f t="shared" si="43"/>
        <v>0.83126799100009574</v>
      </c>
      <c r="T45" s="9">
        <f t="shared" si="43"/>
        <v>0.83229999999999982</v>
      </c>
      <c r="U45" s="9">
        <f t="shared" si="43"/>
        <v>0.83333329022640068</v>
      </c>
      <c r="V45" s="9">
        <f t="shared" si="43"/>
        <v>0.83436786326992507</v>
      </c>
      <c r="W45" s="9">
        <f t="shared" si="43"/>
        <v>0.83540372072317459</v>
      </c>
      <c r="X45" s="9">
        <f t="shared" si="43"/>
        <v>0.83644086418072849</v>
      </c>
      <c r="Y45" s="9">
        <f t="shared" si="43"/>
        <v>0.83747929523914511</v>
      </c>
      <c r="Z45" s="9">
        <f t="shared" si="43"/>
        <v>0.83851901549696517</v>
      </c>
      <c r="AA45" s="9">
        <f t="shared" si="43"/>
        <v>0.83956002655471385</v>
      </c>
      <c r="AB45" s="9">
        <f t="shared" si="43"/>
        <v>0.84060233001490348</v>
      </c>
      <c r="AC45" s="9">
        <f t="shared" si="43"/>
        <v>0.84164592748203548</v>
      </c>
      <c r="AD45" s="9">
        <f t="shared" si="43"/>
        <v>0.84269082056260414</v>
      </c>
      <c r="AE45" s="9">
        <f t="shared" si="43"/>
        <v>0.84373701086509723</v>
      </c>
      <c r="AF45" s="9">
        <f t="shared" si="43"/>
        <v>0.84478449999999972</v>
      </c>
      <c r="AG45" s="9">
        <f t="shared" si="43"/>
        <v>0.84583328957979653</v>
      </c>
      <c r="AH45" s="9">
        <f t="shared" si="43"/>
        <v>0.84688338121897389</v>
      </c>
      <c r="AI45" s="9">
        <f t="shared" si="43"/>
        <v>0.84793477653402216</v>
      </c>
      <c r="AJ45" s="9">
        <f t="shared" si="43"/>
        <v>0.84898747714343947</v>
      </c>
      <c r="AK45" s="9">
        <f t="shared" si="43"/>
        <v>0.85004148466773222</v>
      </c>
      <c r="AL45" s="9">
        <f t="shared" si="43"/>
        <v>0.85109680072941962</v>
      </c>
      <c r="AM45" s="9">
        <f t="shared" si="43"/>
        <v>0.85215342695303431</v>
      </c>
      <c r="AN45" s="9">
        <f t="shared" si="43"/>
        <v>0.85321136496512673</v>
      </c>
      <c r="AO45" s="9">
        <f t="shared" si="43"/>
        <v>0.85427061639426605</v>
      </c>
      <c r="AP45" s="9">
        <f t="shared" si="43"/>
        <v>0.85533118287104304</v>
      </c>
      <c r="AQ45" s="9">
        <f t="shared" si="43"/>
        <v>0.85639306602807352</v>
      </c>
    </row>
    <row r="46" spans="1:43" hidden="1" outlineLevel="5" collapsed="1">
      <c r="A46" s="2"/>
      <c r="B46" s="2"/>
      <c r="C46" s="2"/>
      <c r="D46" s="2"/>
      <c r="E46" s="2"/>
      <c r="F46" s="2" t="s">
        <v>359</v>
      </c>
      <c r="G46" s="2"/>
      <c r="H46" s="9">
        <f>0.08</f>
        <v>0.08</v>
      </c>
      <c r="I46" s="9">
        <f t="shared" ref="I46:AQ46" si="44">H46+I47-I48</f>
        <v>9.0034527776812256E-2</v>
      </c>
      <c r="J46" s="9">
        <f t="shared" si="44"/>
        <v>0.10010366848524901</v>
      </c>
      <c r="K46" s="9">
        <f t="shared" si="44"/>
        <v>0.11020750749013727</v>
      </c>
      <c r="L46" s="9">
        <f t="shared" si="44"/>
        <v>0.12034613036683672</v>
      </c>
      <c r="M46" s="9">
        <f t="shared" si="44"/>
        <v>0.13051962290175897</v>
      </c>
      <c r="N46" s="9">
        <f t="shared" si="44"/>
        <v>0.14072807109288807</v>
      </c>
      <c r="O46" s="9">
        <f t="shared" si="44"/>
        <v>0.1509715611503023</v>
      </c>
      <c r="P46" s="9">
        <f t="shared" si="44"/>
        <v>0.16125017949669723</v>
      </c>
      <c r="Q46" s="9">
        <f t="shared" si="44"/>
        <v>0.17156401276791014</v>
      </c>
      <c r="R46" s="9">
        <f t="shared" si="44"/>
        <v>0.18191314781344564</v>
      </c>
      <c r="S46" s="9">
        <f t="shared" si="44"/>
        <v>0.19229767169700265</v>
      </c>
      <c r="T46" s="9">
        <f t="shared" si="44"/>
        <v>0.20271767169700264</v>
      </c>
      <c r="U46" s="9">
        <f t="shared" si="44"/>
        <v>0.21317323530711926</v>
      </c>
      <c r="V46" s="9">
        <f t="shared" si="44"/>
        <v>0.22366445023680911</v>
      </c>
      <c r="W46" s="9">
        <f t="shared" si="44"/>
        <v>0.23419140441184402</v>
      </c>
      <c r="X46" s="9">
        <f t="shared" si="44"/>
        <v>0.24475418597484447</v>
      </c>
      <c r="Y46" s="9">
        <f t="shared" si="44"/>
        <v>0.2553528832858144</v>
      </c>
      <c r="Z46" s="9">
        <f t="shared" si="44"/>
        <v>0.26598758492267738</v>
      </c>
      <c r="AA46" s="9">
        <f t="shared" si="44"/>
        <v>0.27665837968181406</v>
      </c>
      <c r="AB46" s="9">
        <f t="shared" si="44"/>
        <v>0.28736535657860085</v>
      </c>
      <c r="AC46" s="9">
        <f t="shared" si="44"/>
        <v>0.29810860484795015</v>
      </c>
      <c r="AD46" s="9">
        <f t="shared" si="44"/>
        <v>0.30888821394485172</v>
      </c>
      <c r="AE46" s="9">
        <f t="shared" si="44"/>
        <v>0.31970427354491543</v>
      </c>
      <c r="AF46" s="9">
        <f t="shared" si="44"/>
        <v>0.33055687354491542</v>
      </c>
      <c r="AG46" s="9">
        <f t="shared" si="44"/>
        <v>0.34144610406333553</v>
      </c>
      <c r="AH46" s="9">
        <f t="shared" si="44"/>
        <v>0.3523720554409161</v>
      </c>
      <c r="AI46" s="9">
        <f t="shared" si="44"/>
        <v>0.36333481824120206</v>
      </c>
      <c r="AJ46" s="9">
        <f t="shared" si="44"/>
        <v>0.37433448325109253</v>
      </c>
      <c r="AK46" s="9">
        <f t="shared" si="44"/>
        <v>0.38537114148139157</v>
      </c>
      <c r="AL46" s="9">
        <f t="shared" si="44"/>
        <v>0.39644488416736046</v>
      </c>
      <c r="AM46" s="9">
        <f t="shared" si="44"/>
        <v>0.40755580276927122</v>
      </c>
      <c r="AN46" s="9">
        <f t="shared" si="44"/>
        <v>0.41870398897296163</v>
      </c>
      <c r="AO46" s="9">
        <f t="shared" si="44"/>
        <v>0.42988953469039143</v>
      </c>
      <c r="AP46" s="9">
        <f t="shared" si="44"/>
        <v>0.44111253206020001</v>
      </c>
      <c r="AQ46" s="9">
        <f t="shared" si="44"/>
        <v>0.45237307344826566</v>
      </c>
    </row>
    <row r="47" spans="1:43" hidden="1" outlineLevel="6">
      <c r="A47" s="2"/>
      <c r="B47" s="2"/>
      <c r="C47" s="2"/>
      <c r="D47" s="2"/>
      <c r="E47" s="2"/>
      <c r="F47" s="2"/>
      <c r="G47" s="2" t="s">
        <v>136</v>
      </c>
      <c r="H47" s="9">
        <f t="shared" ref="H47:AQ47" si="45">eastern_public_coverage_additions*(1+eastern_public_coverage_additions_growth)^((COLUMN()-8)/12)</f>
        <v>1.4E-2</v>
      </c>
      <c r="I47" s="9">
        <f t="shared" si="45"/>
        <v>1.4034527776812251E-2</v>
      </c>
      <c r="J47" s="9">
        <f t="shared" si="45"/>
        <v>1.4069140708436756E-2</v>
      </c>
      <c r="K47" s="9">
        <f t="shared" si="45"/>
        <v>1.410383900488826E-2</v>
      </c>
      <c r="L47" s="9">
        <f t="shared" si="45"/>
        <v>1.4138622876699453E-2</v>
      </c>
      <c r="M47" s="9">
        <f t="shared" si="45"/>
        <v>1.4173492534922257E-2</v>
      </c>
      <c r="N47" s="9">
        <f t="shared" si="45"/>
        <v>1.4208448191129108E-2</v>
      </c>
      <c r="O47" s="9">
        <f t="shared" si="45"/>
        <v>1.4243490057414231E-2</v>
      </c>
      <c r="P47" s="9">
        <f t="shared" si="45"/>
        <v>1.4278618346394939E-2</v>
      </c>
      <c r="Q47" s="9">
        <f t="shared" si="45"/>
        <v>1.4313833271212911E-2</v>
      </c>
      <c r="R47" s="9">
        <f t="shared" si="45"/>
        <v>1.4349135045535496E-2</v>
      </c>
      <c r="S47" s="9">
        <f t="shared" si="45"/>
        <v>1.4384523883557005E-2</v>
      </c>
      <c r="T47" s="9">
        <f t="shared" si="45"/>
        <v>1.4420000000000001E-2</v>
      </c>
      <c r="U47" s="9">
        <f t="shared" si="45"/>
        <v>1.445556361011662E-2</v>
      </c>
      <c r="V47" s="9">
        <f t="shared" si="45"/>
        <v>1.449121492968986E-2</v>
      </c>
      <c r="W47" s="9">
        <f t="shared" si="45"/>
        <v>1.452695417503491E-2</v>
      </c>
      <c r="X47" s="9">
        <f t="shared" si="45"/>
        <v>1.4562781563000438E-2</v>
      </c>
      <c r="Y47" s="9">
        <f t="shared" si="45"/>
        <v>1.4598697310969926E-2</v>
      </c>
      <c r="Z47" s="9">
        <f t="shared" si="45"/>
        <v>1.4634701636862982E-2</v>
      </c>
      <c r="AA47" s="9">
        <f t="shared" si="45"/>
        <v>1.4670794759136661E-2</v>
      </c>
      <c r="AB47" s="9">
        <f t="shared" si="45"/>
        <v>1.4706976896786787E-2</v>
      </c>
      <c r="AC47" s="9">
        <f t="shared" si="45"/>
        <v>1.4743248269349299E-2</v>
      </c>
      <c r="AD47" s="9">
        <f t="shared" si="45"/>
        <v>1.4779609096901564E-2</v>
      </c>
      <c r="AE47" s="9">
        <f t="shared" si="45"/>
        <v>1.4816059600063713E-2</v>
      </c>
      <c r="AF47" s="9">
        <f t="shared" si="45"/>
        <v>1.4852600000000001E-2</v>
      </c>
      <c r="AG47" s="9">
        <f t="shared" si="45"/>
        <v>1.4889230518420116E-2</v>
      </c>
      <c r="AH47" s="9">
        <f t="shared" si="45"/>
        <v>1.4925951377580559E-2</v>
      </c>
      <c r="AI47" s="9">
        <f t="shared" si="45"/>
        <v>1.4962762800285957E-2</v>
      </c>
      <c r="AJ47" s="9">
        <f t="shared" si="45"/>
        <v>1.4999665009890454E-2</v>
      </c>
      <c r="AK47" s="9">
        <f t="shared" si="45"/>
        <v>1.5036658230299024E-2</v>
      </c>
      <c r="AL47" s="9">
        <f t="shared" si="45"/>
        <v>1.5073742685968871E-2</v>
      </c>
      <c r="AM47" s="9">
        <f t="shared" si="45"/>
        <v>1.5110918601910758E-2</v>
      </c>
      <c r="AN47" s="9">
        <f t="shared" si="45"/>
        <v>1.5148186203690392E-2</v>
      </c>
      <c r="AO47" s="9">
        <f t="shared" si="45"/>
        <v>1.5185545717429779E-2</v>
      </c>
      <c r="AP47" s="9">
        <f t="shared" si="45"/>
        <v>1.5222997369808611E-2</v>
      </c>
      <c r="AQ47" s="9">
        <f t="shared" si="45"/>
        <v>1.5260541388065627E-2</v>
      </c>
    </row>
    <row r="48" spans="1:43" hidden="1" outlineLevel="6">
      <c r="A48" s="2"/>
      <c r="B48" s="2"/>
      <c r="C48" s="2"/>
      <c r="D48" s="2"/>
      <c r="E48" s="2"/>
      <c r="F48" s="2"/>
      <c r="G48" s="2" t="s">
        <v>360</v>
      </c>
      <c r="H48" s="9">
        <f t="shared" ref="H48:AQ48" si="46">eastern_public_coverage_churn*(1+eastern_public_coverage_churn_growth)^((COLUMN()-8)/12)</f>
        <v>4.0000000000000001E-3</v>
      </c>
      <c r="I48" s="9">
        <f t="shared" si="46"/>
        <v>4.0000000000000001E-3</v>
      </c>
      <c r="J48" s="9">
        <f t="shared" si="46"/>
        <v>4.0000000000000001E-3</v>
      </c>
      <c r="K48" s="9">
        <f t="shared" si="46"/>
        <v>4.0000000000000001E-3</v>
      </c>
      <c r="L48" s="9">
        <f t="shared" si="46"/>
        <v>4.0000000000000001E-3</v>
      </c>
      <c r="M48" s="9">
        <f t="shared" si="46"/>
        <v>4.0000000000000001E-3</v>
      </c>
      <c r="N48" s="9">
        <f t="shared" si="46"/>
        <v>4.0000000000000001E-3</v>
      </c>
      <c r="O48" s="9">
        <f t="shared" si="46"/>
        <v>4.0000000000000001E-3</v>
      </c>
      <c r="P48" s="9">
        <f t="shared" si="46"/>
        <v>4.0000000000000001E-3</v>
      </c>
      <c r="Q48" s="9">
        <f t="shared" si="46"/>
        <v>4.0000000000000001E-3</v>
      </c>
      <c r="R48" s="9">
        <f t="shared" si="46"/>
        <v>4.0000000000000001E-3</v>
      </c>
      <c r="S48" s="9">
        <f t="shared" si="46"/>
        <v>4.0000000000000001E-3</v>
      </c>
      <c r="T48" s="9">
        <f t="shared" si="46"/>
        <v>4.0000000000000001E-3</v>
      </c>
      <c r="U48" s="9">
        <f t="shared" si="46"/>
        <v>4.0000000000000001E-3</v>
      </c>
      <c r="V48" s="9">
        <f t="shared" si="46"/>
        <v>4.0000000000000001E-3</v>
      </c>
      <c r="W48" s="9">
        <f t="shared" si="46"/>
        <v>4.0000000000000001E-3</v>
      </c>
      <c r="X48" s="9">
        <f t="shared" si="46"/>
        <v>4.0000000000000001E-3</v>
      </c>
      <c r="Y48" s="9">
        <f t="shared" si="46"/>
        <v>4.0000000000000001E-3</v>
      </c>
      <c r="Z48" s="9">
        <f t="shared" si="46"/>
        <v>4.0000000000000001E-3</v>
      </c>
      <c r="AA48" s="9">
        <f t="shared" si="46"/>
        <v>4.0000000000000001E-3</v>
      </c>
      <c r="AB48" s="9">
        <f t="shared" si="46"/>
        <v>4.0000000000000001E-3</v>
      </c>
      <c r="AC48" s="9">
        <f t="shared" si="46"/>
        <v>4.0000000000000001E-3</v>
      </c>
      <c r="AD48" s="9">
        <f t="shared" si="46"/>
        <v>4.0000000000000001E-3</v>
      </c>
      <c r="AE48" s="9">
        <f t="shared" si="46"/>
        <v>4.0000000000000001E-3</v>
      </c>
      <c r="AF48" s="9">
        <f t="shared" si="46"/>
        <v>4.0000000000000001E-3</v>
      </c>
      <c r="AG48" s="9">
        <f t="shared" si="46"/>
        <v>4.0000000000000001E-3</v>
      </c>
      <c r="AH48" s="9">
        <f t="shared" si="46"/>
        <v>4.0000000000000001E-3</v>
      </c>
      <c r="AI48" s="9">
        <f t="shared" si="46"/>
        <v>4.0000000000000001E-3</v>
      </c>
      <c r="AJ48" s="9">
        <f t="shared" si="46"/>
        <v>4.0000000000000001E-3</v>
      </c>
      <c r="AK48" s="9">
        <f t="shared" si="46"/>
        <v>4.0000000000000001E-3</v>
      </c>
      <c r="AL48" s="9">
        <f t="shared" si="46"/>
        <v>4.0000000000000001E-3</v>
      </c>
      <c r="AM48" s="9">
        <f t="shared" si="46"/>
        <v>4.0000000000000001E-3</v>
      </c>
      <c r="AN48" s="9">
        <f t="shared" si="46"/>
        <v>4.0000000000000001E-3</v>
      </c>
      <c r="AO48" s="9">
        <f t="shared" si="46"/>
        <v>4.0000000000000001E-3</v>
      </c>
      <c r="AP48" s="9">
        <f t="shared" si="46"/>
        <v>4.0000000000000001E-3</v>
      </c>
      <c r="AQ48" s="9">
        <f t="shared" si="46"/>
        <v>4.0000000000000001E-3</v>
      </c>
    </row>
    <row r="49" spans="1:43" hidden="1" outlineLevel="4">
      <c r="A49" s="2"/>
      <c r="B49" s="2"/>
      <c r="C49" s="2"/>
      <c r="D49" s="2"/>
      <c r="E49" s="2" t="s">
        <v>361</v>
      </c>
      <c r="F49" s="2"/>
      <c r="G49" s="2"/>
      <c r="H49" s="9">
        <f t="shared" ref="H49:AQ49" si="47">eastern_public_net_price_per_dose*(1+eastern_public_net_price_per_dose_growth)^((COLUMN()-8)/12)</f>
        <v>33500</v>
      </c>
      <c r="I49" s="9">
        <f t="shared" si="47"/>
        <v>33582.620037372173</v>
      </c>
      <c r="J49" s="9">
        <f t="shared" si="47"/>
        <v>33665.443838045096</v>
      </c>
      <c r="K49" s="9">
        <f t="shared" si="47"/>
        <v>33748.471904554048</v>
      </c>
      <c r="L49" s="9">
        <f t="shared" si="47"/>
        <v>33831.704740673689</v>
      </c>
      <c r="M49" s="9">
        <f t="shared" si="47"/>
        <v>33915.142851421115</v>
      </c>
      <c r="N49" s="9">
        <f t="shared" si="47"/>
        <v>33998.786743058932</v>
      </c>
      <c r="O49" s="9">
        <f t="shared" si="47"/>
        <v>34082.636923098333</v>
      </c>
      <c r="P49" s="9">
        <f t="shared" si="47"/>
        <v>34166.693900302176</v>
      </c>
      <c r="Q49" s="9">
        <f t="shared" si="47"/>
        <v>34250.958184688039</v>
      </c>
      <c r="R49" s="9">
        <f t="shared" si="47"/>
        <v>34335.430287531366</v>
      </c>
      <c r="S49" s="9">
        <f t="shared" si="47"/>
        <v>34420.110721368546</v>
      </c>
      <c r="T49" s="9">
        <f t="shared" si="47"/>
        <v>34505</v>
      </c>
      <c r="U49" s="9">
        <f t="shared" si="47"/>
        <v>34590.098638493335</v>
      </c>
      <c r="V49" s="9">
        <f t="shared" si="47"/>
        <v>34675.407153186454</v>
      </c>
      <c r="W49" s="9">
        <f t="shared" si="47"/>
        <v>34760.926061690676</v>
      </c>
      <c r="X49" s="9">
        <f t="shared" si="47"/>
        <v>34846.655882893901</v>
      </c>
      <c r="Y49" s="9">
        <f t="shared" si="47"/>
        <v>34932.597136963748</v>
      </c>
      <c r="Z49" s="9">
        <f t="shared" si="47"/>
        <v>35018.750345350709</v>
      </c>
      <c r="AA49" s="9">
        <f t="shared" si="47"/>
        <v>35105.116030791294</v>
      </c>
      <c r="AB49" s="9">
        <f t="shared" si="47"/>
        <v>35191.694717311235</v>
      </c>
      <c r="AC49" s="9">
        <f t="shared" si="47"/>
        <v>35278.486930228682</v>
      </c>
      <c r="AD49" s="9">
        <f t="shared" si="47"/>
        <v>35365.493196157317</v>
      </c>
      <c r="AE49" s="9">
        <f t="shared" si="47"/>
        <v>35452.714043009604</v>
      </c>
      <c r="AF49" s="9">
        <f t="shared" si="47"/>
        <v>35540.15</v>
      </c>
      <c r="AG49" s="9">
        <f t="shared" si="47"/>
        <v>35627.801597648133</v>
      </c>
      <c r="AH49" s="9">
        <f t="shared" si="47"/>
        <v>35715.669367782051</v>
      </c>
      <c r="AI49" s="9">
        <f t="shared" si="47"/>
        <v>35803.753843541395</v>
      </c>
      <c r="AJ49" s="9">
        <f t="shared" si="47"/>
        <v>35892.055559380729</v>
      </c>
      <c r="AK49" s="9">
        <f t="shared" si="47"/>
        <v>35980.575051072665</v>
      </c>
      <c r="AL49" s="9">
        <f t="shared" si="47"/>
        <v>36069.312855711229</v>
      </c>
      <c r="AM49" s="9">
        <f t="shared" si="47"/>
        <v>36158.269511715029</v>
      </c>
      <c r="AN49" s="9">
        <f t="shared" si="47"/>
        <v>36247.445558830579</v>
      </c>
      <c r="AO49" s="9">
        <f t="shared" si="47"/>
        <v>36336.841538135544</v>
      </c>
      <c r="AP49" s="9">
        <f t="shared" si="47"/>
        <v>36426.457992042029</v>
      </c>
      <c r="AQ49" s="9">
        <f t="shared" si="47"/>
        <v>36516.295464299896</v>
      </c>
    </row>
    <row r="50" spans="1:43" hidden="1" outlineLevel="3" collapsed="1">
      <c r="A50" s="2"/>
      <c r="B50" s="2"/>
      <c r="C50" s="2"/>
      <c r="D50" s="2" t="s">
        <v>362</v>
      </c>
      <c r="E50" s="2"/>
      <c r="F50" s="2"/>
      <c r="G50" s="2"/>
      <c r="H50" s="9">
        <f t="shared" ref="H50:AQ50" si="48">(H51*H64)</f>
        <v>878203.3306835132</v>
      </c>
      <c r="I50" s="9">
        <f t="shared" si="48"/>
        <v>971986.76481591398</v>
      </c>
      <c r="J50" s="9">
        <f t="shared" si="48"/>
        <v>1069080.275477693</v>
      </c>
      <c r="K50" s="9">
        <f t="shared" si="48"/>
        <v>1169576.888250412</v>
      </c>
      <c r="L50" s="9">
        <f t="shared" si="48"/>
        <v>1273571.9880687387</v>
      </c>
      <c r="M50" s="9">
        <f t="shared" si="48"/>
        <v>1381163.3756386787</v>
      </c>
      <c r="N50" s="9">
        <f t="shared" si="48"/>
        <v>1492451.32515423</v>
      </c>
      <c r="O50" s="9">
        <f t="shared" si="48"/>
        <v>1607538.6433415604</v>
      </c>
      <c r="P50" s="9">
        <f t="shared" si="48"/>
        <v>1726530.7298604434</v>
      </c>
      <c r="Q50" s="9">
        <f t="shared" si="48"/>
        <v>1849535.6390933024</v>
      </c>
      <c r="R50" s="9">
        <f t="shared" si="48"/>
        <v>1976664.1433529535</v>
      </c>
      <c r="S50" s="9">
        <f t="shared" si="48"/>
        <v>2108029.7975407327</v>
      </c>
      <c r="T50" s="9">
        <f t="shared" si="48"/>
        <v>2243749.0052874675</v>
      </c>
      <c r="U50" s="9">
        <f t="shared" si="48"/>
        <v>2383941.0866104099</v>
      </c>
      <c r="V50" s="9">
        <f t="shared" si="48"/>
        <v>2528728.3471199838</v>
      </c>
      <c r="W50" s="9">
        <f t="shared" si="48"/>
        <v>2678236.1488109799</v>
      </c>
      <c r="X50" s="9">
        <f t="shared" si="48"/>
        <v>2832592.9824735224</v>
      </c>
      <c r="Y50" s="9">
        <f t="shared" si="48"/>
        <v>2991930.5417599794</v>
      </c>
      <c r="Z50" s="9">
        <f t="shared" si="48"/>
        <v>3156383.7989447154</v>
      </c>
      <c r="AA50" s="9">
        <f t="shared" si="48"/>
        <v>3326091.0824144338</v>
      </c>
      <c r="AB50" s="9">
        <f t="shared" si="48"/>
        <v>3501194.15592768</v>
      </c>
      <c r="AC50" s="9">
        <f t="shared" si="48"/>
        <v>3681838.2996828742</v>
      </c>
      <c r="AD50" s="9">
        <f t="shared" si="48"/>
        <v>3868172.3932351875</v>
      </c>
      <c r="AE50" s="9">
        <f t="shared" si="48"/>
        <v>4060349.0003033495</v>
      </c>
      <c r="AF50" s="9">
        <f t="shared" si="48"/>
        <v>4258524.455508518</v>
      </c>
      <c r="AG50" s="9">
        <f t="shared" si="48"/>
        <v>4462858.9530880526</v>
      </c>
      <c r="AH50" s="9">
        <f t="shared" si="48"/>
        <v>4673516.6376282033</v>
      </c>
      <c r="AI50" s="9">
        <f t="shared" si="48"/>
        <v>4890665.6968605239</v>
      </c>
      <c r="AJ50" s="9">
        <f t="shared" si="48"/>
        <v>5114478.4565678462</v>
      </c>
      <c r="AK50" s="9">
        <f t="shared" si="48"/>
        <v>5345131.477646661</v>
      </c>
      <c r="AL50" s="9">
        <f t="shared" si="48"/>
        <v>5582805.6553737782</v>
      </c>
      <c r="AM50" s="9">
        <f t="shared" si="48"/>
        <v>5827686.3209261661</v>
      </c>
      <c r="AN50" s="9">
        <f t="shared" si="48"/>
        <v>6079963.3452038895</v>
      </c>
      <c r="AO50" s="9">
        <f t="shared" si="48"/>
        <v>6339831.2450072989</v>
      </c>
      <c r="AP50" s="9">
        <f t="shared" si="48"/>
        <v>6607489.2916205712</v>
      </c>
      <c r="AQ50" s="9">
        <f t="shared" si="48"/>
        <v>6883141.6218549097</v>
      </c>
    </row>
    <row r="51" spans="1:43" hidden="1" outlineLevel="4" collapsed="1">
      <c r="A51" s="2"/>
      <c r="B51" s="2"/>
      <c r="C51" s="2"/>
      <c r="D51" s="2"/>
      <c r="E51" s="2" t="s">
        <v>363</v>
      </c>
      <c r="F51" s="2"/>
      <c r="G51" s="2"/>
      <c r="H51" s="9">
        <f t="shared" ref="H51:AQ51" si="49">(((((H52*H57)*H58)*H59)*H60)*H61)</f>
        <v>27.0216409441081</v>
      </c>
      <c r="I51" s="9">
        <f t="shared" si="49"/>
        <v>29.833707101239344</v>
      </c>
      <c r="J51" s="9">
        <f t="shared" si="49"/>
        <v>32.733121193529733</v>
      </c>
      <c r="K51" s="9">
        <f t="shared" si="49"/>
        <v>35.722028328775025</v>
      </c>
      <c r="L51" s="9">
        <f t="shared" si="49"/>
        <v>38.802621048315309</v>
      </c>
      <c r="M51" s="9">
        <f t="shared" si="49"/>
        <v>41.977140314892132</v>
      </c>
      <c r="N51" s="9">
        <f t="shared" si="49"/>
        <v>45.247876520294163</v>
      </c>
      <c r="O51" s="9">
        <f t="shared" si="49"/>
        <v>48.617170513177555</v>
      </c>
      <c r="P51" s="9">
        <f t="shared" si="49"/>
        <v>52.087414647454331</v>
      </c>
      <c r="Q51" s="9">
        <f t="shared" si="49"/>
        <v>55.661053851648475</v>
      </c>
      <c r="R51" s="9">
        <f t="shared" si="49"/>
        <v>59.340586719629385</v>
      </c>
      <c r="S51" s="9">
        <f t="shared" si="49"/>
        <v>63.128566623137338</v>
      </c>
      <c r="T51" s="9">
        <f t="shared" si="49"/>
        <v>67.027602846526293</v>
      </c>
      <c r="U51" s="9">
        <f t="shared" si="49"/>
        <v>71.040361744155177</v>
      </c>
      <c r="V51" s="9">
        <f t="shared" si="49"/>
        <v>75.169567920868374</v>
      </c>
      <c r="W51" s="9">
        <f t="shared" si="49"/>
        <v>79.418005436014283</v>
      </c>
      <c r="X51" s="9">
        <f t="shared" si="49"/>
        <v>83.788519031458875</v>
      </c>
      <c r="Y51" s="9">
        <f t="shared" si="49"/>
        <v>88.28401538406068</v>
      </c>
      <c r="Z51" s="9">
        <f t="shared" si="49"/>
        <v>92.907464383081873</v>
      </c>
      <c r="AA51" s="9">
        <f t="shared" si="49"/>
        <v>97.66190043301917</v>
      </c>
      <c r="AB51" s="9">
        <f t="shared" si="49"/>
        <v>102.55042378234846</v>
      </c>
      <c r="AC51" s="9">
        <f t="shared" si="49"/>
        <v>107.57620187868437</v>
      </c>
      <c r="AD51" s="9">
        <f t="shared" si="49"/>
        <v>112.74247075086861</v>
      </c>
      <c r="AE51" s="9">
        <f t="shared" si="49"/>
        <v>118.05253641850682</v>
      </c>
      <c r="AF51" s="9">
        <f t="shared" si="49"/>
        <v>123.50977632948855</v>
      </c>
      <c r="AG51" s="9">
        <f t="shared" si="49"/>
        <v>129.11764082602878</v>
      </c>
      <c r="AH51" s="9">
        <f t="shared" si="49"/>
        <v>134.87965463978594</v>
      </c>
      <c r="AI51" s="9">
        <f t="shared" si="49"/>
        <v>140.79941841661818</v>
      </c>
      <c r="AJ51" s="9">
        <f t="shared" si="49"/>
        <v>146.88061027155058</v>
      </c>
      <c r="AK51" s="9">
        <f t="shared" si="49"/>
        <v>153.1269873745388</v>
      </c>
      <c r="AL51" s="9">
        <f t="shared" si="49"/>
        <v>159.54238756762339</v>
      </c>
      <c r="AM51" s="9">
        <f t="shared" si="49"/>
        <v>166.13073101408258</v>
      </c>
      <c r="AN51" s="9">
        <f t="shared" si="49"/>
        <v>172.89602188020007</v>
      </c>
      <c r="AO51" s="9">
        <f t="shared" si="49"/>
        <v>179.84235005027949</v>
      </c>
      <c r="AP51" s="9">
        <f t="shared" si="49"/>
        <v>186.9738928755466</v>
      </c>
      <c r="AQ51" s="9">
        <f t="shared" si="49"/>
        <v>194.29491695759253</v>
      </c>
    </row>
    <row r="52" spans="1:43" hidden="1" outlineLevel="5" collapsed="1">
      <c r="A52" s="2"/>
      <c r="B52" s="2"/>
      <c r="C52" s="2"/>
      <c r="D52" s="2"/>
      <c r="E52" s="2"/>
      <c r="F52" s="2" t="s">
        <v>364</v>
      </c>
      <c r="G52" s="2"/>
      <c r="H52" s="9">
        <f t="shared" ref="H52:AQ52" si="50">(((H53*H54)*H55)*H56)</f>
        <v>8373.7308599999997</v>
      </c>
      <c r="I52" s="9">
        <f t="shared" si="50"/>
        <v>8392.4653291171344</v>
      </c>
      <c r="J52" s="9">
        <f t="shared" si="50"/>
        <v>8411.2417126854198</v>
      </c>
      <c r="K52" s="9">
        <f t="shared" si="50"/>
        <v>8430.0601044796676</v>
      </c>
      <c r="L52" s="9">
        <f t="shared" si="50"/>
        <v>8448.920598484483</v>
      </c>
      <c r="M52" s="9">
        <f t="shared" si="50"/>
        <v>8467.8232888947423</v>
      </c>
      <c r="N52" s="9">
        <f t="shared" si="50"/>
        <v>8486.768270116072</v>
      </c>
      <c r="O52" s="9">
        <f t="shared" si="50"/>
        <v>8505.7556367652942</v>
      </c>
      <c r="P52" s="9">
        <f t="shared" si="50"/>
        <v>8524.7854836709394</v>
      </c>
      <c r="Q52" s="9">
        <f t="shared" si="50"/>
        <v>8543.8579058736777</v>
      </c>
      <c r="R52" s="9">
        <f t="shared" si="50"/>
        <v>8562.972998626823</v>
      </c>
      <c r="S52" s="9">
        <f t="shared" si="50"/>
        <v>8582.1308573967945</v>
      </c>
      <c r="T52" s="9">
        <f t="shared" si="50"/>
        <v>8601.331577863597</v>
      </c>
      <c r="U52" s="9">
        <f t="shared" si="50"/>
        <v>8620.5752559213015</v>
      </c>
      <c r="V52" s="9">
        <f t="shared" si="50"/>
        <v>8639.8619876785233</v>
      </c>
      <c r="W52" s="9">
        <f t="shared" si="50"/>
        <v>8659.1918694588985</v>
      </c>
      <c r="X52" s="9">
        <f t="shared" si="50"/>
        <v>8678.5649978015645</v>
      </c>
      <c r="Y52" s="9">
        <f t="shared" si="50"/>
        <v>8697.9814694616471</v>
      </c>
      <c r="Z52" s="9">
        <f t="shared" si="50"/>
        <v>8717.4413814107447</v>
      </c>
      <c r="AA52" s="9">
        <f t="shared" si="50"/>
        <v>8736.9448308374012</v>
      </c>
      <c r="AB52" s="9">
        <f t="shared" si="50"/>
        <v>8756.4919151476133</v>
      </c>
      <c r="AC52" s="9">
        <f t="shared" si="50"/>
        <v>8776.0827319652872</v>
      </c>
      <c r="AD52" s="9">
        <f t="shared" si="50"/>
        <v>8795.717379132755</v>
      </c>
      <c r="AE52" s="9">
        <f t="shared" si="50"/>
        <v>8815.3959547112354</v>
      </c>
      <c r="AF52" s="9">
        <f t="shared" si="50"/>
        <v>8835.1185569813606</v>
      </c>
      <c r="AG52" s="9">
        <f t="shared" si="50"/>
        <v>8854.885284443626</v>
      </c>
      <c r="AH52" s="9">
        <f t="shared" si="50"/>
        <v>8874.6962358189085</v>
      </c>
      <c r="AI52" s="9">
        <f t="shared" si="50"/>
        <v>8894.5515100489556</v>
      </c>
      <c r="AJ52" s="9">
        <f t="shared" si="50"/>
        <v>8914.4512062968697</v>
      </c>
      <c r="AK52" s="9">
        <f t="shared" si="50"/>
        <v>8934.3954239476097</v>
      </c>
      <c r="AL52" s="9">
        <f t="shared" si="50"/>
        <v>8954.3842626084916</v>
      </c>
      <c r="AM52" s="9">
        <f t="shared" si="50"/>
        <v>8974.4178221096881</v>
      </c>
      <c r="AN52" s="9">
        <f t="shared" si="50"/>
        <v>8994.4962025047025</v>
      </c>
      <c r="AO52" s="9">
        <f t="shared" si="50"/>
        <v>9014.6195040709063</v>
      </c>
      <c r="AP52" s="9">
        <f t="shared" si="50"/>
        <v>9034.7878273100123</v>
      </c>
      <c r="AQ52" s="9">
        <f t="shared" si="50"/>
        <v>9055.0012729485788</v>
      </c>
    </row>
    <row r="53" spans="1:43" hidden="1" outlineLevel="6">
      <c r="A53" s="2"/>
      <c r="B53" s="2"/>
      <c r="C53" s="2"/>
      <c r="D53" s="2"/>
      <c r="E53" s="2"/>
      <c r="F53" s="2"/>
      <c r="G53" s="2" t="s">
        <v>71</v>
      </c>
      <c r="H53" s="9">
        <f t="shared" ref="H53:AQ53" si="51">H8</f>
        <v>145833</v>
      </c>
      <c r="I53" s="9">
        <f t="shared" si="51"/>
        <v>146049.96530187438</v>
      </c>
      <c r="J53" s="9">
        <f t="shared" si="51"/>
        <v>146267.2533972332</v>
      </c>
      <c r="K53" s="9">
        <f t="shared" si="51"/>
        <v>146484.86476631745</v>
      </c>
      <c r="L53" s="9">
        <f t="shared" si="51"/>
        <v>146702.79989008268</v>
      </c>
      <c r="M53" s="9">
        <f t="shared" si="51"/>
        <v>146921.05925019985</v>
      </c>
      <c r="N53" s="9">
        <f t="shared" si="51"/>
        <v>147139.64332905665</v>
      </c>
      <c r="O53" s="9">
        <f t="shared" si="51"/>
        <v>147358.55260975836</v>
      </c>
      <c r="P53" s="9">
        <f t="shared" si="51"/>
        <v>147577.78757612914</v>
      </c>
      <c r="Q53" s="9">
        <f t="shared" si="51"/>
        <v>147797.34871271279</v>
      </c>
      <c r="R53" s="9">
        <f t="shared" si="51"/>
        <v>148017.23650477419</v>
      </c>
      <c r="S53" s="9">
        <f t="shared" si="51"/>
        <v>148237.45143829999</v>
      </c>
      <c r="T53" s="9">
        <f t="shared" si="51"/>
        <v>148457.99400000001</v>
      </c>
      <c r="U53" s="9">
        <f t="shared" si="51"/>
        <v>148678.8646773081</v>
      </c>
      <c r="V53" s="9">
        <f t="shared" si="51"/>
        <v>148900.0639583834</v>
      </c>
      <c r="W53" s="9">
        <f t="shared" si="51"/>
        <v>149121.59233211118</v>
      </c>
      <c r="X53" s="9">
        <f t="shared" si="51"/>
        <v>149343.45028810418</v>
      </c>
      <c r="Y53" s="9">
        <f t="shared" si="51"/>
        <v>149565.63831670344</v>
      </c>
      <c r="Z53" s="9">
        <f t="shared" si="51"/>
        <v>149788.15690897967</v>
      </c>
      <c r="AA53" s="9">
        <f t="shared" si="51"/>
        <v>150011.00655673404</v>
      </c>
      <c r="AB53" s="9">
        <f t="shared" si="51"/>
        <v>150234.18775249945</v>
      </c>
      <c r="AC53" s="9">
        <f t="shared" si="51"/>
        <v>150457.70098954163</v>
      </c>
      <c r="AD53" s="9">
        <f t="shared" si="51"/>
        <v>150681.54676186011</v>
      </c>
      <c r="AE53" s="9">
        <f t="shared" si="51"/>
        <v>150905.72556418937</v>
      </c>
      <c r="AF53" s="9">
        <f t="shared" si="51"/>
        <v>151130.237892</v>
      </c>
      <c r="AG53" s="9">
        <f t="shared" si="51"/>
        <v>151355.08424149966</v>
      </c>
      <c r="AH53" s="9">
        <f t="shared" si="51"/>
        <v>151580.26510963429</v>
      </c>
      <c r="AI53" s="9">
        <f t="shared" si="51"/>
        <v>151805.78099408917</v>
      </c>
      <c r="AJ53" s="9">
        <f t="shared" si="51"/>
        <v>152031.63239329006</v>
      </c>
      <c r="AK53" s="9">
        <f t="shared" si="51"/>
        <v>152257.81980640409</v>
      </c>
      <c r="AL53" s="9">
        <f t="shared" si="51"/>
        <v>152484.34373334129</v>
      </c>
      <c r="AM53" s="9">
        <f t="shared" si="51"/>
        <v>152711.20467475525</v>
      </c>
      <c r="AN53" s="9">
        <f t="shared" si="51"/>
        <v>152938.40313204445</v>
      </c>
      <c r="AO53" s="9">
        <f t="shared" si="51"/>
        <v>153165.93960735339</v>
      </c>
      <c r="AP53" s="9">
        <f t="shared" si="51"/>
        <v>153393.81460357361</v>
      </c>
      <c r="AQ53" s="9">
        <f t="shared" si="51"/>
        <v>153622.02862434482</v>
      </c>
    </row>
    <row r="54" spans="1:43" hidden="1" outlineLevel="6">
      <c r="A54" s="2"/>
      <c r="B54" s="2"/>
      <c r="C54" s="2"/>
      <c r="D54" s="2"/>
      <c r="E54" s="2"/>
      <c r="F54" s="2"/>
      <c r="G54" s="2" t="s">
        <v>365</v>
      </c>
      <c r="H54" s="9">
        <f t="shared" ref="H54:AQ54" si="52">northern_regional_opportunity_weight*(1+northern_regional_opportunity_weight_growth)^((COLUMN()-8)/12)</f>
        <v>0.22</v>
      </c>
      <c r="I54" s="9">
        <f t="shared" si="52"/>
        <v>0.22</v>
      </c>
      <c r="J54" s="9">
        <f t="shared" si="52"/>
        <v>0.22</v>
      </c>
      <c r="K54" s="9">
        <f t="shared" si="52"/>
        <v>0.22</v>
      </c>
      <c r="L54" s="9">
        <f t="shared" si="52"/>
        <v>0.22</v>
      </c>
      <c r="M54" s="9">
        <f t="shared" si="52"/>
        <v>0.22</v>
      </c>
      <c r="N54" s="9">
        <f t="shared" si="52"/>
        <v>0.22</v>
      </c>
      <c r="O54" s="9">
        <f t="shared" si="52"/>
        <v>0.22</v>
      </c>
      <c r="P54" s="9">
        <f t="shared" si="52"/>
        <v>0.22</v>
      </c>
      <c r="Q54" s="9">
        <f t="shared" si="52"/>
        <v>0.22</v>
      </c>
      <c r="R54" s="9">
        <f t="shared" si="52"/>
        <v>0.22</v>
      </c>
      <c r="S54" s="9">
        <f t="shared" si="52"/>
        <v>0.22</v>
      </c>
      <c r="T54" s="9">
        <f t="shared" si="52"/>
        <v>0.22</v>
      </c>
      <c r="U54" s="9">
        <f t="shared" si="52"/>
        <v>0.22</v>
      </c>
      <c r="V54" s="9">
        <f t="shared" si="52"/>
        <v>0.22</v>
      </c>
      <c r="W54" s="9">
        <f t="shared" si="52"/>
        <v>0.22</v>
      </c>
      <c r="X54" s="9">
        <f t="shared" si="52"/>
        <v>0.22</v>
      </c>
      <c r="Y54" s="9">
        <f t="shared" si="52"/>
        <v>0.22</v>
      </c>
      <c r="Z54" s="9">
        <f t="shared" si="52"/>
        <v>0.22</v>
      </c>
      <c r="AA54" s="9">
        <f t="shared" si="52"/>
        <v>0.22</v>
      </c>
      <c r="AB54" s="9">
        <f t="shared" si="52"/>
        <v>0.22</v>
      </c>
      <c r="AC54" s="9">
        <f t="shared" si="52"/>
        <v>0.22</v>
      </c>
      <c r="AD54" s="9">
        <f t="shared" si="52"/>
        <v>0.22</v>
      </c>
      <c r="AE54" s="9">
        <f t="shared" si="52"/>
        <v>0.22</v>
      </c>
      <c r="AF54" s="9">
        <f t="shared" si="52"/>
        <v>0.22</v>
      </c>
      <c r="AG54" s="9">
        <f t="shared" si="52"/>
        <v>0.22</v>
      </c>
      <c r="AH54" s="9">
        <f t="shared" si="52"/>
        <v>0.22</v>
      </c>
      <c r="AI54" s="9">
        <f t="shared" si="52"/>
        <v>0.22</v>
      </c>
      <c r="AJ54" s="9">
        <f t="shared" si="52"/>
        <v>0.22</v>
      </c>
      <c r="AK54" s="9">
        <f t="shared" si="52"/>
        <v>0.22</v>
      </c>
      <c r="AL54" s="9">
        <f t="shared" si="52"/>
        <v>0.22</v>
      </c>
      <c r="AM54" s="9">
        <f t="shared" si="52"/>
        <v>0.22</v>
      </c>
      <c r="AN54" s="9">
        <f t="shared" si="52"/>
        <v>0.22</v>
      </c>
      <c r="AO54" s="9">
        <f t="shared" si="52"/>
        <v>0.22</v>
      </c>
      <c r="AP54" s="9">
        <f t="shared" si="52"/>
        <v>0.22</v>
      </c>
      <c r="AQ54" s="9">
        <f t="shared" si="52"/>
        <v>0.22</v>
      </c>
    </row>
    <row r="55" spans="1:43" hidden="1" outlineLevel="6">
      <c r="A55" s="2"/>
      <c r="B55" s="2"/>
      <c r="C55" s="2"/>
      <c r="D55" s="2"/>
      <c r="E55" s="2"/>
      <c r="F55" s="2"/>
      <c r="G55" s="2" t="s">
        <v>366</v>
      </c>
      <c r="H55" s="9">
        <f t="shared" ref="H55:AQ55" si="53">northern_anc_access_rate*(1+northern_anc_access_rate_growth)^((COLUMN()-8)/12)</f>
        <v>0.57999999999999996</v>
      </c>
      <c r="I55" s="9">
        <f t="shared" si="53"/>
        <v>0.58014480100630139</v>
      </c>
      <c r="J55" s="9">
        <f t="shared" si="53"/>
        <v>0.58028963816317425</v>
      </c>
      <c r="K55" s="9">
        <f t="shared" si="53"/>
        <v>0.58043451147964387</v>
      </c>
      <c r="L55" s="9">
        <f t="shared" si="53"/>
        <v>0.58057942096473747</v>
      </c>
      <c r="M55" s="9">
        <f t="shared" si="53"/>
        <v>0.58072436662748506</v>
      </c>
      <c r="N55" s="9">
        <f t="shared" si="53"/>
        <v>0.58086934847691862</v>
      </c>
      <c r="O55" s="9">
        <f t="shared" si="53"/>
        <v>0.58101436652207228</v>
      </c>
      <c r="P55" s="9">
        <f t="shared" si="53"/>
        <v>0.58115942077198257</v>
      </c>
      <c r="Q55" s="9">
        <f t="shared" si="53"/>
        <v>0.58130451123568838</v>
      </c>
      <c r="R55" s="9">
        <f t="shared" si="53"/>
        <v>0.58144963792223059</v>
      </c>
      <c r="S55" s="9">
        <f t="shared" si="53"/>
        <v>0.58159480084065263</v>
      </c>
      <c r="T55" s="9">
        <f t="shared" si="53"/>
        <v>0.58173999999999992</v>
      </c>
      <c r="U55" s="9">
        <f t="shared" si="53"/>
        <v>0.58188523540932025</v>
      </c>
      <c r="V55" s="9">
        <f t="shared" si="53"/>
        <v>0.58203050707766368</v>
      </c>
      <c r="W55" s="9">
        <f t="shared" si="53"/>
        <v>0.58217581501408266</v>
      </c>
      <c r="X55" s="9">
        <f t="shared" si="53"/>
        <v>0.58232115922763172</v>
      </c>
      <c r="Y55" s="9">
        <f t="shared" si="53"/>
        <v>0.5824665397273675</v>
      </c>
      <c r="Z55" s="9">
        <f t="shared" si="53"/>
        <v>0.58261195652234943</v>
      </c>
      <c r="AA55" s="9">
        <f t="shared" si="53"/>
        <v>0.58275740962163847</v>
      </c>
      <c r="AB55" s="9">
        <f t="shared" si="53"/>
        <v>0.58290289903429859</v>
      </c>
      <c r="AC55" s="9">
        <f t="shared" si="53"/>
        <v>0.58304842476939545</v>
      </c>
      <c r="AD55" s="9">
        <f t="shared" si="53"/>
        <v>0.58319398683599732</v>
      </c>
      <c r="AE55" s="9">
        <f t="shared" si="53"/>
        <v>0.58333958524317453</v>
      </c>
      <c r="AF55" s="9">
        <f t="shared" si="53"/>
        <v>0.5834852199999998</v>
      </c>
      <c r="AG55" s="9">
        <f t="shared" si="53"/>
        <v>0.58363089111554811</v>
      </c>
      <c r="AH55" s="9">
        <f t="shared" si="53"/>
        <v>0.58377659859889663</v>
      </c>
      <c r="AI55" s="9">
        <f t="shared" si="53"/>
        <v>0.58392234245912489</v>
      </c>
      <c r="AJ55" s="9">
        <f t="shared" si="53"/>
        <v>0.5840681227053145</v>
      </c>
      <c r="AK55" s="9">
        <f t="shared" si="53"/>
        <v>0.58421393934654953</v>
      </c>
      <c r="AL55" s="9">
        <f t="shared" si="53"/>
        <v>0.58435979239191627</v>
      </c>
      <c r="AM55" s="9">
        <f t="shared" si="53"/>
        <v>0.58450568185050333</v>
      </c>
      <c r="AN55" s="9">
        <f t="shared" si="53"/>
        <v>0.58465160773140135</v>
      </c>
      <c r="AO55" s="9">
        <f t="shared" si="53"/>
        <v>0.58479757004370347</v>
      </c>
      <c r="AP55" s="9">
        <f t="shared" si="53"/>
        <v>0.58494356879650522</v>
      </c>
      <c r="AQ55" s="9">
        <f t="shared" si="53"/>
        <v>0.58508960399890397</v>
      </c>
    </row>
    <row r="56" spans="1:43" hidden="1" outlineLevel="6">
      <c r="A56" s="2"/>
      <c r="B56" s="2"/>
      <c r="C56" s="2"/>
      <c r="D56" s="2"/>
      <c r="E56" s="2"/>
      <c r="F56" s="2"/>
      <c r="G56" s="2" t="s">
        <v>367</v>
      </c>
      <c r="H56" s="9">
        <f t="shared" ref="H56:AQ56" si="54">northern_third_trimester_window_rate*(1+northern_third_trimester_window_rate_growth)^((COLUMN()-8)/12)</f>
        <v>0.45</v>
      </c>
      <c r="I56" s="9">
        <f t="shared" si="54"/>
        <v>0.4502243836115466</v>
      </c>
      <c r="J56" s="9">
        <f t="shared" si="54"/>
        <v>0.45044887910754899</v>
      </c>
      <c r="K56" s="9">
        <f t="shared" si="54"/>
        <v>0.4506734865437963</v>
      </c>
      <c r="L56" s="9">
        <f t="shared" si="54"/>
        <v>0.45089820597610519</v>
      </c>
      <c r="M56" s="9">
        <f t="shared" si="54"/>
        <v>0.45112303746032023</v>
      </c>
      <c r="N56" s="9">
        <f t="shared" si="54"/>
        <v>0.45134798105231405</v>
      </c>
      <c r="O56" s="9">
        <f t="shared" si="54"/>
        <v>0.45157303680798688</v>
      </c>
      <c r="P56" s="9">
        <f t="shared" si="54"/>
        <v>0.45179820478326693</v>
      </c>
      <c r="Q56" s="9">
        <f t="shared" si="54"/>
        <v>0.45202348503411033</v>
      </c>
      <c r="R56" s="9">
        <f t="shared" si="54"/>
        <v>0.45224887761650101</v>
      </c>
      <c r="S56" s="9">
        <f t="shared" si="54"/>
        <v>0.45247438258645095</v>
      </c>
      <c r="T56" s="9">
        <f t="shared" si="54"/>
        <v>0.45269999999999999</v>
      </c>
      <c r="U56" s="9">
        <f t="shared" si="54"/>
        <v>0.45292572991321584</v>
      </c>
      <c r="V56" s="9">
        <f t="shared" si="54"/>
        <v>0.45315157238219433</v>
      </c>
      <c r="W56" s="9">
        <f t="shared" si="54"/>
        <v>0.45337752746305909</v>
      </c>
      <c r="X56" s="9">
        <f t="shared" si="54"/>
        <v>0.45360359521196175</v>
      </c>
      <c r="Y56" s="9">
        <f t="shared" si="54"/>
        <v>0.4538297756850822</v>
      </c>
      <c r="Z56" s="9">
        <f t="shared" si="54"/>
        <v>0.45405606893862793</v>
      </c>
      <c r="AA56" s="9">
        <f t="shared" si="54"/>
        <v>0.45428247502883473</v>
      </c>
      <c r="AB56" s="9">
        <f t="shared" si="54"/>
        <v>0.45450899401196648</v>
      </c>
      <c r="AC56" s="9">
        <f t="shared" si="54"/>
        <v>0.45473562594431505</v>
      </c>
      <c r="AD56" s="9">
        <f t="shared" si="54"/>
        <v>0.4549623708822001</v>
      </c>
      <c r="AE56" s="9">
        <f t="shared" si="54"/>
        <v>0.45518922888196972</v>
      </c>
      <c r="AF56" s="9">
        <f t="shared" si="54"/>
        <v>0.45541619999999999</v>
      </c>
      <c r="AG56" s="9">
        <f t="shared" si="54"/>
        <v>0.45564328429269518</v>
      </c>
      <c r="AH56" s="9">
        <f t="shared" si="54"/>
        <v>0.45587048181648748</v>
      </c>
      <c r="AI56" s="9">
        <f t="shared" si="54"/>
        <v>0.45609779262783734</v>
      </c>
      <c r="AJ56" s="9">
        <f t="shared" si="54"/>
        <v>0.45632521678323357</v>
      </c>
      <c r="AK56" s="9">
        <f t="shared" si="54"/>
        <v>0.45655275433919268</v>
      </c>
      <c r="AL56" s="9">
        <f t="shared" si="54"/>
        <v>0.45678040535225961</v>
      </c>
      <c r="AM56" s="9">
        <f t="shared" si="54"/>
        <v>0.45700816987900783</v>
      </c>
      <c r="AN56" s="9">
        <f t="shared" si="54"/>
        <v>0.45723604797603828</v>
      </c>
      <c r="AO56" s="9">
        <f t="shared" si="54"/>
        <v>0.45746403969998084</v>
      </c>
      <c r="AP56" s="9">
        <f t="shared" si="54"/>
        <v>0.45769214510749329</v>
      </c>
      <c r="AQ56" s="9">
        <f t="shared" si="54"/>
        <v>0.4579203642552615</v>
      </c>
    </row>
    <row r="57" spans="1:43" hidden="1" outlineLevel="5">
      <c r="A57" s="2"/>
      <c r="B57" s="2"/>
      <c r="C57" s="2"/>
      <c r="D57" s="2"/>
      <c r="E57" s="2"/>
      <c r="F57" s="2" t="s">
        <v>368</v>
      </c>
      <c r="G57" s="2"/>
      <c r="H57" s="9">
        <f t="shared" ref="H57:AQ57" si="55">northern_public_eligibility_rate*(1+northern_public_eligibility_rate_growth)^((COLUMN()-8)/12)</f>
        <v>0.17</v>
      </c>
      <c r="I57" s="9">
        <f t="shared" si="55"/>
        <v>0.1710937851187006</v>
      </c>
      <c r="J57" s="9">
        <f t="shared" si="55"/>
        <v>0.17219460768378878</v>
      </c>
      <c r="K57" s="9">
        <f t="shared" si="55"/>
        <v>0.17330251297440652</v>
      </c>
      <c r="L57" s="9">
        <f t="shared" si="55"/>
        <v>0.1744175465610231</v>
      </c>
      <c r="M57" s="9">
        <f t="shared" si="55"/>
        <v>0.17553975430730967</v>
      </c>
      <c r="N57" s="9">
        <f t="shared" si="55"/>
        <v>0.17666918237202553</v>
      </c>
      <c r="O57" s="9">
        <f t="shared" si="55"/>
        <v>0.17780587721091681</v>
      </c>
      <c r="P57" s="9">
        <f t="shared" si="55"/>
        <v>0.17894988557862745</v>
      </c>
      <c r="Q57" s="9">
        <f t="shared" si="55"/>
        <v>0.18010125453062198</v>
      </c>
      <c r="R57" s="9">
        <f t="shared" si="55"/>
        <v>0.1812600314251214</v>
      </c>
      <c r="S57" s="9">
        <f t="shared" si="55"/>
        <v>0.18242626392505082</v>
      </c>
      <c r="T57" s="9">
        <f t="shared" si="55"/>
        <v>0.18360000000000001</v>
      </c>
      <c r="U57" s="9">
        <f t="shared" si="55"/>
        <v>0.18478128792819665</v>
      </c>
      <c r="V57" s="9">
        <f t="shared" si="55"/>
        <v>0.18597017629849191</v>
      </c>
      <c r="W57" s="9">
        <f t="shared" si="55"/>
        <v>0.18716671401235904</v>
      </c>
      <c r="X57" s="9">
        <f t="shared" si="55"/>
        <v>0.18837095028590495</v>
      </c>
      <c r="Y57" s="9">
        <f t="shared" si="55"/>
        <v>0.18958293465189446</v>
      </c>
      <c r="Z57" s="9">
        <f t="shared" si="55"/>
        <v>0.19080271696178755</v>
      </c>
      <c r="AA57" s="9">
        <f t="shared" si="55"/>
        <v>0.19203034738779015</v>
      </c>
      <c r="AB57" s="9">
        <f t="shared" si="55"/>
        <v>0.19326587642491763</v>
      </c>
      <c r="AC57" s="9">
        <f t="shared" si="55"/>
        <v>0.19450935489307175</v>
      </c>
      <c r="AD57" s="9">
        <f t="shared" si="55"/>
        <v>0.19576083393913116</v>
      </c>
      <c r="AE57" s="9">
        <f t="shared" si="55"/>
        <v>0.1970203650390549</v>
      </c>
      <c r="AF57" s="9">
        <f t="shared" si="55"/>
        <v>0.19828800000000002</v>
      </c>
      <c r="AG57" s="9">
        <f t="shared" si="55"/>
        <v>0.19956379096245241</v>
      </c>
      <c r="AH57" s="9">
        <f t="shared" si="55"/>
        <v>0.20084779040237127</v>
      </c>
      <c r="AI57" s="9">
        <f t="shared" si="55"/>
        <v>0.20214005113334779</v>
      </c>
      <c r="AJ57" s="9">
        <f t="shared" si="55"/>
        <v>0.20344062630877738</v>
      </c>
      <c r="AK57" s="9">
        <f t="shared" si="55"/>
        <v>0.20474956942404601</v>
      </c>
      <c r="AL57" s="9">
        <f t="shared" si="55"/>
        <v>0.20606693431873058</v>
      </c>
      <c r="AM57" s="9">
        <f t="shared" si="55"/>
        <v>0.20739277517881338</v>
      </c>
      <c r="AN57" s="9">
        <f t="shared" si="55"/>
        <v>0.20872714653891106</v>
      </c>
      <c r="AO57" s="9">
        <f t="shared" si="55"/>
        <v>0.21007010328451753</v>
      </c>
      <c r="AP57" s="9">
        <f t="shared" si="55"/>
        <v>0.21142170065426166</v>
      </c>
      <c r="AQ57" s="9">
        <f t="shared" si="55"/>
        <v>0.21278199424217928</v>
      </c>
    </row>
    <row r="58" spans="1:43" hidden="1" outlineLevel="5">
      <c r="A58" s="2"/>
      <c r="B58" s="2"/>
      <c r="C58" s="2"/>
      <c r="D58" s="2"/>
      <c r="E58" s="2"/>
      <c r="F58" s="2" t="s">
        <v>369</v>
      </c>
      <c r="G58" s="2"/>
      <c r="H58" s="9">
        <f t="shared" ref="H58:AQ58" si="56">northern_public_provider_recommendation_rate*(1+northern_public_provider_recommendation_rate_growth)^((COLUMN()-8)/12)</f>
        <v>0.39</v>
      </c>
      <c r="I58" s="9">
        <f t="shared" si="56"/>
        <v>0.39127675851505761</v>
      </c>
      <c r="J58" s="9">
        <f t="shared" si="56"/>
        <v>0.39255769680525815</v>
      </c>
      <c r="K58" s="9">
        <f t="shared" si="56"/>
        <v>0.39384282855409786</v>
      </c>
      <c r="L58" s="9">
        <f t="shared" si="56"/>
        <v>0.39513216748986912</v>
      </c>
      <c r="M58" s="9">
        <f t="shared" si="56"/>
        <v>0.39642572738580717</v>
      </c>
      <c r="N58" s="9">
        <f t="shared" si="56"/>
        <v>0.39772352206023726</v>
      </c>
      <c r="O58" s="9">
        <f t="shared" si="56"/>
        <v>0.39902556537672207</v>
      </c>
      <c r="P58" s="9">
        <f t="shared" si="56"/>
        <v>0.40033187124421021</v>
      </c>
      <c r="Q58" s="9">
        <f t="shared" si="56"/>
        <v>0.40164245361718448</v>
      </c>
      <c r="R58" s="9">
        <f t="shared" si="56"/>
        <v>0.40295732649581112</v>
      </c>
      <c r="S58" s="9">
        <f t="shared" si="56"/>
        <v>0.40427650392608894</v>
      </c>
      <c r="T58" s="9">
        <f t="shared" si="56"/>
        <v>0.40560000000000002</v>
      </c>
      <c r="U58" s="9">
        <f t="shared" si="56"/>
        <v>0.40692782885565992</v>
      </c>
      <c r="V58" s="9">
        <f t="shared" si="56"/>
        <v>0.40826000467746848</v>
      </c>
      <c r="W58" s="9">
        <f t="shared" si="56"/>
        <v>0.40959654169626181</v>
      </c>
      <c r="X58" s="9">
        <f t="shared" si="56"/>
        <v>0.41093745418946392</v>
      </c>
      <c r="Y58" s="9">
        <f t="shared" si="56"/>
        <v>0.41228275648123952</v>
      </c>
      <c r="Z58" s="9">
        <f t="shared" si="56"/>
        <v>0.41363246294264677</v>
      </c>
      <c r="AA58" s="9">
        <f t="shared" si="56"/>
        <v>0.41498658799179095</v>
      </c>
      <c r="AB58" s="9">
        <f t="shared" si="56"/>
        <v>0.41634514609397866</v>
      </c>
      <c r="AC58" s="9">
        <f t="shared" si="56"/>
        <v>0.41770815176187193</v>
      </c>
      <c r="AD58" s="9">
        <f t="shared" si="56"/>
        <v>0.4190756195556436</v>
      </c>
      <c r="AE58" s="9">
        <f t="shared" si="56"/>
        <v>0.4204475640831325</v>
      </c>
      <c r="AF58" s="9">
        <f t="shared" si="56"/>
        <v>0.42182400000000003</v>
      </c>
      <c r="AG58" s="9">
        <f t="shared" si="56"/>
        <v>0.42320494200988629</v>
      </c>
      <c r="AH58" s="9">
        <f t="shared" si="56"/>
        <v>0.42459040486456723</v>
      </c>
      <c r="AI58" s="9">
        <f t="shared" si="56"/>
        <v>0.4259804033641123</v>
      </c>
      <c r="AJ58" s="9">
        <f t="shared" si="56"/>
        <v>0.42737495235704248</v>
      </c>
      <c r="AK58" s="9">
        <f t="shared" si="56"/>
        <v>0.42877406674048912</v>
      </c>
      <c r="AL58" s="9">
        <f t="shared" si="56"/>
        <v>0.43017776146035264</v>
      </c>
      <c r="AM58" s="9">
        <f t="shared" si="56"/>
        <v>0.43158605151146262</v>
      </c>
      <c r="AN58" s="9">
        <f t="shared" si="56"/>
        <v>0.4329989519377378</v>
      </c>
      <c r="AO58" s="9">
        <f t="shared" si="56"/>
        <v>0.43441647783234677</v>
      </c>
      <c r="AP58" s="9">
        <f t="shared" si="56"/>
        <v>0.43583864433786929</v>
      </c>
      <c r="AQ58" s="9">
        <f t="shared" si="56"/>
        <v>0.43726546664645782</v>
      </c>
    </row>
    <row r="59" spans="1:43" hidden="1" outlineLevel="5">
      <c r="A59" s="2"/>
      <c r="B59" s="2"/>
      <c r="C59" s="2"/>
      <c r="D59" s="2"/>
      <c r="E59" s="2"/>
      <c r="F59" s="2" t="s">
        <v>370</v>
      </c>
      <c r="G59" s="2"/>
      <c r="H59" s="9">
        <f t="shared" ref="H59:AQ59" si="57">northern_public_acceptance_rate*(1+northern_public_acceptance_rate_growth)^((COLUMN()-8)/12)</f>
        <v>0.78</v>
      </c>
      <c r="I59" s="9">
        <f t="shared" si="57"/>
        <v>0.7812882334154978</v>
      </c>
      <c r="J59" s="9">
        <f t="shared" si="57"/>
        <v>0.78257859445321709</v>
      </c>
      <c r="K59" s="9">
        <f t="shared" si="57"/>
        <v>0.78387108662709903</v>
      </c>
      <c r="L59" s="9">
        <f t="shared" si="57"/>
        <v>0.78516571345688813</v>
      </c>
      <c r="M59" s="9">
        <f t="shared" si="57"/>
        <v>0.78646247846814232</v>
      </c>
      <c r="N59" s="9">
        <f t="shared" si="57"/>
        <v>0.78776138519224215</v>
      </c>
      <c r="O59" s="9">
        <f t="shared" si="57"/>
        <v>0.78906243716640045</v>
      </c>
      <c r="P59" s="9">
        <f t="shared" si="57"/>
        <v>0.79036563793367198</v>
      </c>
      <c r="Q59" s="9">
        <f t="shared" si="57"/>
        <v>0.79167099104296346</v>
      </c>
      <c r="R59" s="9">
        <f t="shared" si="57"/>
        <v>0.79297850004904258</v>
      </c>
      <c r="S59" s="9">
        <f t="shared" si="57"/>
        <v>0.79428816851254835</v>
      </c>
      <c r="T59" s="9">
        <f t="shared" si="57"/>
        <v>0.79560000000000008</v>
      </c>
      <c r="U59" s="9">
        <f t="shared" si="57"/>
        <v>0.79691399808380781</v>
      </c>
      <c r="V59" s="9">
        <f t="shared" si="57"/>
        <v>0.79823016634228139</v>
      </c>
      <c r="W59" s="9">
        <f t="shared" si="57"/>
        <v>0.79954850835964097</v>
      </c>
      <c r="X59" s="9">
        <f t="shared" si="57"/>
        <v>0.80086902772602597</v>
      </c>
      <c r="Y59" s="9">
        <f t="shared" si="57"/>
        <v>0.80219172803750527</v>
      </c>
      <c r="Z59" s="9">
        <f t="shared" si="57"/>
        <v>0.803516612896087</v>
      </c>
      <c r="AA59" s="9">
        <f t="shared" si="57"/>
        <v>0.80484368590972843</v>
      </c>
      <c r="AB59" s="9">
        <f t="shared" si="57"/>
        <v>0.8061729506923454</v>
      </c>
      <c r="AC59" s="9">
        <f t="shared" si="57"/>
        <v>0.80750441086382274</v>
      </c>
      <c r="AD59" s="9">
        <f t="shared" si="57"/>
        <v>0.80883807005002351</v>
      </c>
      <c r="AE59" s="9">
        <f t="shared" si="57"/>
        <v>0.81017393188279929</v>
      </c>
      <c r="AF59" s="9">
        <f t="shared" si="57"/>
        <v>0.81151200000000001</v>
      </c>
      <c r="AG59" s="9">
        <f t="shared" si="57"/>
        <v>0.81285227804548388</v>
      </c>
      <c r="AH59" s="9">
        <f t="shared" si="57"/>
        <v>0.81419476966912696</v>
      </c>
      <c r="AI59" s="9">
        <f t="shared" si="57"/>
        <v>0.81553947852683373</v>
      </c>
      <c r="AJ59" s="9">
        <f t="shared" si="57"/>
        <v>0.81688640828054637</v>
      </c>
      <c r="AK59" s="9">
        <f t="shared" si="57"/>
        <v>0.81823556259825536</v>
      </c>
      <c r="AL59" s="9">
        <f t="shared" si="57"/>
        <v>0.81958694515400865</v>
      </c>
      <c r="AM59" s="9">
        <f t="shared" si="57"/>
        <v>0.82094055962792301</v>
      </c>
      <c r="AN59" s="9">
        <f t="shared" si="57"/>
        <v>0.82229640970619233</v>
      </c>
      <c r="AO59" s="9">
        <f t="shared" si="57"/>
        <v>0.82365449908109911</v>
      </c>
      <c r="AP59" s="9">
        <f t="shared" si="57"/>
        <v>0.82501483145102394</v>
      </c>
      <c r="AQ59" s="9">
        <f t="shared" si="57"/>
        <v>0.82637741052045521</v>
      </c>
    </row>
    <row r="60" spans="1:43" hidden="1" outlineLevel="5">
      <c r="A60" s="2"/>
      <c r="B60" s="2"/>
      <c r="C60" s="2"/>
      <c r="D60" s="2"/>
      <c r="E60" s="2"/>
      <c r="F60" s="2" t="s">
        <v>371</v>
      </c>
      <c r="G60" s="2"/>
      <c r="H60" s="9">
        <f t="shared" ref="H60:AQ60" si="58">northern_public_stock_availability_rate*(1+northern_public_stock_availability_rate_growth)^((COLUMN()-8)/12)</f>
        <v>0.78</v>
      </c>
      <c r="I60" s="9">
        <f t="shared" si="58"/>
        <v>0.78096836041883044</v>
      </c>
      <c r="J60" s="9">
        <f t="shared" si="58"/>
        <v>0.78193792304522602</v>
      </c>
      <c r="K60" s="9">
        <f t="shared" si="58"/>
        <v>0.78290868937171254</v>
      </c>
      <c r="L60" s="9">
        <f t="shared" si="58"/>
        <v>0.78388066089266895</v>
      </c>
      <c r="M60" s="9">
        <f t="shared" si="58"/>
        <v>0.78485383910432938</v>
      </c>
      <c r="N60" s="9">
        <f t="shared" si="58"/>
        <v>0.78582822550478559</v>
      </c>
      <c r="O60" s="9">
        <f t="shared" si="58"/>
        <v>0.78680382159398887</v>
      </c>
      <c r="P60" s="9">
        <f t="shared" si="58"/>
        <v>0.78778062887375311</v>
      </c>
      <c r="Q60" s="9">
        <f t="shared" si="58"/>
        <v>0.78875864884775659</v>
      </c>
      <c r="R60" s="9">
        <f t="shared" si="58"/>
        <v>0.78973788302154435</v>
      </c>
      <c r="S60" s="9">
        <f t="shared" si="58"/>
        <v>0.79071833290253024</v>
      </c>
      <c r="T60" s="9">
        <f t="shared" si="58"/>
        <v>0.79169999999999996</v>
      </c>
      <c r="U60" s="9">
        <f t="shared" si="58"/>
        <v>0.79268288582511293</v>
      </c>
      <c r="V60" s="9">
        <f t="shared" si="58"/>
        <v>0.79366699189090439</v>
      </c>
      <c r="W60" s="9">
        <f t="shared" si="58"/>
        <v>0.79465231971228811</v>
      </c>
      <c r="X60" s="9">
        <f t="shared" si="58"/>
        <v>0.79563887080605888</v>
      </c>
      <c r="Y60" s="9">
        <f t="shared" si="58"/>
        <v>0.79662664669089422</v>
      </c>
      <c r="Z60" s="9">
        <f t="shared" si="58"/>
        <v>0.79761564888735714</v>
      </c>
      <c r="AA60" s="9">
        <f t="shared" si="58"/>
        <v>0.79860587891789858</v>
      </c>
      <c r="AB60" s="9">
        <f t="shared" si="58"/>
        <v>0.79959733830685942</v>
      </c>
      <c r="AC60" s="9">
        <f t="shared" si="58"/>
        <v>0.80059002858047279</v>
      </c>
      <c r="AD60" s="9">
        <f t="shared" si="58"/>
        <v>0.80158395126686743</v>
      </c>
      <c r="AE60" s="9">
        <f t="shared" si="58"/>
        <v>0.80257910789606812</v>
      </c>
      <c r="AF60" s="9">
        <f t="shared" si="58"/>
        <v>0.80357549999999978</v>
      </c>
      <c r="AG60" s="9">
        <f t="shared" si="58"/>
        <v>0.80457312911248946</v>
      </c>
      <c r="AH60" s="9">
        <f t="shared" si="58"/>
        <v>0.80557199676926783</v>
      </c>
      <c r="AI60" s="9">
        <f t="shared" si="58"/>
        <v>0.80657210450797234</v>
      </c>
      <c r="AJ60" s="9">
        <f t="shared" si="58"/>
        <v>0.80757345386814983</v>
      </c>
      <c r="AK60" s="9">
        <f t="shared" si="58"/>
        <v>0.80857604639125757</v>
      </c>
      <c r="AL60" s="9">
        <f t="shared" si="58"/>
        <v>0.80957988362066746</v>
      </c>
      <c r="AM60" s="9">
        <f t="shared" si="58"/>
        <v>0.81058496710166694</v>
      </c>
      <c r="AN60" s="9">
        <f t="shared" si="58"/>
        <v>0.81159129838146216</v>
      </c>
      <c r="AO60" s="9">
        <f t="shared" si="58"/>
        <v>0.81259887900917993</v>
      </c>
      <c r="AP60" s="9">
        <f t="shared" si="58"/>
        <v>0.81360771053587022</v>
      </c>
      <c r="AQ60" s="9">
        <f t="shared" si="58"/>
        <v>0.81461779451450911</v>
      </c>
    </row>
    <row r="61" spans="1:43" hidden="1" outlineLevel="5" collapsed="1">
      <c r="A61" s="2"/>
      <c r="B61" s="2"/>
      <c r="C61" s="2"/>
      <c r="D61" s="2"/>
      <c r="E61" s="2"/>
      <c r="F61" s="2" t="s">
        <v>372</v>
      </c>
      <c r="G61" s="2"/>
      <c r="H61" s="9">
        <f>0.08</f>
        <v>0.08</v>
      </c>
      <c r="I61" s="9">
        <f t="shared" ref="I61:AQ61" si="59">H61+I62-I63</f>
        <v>8.7027128967495343E-2</v>
      </c>
      <c r="J61" s="9">
        <f t="shared" si="59"/>
        <v>9.4081453809838511E-2</v>
      </c>
      <c r="K61" s="9">
        <f t="shared" si="59"/>
        <v>0.10116304159939357</v>
      </c>
      <c r="L61" s="9">
        <f t="shared" si="59"/>
        <v>0.10827195957394314</v>
      </c>
      <c r="M61" s="9">
        <f t="shared" si="59"/>
        <v>0.11540827513709634</v>
      </c>
      <c r="N61" s="9">
        <f t="shared" si="59"/>
        <v>0.12257205585869776</v>
      </c>
      <c r="O61" s="9">
        <f t="shared" si="59"/>
        <v>0.12976336947523751</v>
      </c>
      <c r="P61" s="9">
        <f t="shared" si="59"/>
        <v>0.1369822838902621</v>
      </c>
      <c r="Q61" s="9">
        <f t="shared" si="59"/>
        <v>0.14422886717478653</v>
      </c>
      <c r="R61" s="9">
        <f t="shared" si="59"/>
        <v>0.15150318756770728</v>
      </c>
      <c r="S61" s="9">
        <f t="shared" si="59"/>
        <v>0.15880531347621635</v>
      </c>
      <c r="T61" s="9">
        <f t="shared" si="59"/>
        <v>0.16613531347621635</v>
      </c>
      <c r="U61" s="9">
        <f t="shared" si="59"/>
        <v>0.17349325631273654</v>
      </c>
      <c r="V61" s="9">
        <f t="shared" si="59"/>
        <v>0.18087921090035</v>
      </c>
      <c r="W61" s="9">
        <f t="shared" si="59"/>
        <v>0.18829324632359171</v>
      </c>
      <c r="X61" s="9">
        <f t="shared" si="59"/>
        <v>0.19573543183737777</v>
      </c>
      <c r="Y61" s="9">
        <f t="shared" si="59"/>
        <v>0.20320583686742555</v>
      </c>
      <c r="Z61" s="9">
        <f t="shared" si="59"/>
        <v>0.21070453101067504</v>
      </c>
      <c r="AA61" s="9">
        <f t="shared" si="59"/>
        <v>0.218231584035711</v>
      </c>
      <c r="AB61" s="9">
        <f t="shared" si="59"/>
        <v>0.22578706588318631</v>
      </c>
      <c r="AC61" s="9">
        <f t="shared" si="59"/>
        <v>0.23337104666624647</v>
      </c>
      <c r="AD61" s="9">
        <f t="shared" si="59"/>
        <v>0.24098359667095484</v>
      </c>
      <c r="AE61" s="9">
        <f t="shared" si="59"/>
        <v>0.2486247863567192</v>
      </c>
      <c r="AF61" s="9">
        <f t="shared" si="59"/>
        <v>0.2562946863567192</v>
      </c>
      <c r="AG61" s="9">
        <f t="shared" si="59"/>
        <v>0.26399336747833502</v>
      </c>
      <c r="AH61" s="9">
        <f t="shared" si="59"/>
        <v>0.27172090070357691</v>
      </c>
      <c r="AI61" s="9">
        <f t="shared" si="59"/>
        <v>0.27947735718951588</v>
      </c>
      <c r="AJ61" s="9">
        <f t="shared" si="59"/>
        <v>0.28726280826871553</v>
      </c>
      <c r="AK61" s="9">
        <f t="shared" si="59"/>
        <v>0.29507732544966475</v>
      </c>
      <c r="AL61" s="9">
        <f t="shared" si="59"/>
        <v>0.30292098041721172</v>
      </c>
      <c r="AM61" s="9">
        <f t="shared" si="59"/>
        <v>0.31079384503299873</v>
      </c>
      <c r="AN61" s="9">
        <f t="shared" si="59"/>
        <v>0.31869599133589832</v>
      </c>
      <c r="AO61" s="9">
        <f t="shared" si="59"/>
        <v>0.3266274915424503</v>
      </c>
      <c r="AP61" s="9">
        <f t="shared" si="59"/>
        <v>0.33458841804729994</v>
      </c>
      <c r="AQ61" s="9">
        <f t="shared" si="59"/>
        <v>0.3425788434236372</v>
      </c>
    </row>
    <row r="62" spans="1:43" hidden="1" outlineLevel="6">
      <c r="A62" s="2"/>
      <c r="B62" s="2"/>
      <c r="C62" s="2"/>
      <c r="D62" s="2"/>
      <c r="E62" s="2"/>
      <c r="F62" s="2"/>
      <c r="G62" s="2" t="s">
        <v>156</v>
      </c>
      <c r="H62" s="9">
        <f t="shared" ref="H62:AQ62" si="60">northern_public_coverage_additions*(1+northern_public_coverage_additions_growth)^((COLUMN()-8)/12)</f>
        <v>1.0999999999999999E-2</v>
      </c>
      <c r="I62" s="9">
        <f t="shared" si="60"/>
        <v>1.102712896749534E-2</v>
      </c>
      <c r="J62" s="9">
        <f t="shared" si="60"/>
        <v>1.1054324842343165E-2</v>
      </c>
      <c r="K62" s="9">
        <f t="shared" si="60"/>
        <v>1.1081587789555061E-2</v>
      </c>
      <c r="L62" s="9">
        <f t="shared" si="60"/>
        <v>1.1108917974549569E-2</v>
      </c>
      <c r="M62" s="9">
        <f t="shared" si="60"/>
        <v>1.1136315563153202E-2</v>
      </c>
      <c r="N62" s="9">
        <f t="shared" si="60"/>
        <v>1.1163780721601442E-2</v>
      </c>
      <c r="O62" s="9">
        <f t="shared" si="60"/>
        <v>1.1191313616539751E-2</v>
      </c>
      <c r="P62" s="9">
        <f t="shared" si="60"/>
        <v>1.1218914415024595E-2</v>
      </c>
      <c r="Q62" s="9">
        <f t="shared" si="60"/>
        <v>1.1246583284524429E-2</v>
      </c>
      <c r="R62" s="9">
        <f t="shared" si="60"/>
        <v>1.1274320392920747E-2</v>
      </c>
      <c r="S62" s="9">
        <f t="shared" si="60"/>
        <v>1.1302125908509075E-2</v>
      </c>
      <c r="T62" s="9">
        <f t="shared" si="60"/>
        <v>1.133E-2</v>
      </c>
      <c r="U62" s="9">
        <f t="shared" si="60"/>
        <v>1.13579428365202E-2</v>
      </c>
      <c r="V62" s="9">
        <f t="shared" si="60"/>
        <v>1.1385954587613462E-2</v>
      </c>
      <c r="W62" s="9">
        <f t="shared" si="60"/>
        <v>1.1414035423241715E-2</v>
      </c>
      <c r="X62" s="9">
        <f t="shared" si="60"/>
        <v>1.1442185513786058E-2</v>
      </c>
      <c r="Y62" s="9">
        <f t="shared" si="60"/>
        <v>1.1470405030047799E-2</v>
      </c>
      <c r="Z62" s="9">
        <f t="shared" si="60"/>
        <v>1.1498694143249485E-2</v>
      </c>
      <c r="AA62" s="9">
        <f t="shared" si="60"/>
        <v>1.1527053025035946E-2</v>
      </c>
      <c r="AB62" s="9">
        <f t="shared" si="60"/>
        <v>1.1555481847475331E-2</v>
      </c>
      <c r="AC62" s="9">
        <f t="shared" si="60"/>
        <v>1.1583980783060163E-2</v>
      </c>
      <c r="AD62" s="9">
        <f t="shared" si="60"/>
        <v>1.161255000470837E-2</v>
      </c>
      <c r="AE62" s="9">
        <f t="shared" si="60"/>
        <v>1.1641189685764346E-2</v>
      </c>
      <c r="AF62" s="9">
        <f t="shared" si="60"/>
        <v>1.1669899999999999E-2</v>
      </c>
      <c r="AG62" s="9">
        <f t="shared" si="60"/>
        <v>1.1698681121615805E-2</v>
      </c>
      <c r="AH62" s="9">
        <f t="shared" si="60"/>
        <v>1.1727533225241867E-2</v>
      </c>
      <c r="AI62" s="9">
        <f t="shared" si="60"/>
        <v>1.1756456485938965E-2</v>
      </c>
      <c r="AJ62" s="9">
        <f t="shared" si="60"/>
        <v>1.1785451079199641E-2</v>
      </c>
      <c r="AK62" s="9">
        <f t="shared" si="60"/>
        <v>1.1814517180949233E-2</v>
      </c>
      <c r="AL62" s="9">
        <f t="shared" si="60"/>
        <v>1.1843654967546968E-2</v>
      </c>
      <c r="AM62" s="9">
        <f t="shared" si="60"/>
        <v>1.1872864615787024E-2</v>
      </c>
      <c r="AN62" s="9">
        <f t="shared" si="60"/>
        <v>1.1902146302899593E-2</v>
      </c>
      <c r="AO62" s="9">
        <f t="shared" si="60"/>
        <v>1.1931500206551968E-2</v>
      </c>
      <c r="AP62" s="9">
        <f t="shared" si="60"/>
        <v>1.1960926504849622E-2</v>
      </c>
      <c r="AQ62" s="9">
        <f t="shared" si="60"/>
        <v>1.1990425376337278E-2</v>
      </c>
    </row>
    <row r="63" spans="1:43" hidden="1" outlineLevel="6">
      <c r="A63" s="2"/>
      <c r="B63" s="2"/>
      <c r="C63" s="2"/>
      <c r="D63" s="2"/>
      <c r="E63" s="2"/>
      <c r="F63" s="2"/>
      <c r="G63" s="2" t="s">
        <v>373</v>
      </c>
      <c r="H63" s="9">
        <f t="shared" ref="H63:AQ63" si="61">northern_public_coverage_churn*(1+northern_public_coverage_churn_growth)^((COLUMN()-8)/12)</f>
        <v>4.0000000000000001E-3</v>
      </c>
      <c r="I63" s="9">
        <f t="shared" si="61"/>
        <v>4.0000000000000001E-3</v>
      </c>
      <c r="J63" s="9">
        <f t="shared" si="61"/>
        <v>4.0000000000000001E-3</v>
      </c>
      <c r="K63" s="9">
        <f t="shared" si="61"/>
        <v>4.0000000000000001E-3</v>
      </c>
      <c r="L63" s="9">
        <f t="shared" si="61"/>
        <v>4.0000000000000001E-3</v>
      </c>
      <c r="M63" s="9">
        <f t="shared" si="61"/>
        <v>4.0000000000000001E-3</v>
      </c>
      <c r="N63" s="9">
        <f t="shared" si="61"/>
        <v>4.0000000000000001E-3</v>
      </c>
      <c r="O63" s="9">
        <f t="shared" si="61"/>
        <v>4.0000000000000001E-3</v>
      </c>
      <c r="P63" s="9">
        <f t="shared" si="61"/>
        <v>4.0000000000000001E-3</v>
      </c>
      <c r="Q63" s="9">
        <f t="shared" si="61"/>
        <v>4.0000000000000001E-3</v>
      </c>
      <c r="R63" s="9">
        <f t="shared" si="61"/>
        <v>4.0000000000000001E-3</v>
      </c>
      <c r="S63" s="9">
        <f t="shared" si="61"/>
        <v>4.0000000000000001E-3</v>
      </c>
      <c r="T63" s="9">
        <f t="shared" si="61"/>
        <v>4.0000000000000001E-3</v>
      </c>
      <c r="U63" s="9">
        <f t="shared" si="61"/>
        <v>4.0000000000000001E-3</v>
      </c>
      <c r="V63" s="9">
        <f t="shared" si="61"/>
        <v>4.0000000000000001E-3</v>
      </c>
      <c r="W63" s="9">
        <f t="shared" si="61"/>
        <v>4.0000000000000001E-3</v>
      </c>
      <c r="X63" s="9">
        <f t="shared" si="61"/>
        <v>4.0000000000000001E-3</v>
      </c>
      <c r="Y63" s="9">
        <f t="shared" si="61"/>
        <v>4.0000000000000001E-3</v>
      </c>
      <c r="Z63" s="9">
        <f t="shared" si="61"/>
        <v>4.0000000000000001E-3</v>
      </c>
      <c r="AA63" s="9">
        <f t="shared" si="61"/>
        <v>4.0000000000000001E-3</v>
      </c>
      <c r="AB63" s="9">
        <f t="shared" si="61"/>
        <v>4.0000000000000001E-3</v>
      </c>
      <c r="AC63" s="9">
        <f t="shared" si="61"/>
        <v>4.0000000000000001E-3</v>
      </c>
      <c r="AD63" s="9">
        <f t="shared" si="61"/>
        <v>4.0000000000000001E-3</v>
      </c>
      <c r="AE63" s="9">
        <f t="shared" si="61"/>
        <v>4.0000000000000001E-3</v>
      </c>
      <c r="AF63" s="9">
        <f t="shared" si="61"/>
        <v>4.0000000000000001E-3</v>
      </c>
      <c r="AG63" s="9">
        <f t="shared" si="61"/>
        <v>4.0000000000000001E-3</v>
      </c>
      <c r="AH63" s="9">
        <f t="shared" si="61"/>
        <v>4.0000000000000001E-3</v>
      </c>
      <c r="AI63" s="9">
        <f t="shared" si="61"/>
        <v>4.0000000000000001E-3</v>
      </c>
      <c r="AJ63" s="9">
        <f t="shared" si="61"/>
        <v>4.0000000000000001E-3</v>
      </c>
      <c r="AK63" s="9">
        <f t="shared" si="61"/>
        <v>4.0000000000000001E-3</v>
      </c>
      <c r="AL63" s="9">
        <f t="shared" si="61"/>
        <v>4.0000000000000001E-3</v>
      </c>
      <c r="AM63" s="9">
        <f t="shared" si="61"/>
        <v>4.0000000000000001E-3</v>
      </c>
      <c r="AN63" s="9">
        <f t="shared" si="61"/>
        <v>4.0000000000000001E-3</v>
      </c>
      <c r="AO63" s="9">
        <f t="shared" si="61"/>
        <v>4.0000000000000001E-3</v>
      </c>
      <c r="AP63" s="9">
        <f t="shared" si="61"/>
        <v>4.0000000000000001E-3</v>
      </c>
      <c r="AQ63" s="9">
        <f t="shared" si="61"/>
        <v>4.0000000000000001E-3</v>
      </c>
    </row>
    <row r="64" spans="1:43" hidden="1" outlineLevel="4">
      <c r="A64" s="2"/>
      <c r="B64" s="2"/>
      <c r="C64" s="2"/>
      <c r="D64" s="2"/>
      <c r="E64" s="2" t="s">
        <v>374</v>
      </c>
      <c r="F64" s="2"/>
      <c r="G64" s="2"/>
      <c r="H64" s="9">
        <f t="shared" ref="H64:AQ64" si="62">northern_public_net_price_per_dose*(1+northern_public_net_price_per_dose_growth)^((COLUMN()-8)/12)</f>
        <v>32500</v>
      </c>
      <c r="I64" s="9">
        <f t="shared" si="62"/>
        <v>32580.15376759987</v>
      </c>
      <c r="J64" s="9">
        <f t="shared" si="62"/>
        <v>32660.505216013898</v>
      </c>
      <c r="K64" s="9">
        <f t="shared" si="62"/>
        <v>32741.054832776317</v>
      </c>
      <c r="L64" s="9">
        <f t="shared" si="62"/>
        <v>32821.803106623731</v>
      </c>
      <c r="M64" s="9">
        <f t="shared" si="62"/>
        <v>32902.750527498094</v>
      </c>
      <c r="N64" s="9">
        <f t="shared" si="62"/>
        <v>32983.897586549712</v>
      </c>
      <c r="O64" s="9">
        <f t="shared" si="62"/>
        <v>33065.244776140178</v>
      </c>
      <c r="P64" s="9">
        <f t="shared" si="62"/>
        <v>33146.79258984539</v>
      </c>
      <c r="Q64" s="9">
        <f t="shared" si="62"/>
        <v>33228.541522458545</v>
      </c>
      <c r="R64" s="9">
        <f t="shared" si="62"/>
        <v>33310.492069993117</v>
      </c>
      <c r="S64" s="9">
        <f t="shared" si="62"/>
        <v>33392.644729685904</v>
      </c>
      <c r="T64" s="9">
        <f t="shared" si="62"/>
        <v>33475</v>
      </c>
      <c r="U64" s="9">
        <f t="shared" si="62"/>
        <v>33557.558380627866</v>
      </c>
      <c r="V64" s="9">
        <f t="shared" si="62"/>
        <v>33640.320372494316</v>
      </c>
      <c r="W64" s="9">
        <f t="shared" si="62"/>
        <v>33723.286477759611</v>
      </c>
      <c r="X64" s="9">
        <f t="shared" si="62"/>
        <v>33806.457199822442</v>
      </c>
      <c r="Y64" s="9">
        <f t="shared" si="62"/>
        <v>33889.833043323044</v>
      </c>
      <c r="Z64" s="9">
        <f t="shared" si="62"/>
        <v>33973.414514146207</v>
      </c>
      <c r="AA64" s="9">
        <f t="shared" si="62"/>
        <v>34057.202119424386</v>
      </c>
      <c r="AB64" s="9">
        <f t="shared" si="62"/>
        <v>34141.196367540753</v>
      </c>
      <c r="AC64" s="9">
        <f t="shared" si="62"/>
        <v>34225.397768132301</v>
      </c>
      <c r="AD64" s="9">
        <f t="shared" si="62"/>
        <v>34309.806832092916</v>
      </c>
      <c r="AE64" s="9">
        <f t="shared" si="62"/>
        <v>34394.424071576475</v>
      </c>
      <c r="AF64" s="9">
        <f t="shared" si="62"/>
        <v>34479.25</v>
      </c>
      <c r="AG64" s="9">
        <f t="shared" si="62"/>
        <v>34564.285132046702</v>
      </c>
      <c r="AH64" s="9">
        <f t="shared" si="62"/>
        <v>34649.529983669156</v>
      </c>
      <c r="AI64" s="9">
        <f t="shared" si="62"/>
        <v>34734.985072092401</v>
      </c>
      <c r="AJ64" s="9">
        <f t="shared" si="62"/>
        <v>34820.650915817125</v>
      </c>
      <c r="AK64" s="9">
        <f t="shared" si="62"/>
        <v>34906.528034622737</v>
      </c>
      <c r="AL64" s="9">
        <f t="shared" si="62"/>
        <v>34992.616949570591</v>
      </c>
      <c r="AM64" s="9">
        <f t="shared" si="62"/>
        <v>35078.918183007117</v>
      </c>
      <c r="AN64" s="9">
        <f t="shared" si="62"/>
        <v>35165.43225856698</v>
      </c>
      <c r="AO64" s="9">
        <f t="shared" si="62"/>
        <v>35252.159701176271</v>
      </c>
      <c r="AP64" s="9">
        <f t="shared" si="62"/>
        <v>35339.101037055705</v>
      </c>
      <c r="AQ64" s="9">
        <f t="shared" si="62"/>
        <v>35426.256793723776</v>
      </c>
    </row>
    <row r="65" spans="1:43" hidden="1" outlineLevel="2" collapsed="1">
      <c r="A65" s="7"/>
      <c r="B65" s="7"/>
      <c r="C65" s="7" t="s">
        <v>375</v>
      </c>
      <c r="D65" s="7"/>
      <c r="E65" s="7"/>
      <c r="F65" s="7"/>
      <c r="G65" s="7"/>
      <c r="H65" s="8">
        <f t="shared" ref="H65:AQ65" si="63">(((H66+H77)+H88)+H99)</f>
        <v>5176560.3250320703</v>
      </c>
      <c r="I65" s="8">
        <f t="shared" si="63"/>
        <v>6678769.0863986835</v>
      </c>
      <c r="J65" s="8">
        <f t="shared" si="63"/>
        <v>8233561.2720823055</v>
      </c>
      <c r="K65" s="8">
        <f t="shared" si="63"/>
        <v>9842345.3366460931</v>
      </c>
      <c r="L65" s="8">
        <f t="shared" si="63"/>
        <v>11506563.427508678</v>
      </c>
      <c r="M65" s="8">
        <f t="shared" si="63"/>
        <v>13227692.141859611</v>
      </c>
      <c r="N65" s="8">
        <f t="shared" si="63"/>
        <v>15007243.299911758</v>
      </c>
      <c r="O65" s="8">
        <f t="shared" si="63"/>
        <v>16846764.734833568</v>
      </c>
      <c r="P65" s="8">
        <f t="shared" si="63"/>
        <v>18747841.099711217</v>
      </c>
      <c r="Q65" s="8">
        <f t="shared" si="63"/>
        <v>20712094.691897858</v>
      </c>
      <c r="R65" s="8">
        <f t="shared" si="63"/>
        <v>22741186.295114566</v>
      </c>
      <c r="S65" s="8">
        <f t="shared" si="63"/>
        <v>24836816.039674997</v>
      </c>
      <c r="T65" s="8">
        <f t="shared" si="63"/>
        <v>27000724.281213574</v>
      </c>
      <c r="U65" s="8">
        <f t="shared" si="63"/>
        <v>29234692.498304479</v>
      </c>
      <c r="V65" s="8">
        <f t="shared" si="63"/>
        <v>31540544.209367171</v>
      </c>
      <c r="W65" s="8">
        <f t="shared" si="63"/>
        <v>33920145.90926186</v>
      </c>
      <c r="X65" s="8">
        <f t="shared" si="63"/>
        <v>36375408.025986843</v>
      </c>
      <c r="Y65" s="8">
        <f t="shared" si="63"/>
        <v>38908285.897897869</v>
      </c>
      <c r="Z65" s="8">
        <f t="shared" si="63"/>
        <v>41520780.771878839</v>
      </c>
      <c r="AA65" s="8">
        <f t="shared" si="63"/>
        <v>44214940.82290107</v>
      </c>
      <c r="AB65" s="8">
        <f t="shared" si="63"/>
        <v>46992862.195418268</v>
      </c>
      <c r="AC65" s="8">
        <f t="shared" si="63"/>
        <v>49856690.067052789</v>
      </c>
      <c r="AD65" s="8">
        <f t="shared" si="63"/>
        <v>52808619.735038392</v>
      </c>
      <c r="AE65" s="8">
        <f t="shared" si="63"/>
        <v>55850897.725894228</v>
      </c>
      <c r="AF65" s="8">
        <f t="shared" si="63"/>
        <v>58985822.928814895</v>
      </c>
      <c r="AG65" s="8">
        <f t="shared" si="63"/>
        <v>62215747.753270119</v>
      </c>
      <c r="AH65" s="8">
        <f t="shared" si="63"/>
        <v>65543079.311319143</v>
      </c>
      <c r="AI65" s="8">
        <f t="shared" si="63"/>
        <v>68970280.62515448</v>
      </c>
      <c r="AJ65" s="8">
        <f t="shared" si="63"/>
        <v>72499871.860400245</v>
      </c>
      <c r="AK65" s="8">
        <f t="shared" si="63"/>
        <v>76134431.585701063</v>
      </c>
      <c r="AL65" s="8">
        <f t="shared" si="63"/>
        <v>79876598.059149012</v>
      </c>
      <c r="AM65" s="8">
        <f t="shared" si="63"/>
        <v>83729070.542106122</v>
      </c>
      <c r="AN65" s="8">
        <f t="shared" si="63"/>
        <v>87694610.640992343</v>
      </c>
      <c r="AO65" s="8">
        <f t="shared" si="63"/>
        <v>91776043.677620783</v>
      </c>
      <c r="AP65" s="8">
        <f t="shared" si="63"/>
        <v>95976260.088671625</v>
      </c>
      <c r="AQ65" s="8">
        <f t="shared" si="63"/>
        <v>100298216.8549124</v>
      </c>
    </row>
    <row r="66" spans="1:43" hidden="1" outlineLevel="3" collapsed="1">
      <c r="A66" s="2"/>
      <c r="B66" s="2"/>
      <c r="C66" s="2"/>
      <c r="D66" s="2" t="s">
        <v>376</v>
      </c>
      <c r="E66" s="2"/>
      <c r="F66" s="2"/>
      <c r="G66" s="2"/>
      <c r="H66" s="9">
        <f t="shared" ref="H66:AQ66" si="64">(H67*H76)</f>
        <v>3840393.7485690825</v>
      </c>
      <c r="I66" s="9">
        <f t="shared" si="64"/>
        <v>5097231.0382293938</v>
      </c>
      <c r="J66" s="9">
        <f t="shared" si="64"/>
        <v>6398062.2833773624</v>
      </c>
      <c r="K66" s="9">
        <f t="shared" si="64"/>
        <v>7744063.4281725185</v>
      </c>
      <c r="L66" s="9">
        <f t="shared" si="64"/>
        <v>9136438.4809317123</v>
      </c>
      <c r="M66" s="9">
        <f t="shared" si="64"/>
        <v>10576420.143128533</v>
      </c>
      <c r="N66" s="9">
        <f t="shared" si="64"/>
        <v>12065270.4519391</v>
      </c>
      <c r="O66" s="9">
        <f t="shared" si="64"/>
        <v>13604281.436617946</v>
      </c>
      <c r="P66" s="9">
        <f t="shared" si="64"/>
        <v>15194775.788993666</v>
      </c>
      <c r="Q66" s="9">
        <f t="shared" si="64"/>
        <v>16838107.548379853</v>
      </c>
      <c r="R66" s="9">
        <f t="shared" si="64"/>
        <v>18535662.801203076</v>
      </c>
      <c r="S66" s="9">
        <f t="shared" si="64"/>
        <v>20288860.395655617</v>
      </c>
      <c r="T66" s="9">
        <f t="shared" si="64"/>
        <v>22099152.671687238</v>
      </c>
      <c r="U66" s="9">
        <f t="shared" si="64"/>
        <v>23968026.206656415</v>
      </c>
      <c r="V66" s="9">
        <f t="shared" si="64"/>
        <v>25897002.576968346</v>
      </c>
      <c r="W66" s="9">
        <f t="shared" si="64"/>
        <v>27887639.136033539</v>
      </c>
      <c r="X66" s="9">
        <f t="shared" si="64"/>
        <v>29941529.808887675</v>
      </c>
      <c r="Y66" s="9">
        <f t="shared" si="64"/>
        <v>32060305.903820358</v>
      </c>
      <c r="Z66" s="9">
        <f t="shared" si="64"/>
        <v>34245636.941367783</v>
      </c>
      <c r="AA66" s="9">
        <f t="shared" si="64"/>
        <v>36499231.501031049</v>
      </c>
      <c r="AB66" s="9">
        <f t="shared" si="64"/>
        <v>38822838.086089902</v>
      </c>
      <c r="AC66" s="9">
        <f t="shared" si="64"/>
        <v>41218246.00688877</v>
      </c>
      <c r="AD66" s="9">
        <f t="shared" si="64"/>
        <v>43687286.282979727</v>
      </c>
      <c r="AE66" s="9">
        <f t="shared" si="64"/>
        <v>46231832.564515129</v>
      </c>
      <c r="AF66" s="9">
        <f t="shared" si="64"/>
        <v>48853802.073290803</v>
      </c>
      <c r="AG66" s="9">
        <f t="shared" si="64"/>
        <v>51555156.563847922</v>
      </c>
      <c r="AH66" s="9">
        <f t="shared" si="64"/>
        <v>54337903.305051327</v>
      </c>
      <c r="AI66" s="9">
        <f t="shared" si="64"/>
        <v>57204096.082569778</v>
      </c>
      <c r="AJ66" s="9">
        <f t="shared" si="64"/>
        <v>60155836.22269237</v>
      </c>
      <c r="AK66" s="9">
        <f t="shared" si="64"/>
        <v>63195273.637924559</v>
      </c>
      <c r="AL66" s="9">
        <f t="shared" si="64"/>
        <v>66324607.894816034</v>
      </c>
      <c r="AM66" s="9">
        <f t="shared" si="64"/>
        <v>69546089.304481789</v>
      </c>
      <c r="AN66" s="9">
        <f t="shared" si="64"/>
        <v>72862020.036287263</v>
      </c>
      <c r="AO66" s="9">
        <f t="shared" si="64"/>
        <v>76274755.255178705</v>
      </c>
      <c r="AP66" s="9">
        <f t="shared" si="64"/>
        <v>79786704.283147678</v>
      </c>
      <c r="AQ66" s="9">
        <f t="shared" si="64"/>
        <v>83400331.785331994</v>
      </c>
    </row>
    <row r="67" spans="1:43" hidden="1" outlineLevel="4" collapsed="1">
      <c r="A67" s="2"/>
      <c r="B67" s="2"/>
      <c r="C67" s="2"/>
      <c r="D67" s="2"/>
      <c r="E67" s="2" t="s">
        <v>377</v>
      </c>
      <c r="F67" s="2"/>
      <c r="G67" s="2"/>
      <c r="H67" s="9">
        <f t="shared" ref="H67:AQ67" si="65">(((((H68*H69)*H70)*H71)*H72)*H73)</f>
        <v>32.545709733636293</v>
      </c>
      <c r="I67" s="9">
        <f t="shared" si="65"/>
        <v>43.073214369374298</v>
      </c>
      <c r="J67" s="9">
        <f t="shared" si="65"/>
        <v>53.910877135403446</v>
      </c>
      <c r="K67" s="9">
        <f t="shared" si="65"/>
        <v>65.065655088818033</v>
      </c>
      <c r="L67" s="9">
        <f t="shared" si="65"/>
        <v>76.54464450313445</v>
      </c>
      <c r="M67" s="9">
        <f t="shared" si="65"/>
        <v>88.355083483842805</v>
      </c>
      <c r="N67" s="9">
        <f t="shared" si="65"/>
        <v>100.50435463117405</v>
      </c>
      <c r="O67" s="9">
        <f t="shared" si="65"/>
        <v>112.99998775091048</v>
      </c>
      <c r="P67" s="9">
        <f t="shared" si="65"/>
        <v>125.84966261408384</v>
      </c>
      <c r="Q67" s="9">
        <f t="shared" si="65"/>
        <v>139.06121176641835</v>
      </c>
      <c r="R67" s="9">
        <f t="shared" si="65"/>
        <v>152.64262338839225</v>
      </c>
      <c r="S67" s="9">
        <f t="shared" si="65"/>
        <v>166.60204420680446</v>
      </c>
      <c r="T67" s="9">
        <f t="shared" si="65"/>
        <v>180.94778245875085</v>
      </c>
      <c r="U67" s="9">
        <f t="shared" si="65"/>
        <v>195.68831090892664</v>
      </c>
      <c r="V67" s="9">
        <f t="shared" si="65"/>
        <v>210.83226992119145</v>
      </c>
      <c r="W67" s="9">
        <f t="shared" si="65"/>
        <v>226.38847058534577</v>
      </c>
      <c r="X67" s="9">
        <f t="shared" si="65"/>
        <v>242.36589790008608</v>
      </c>
      <c r="Y67" s="9">
        <f t="shared" si="65"/>
        <v>258.77371401312206</v>
      </c>
      <c r="Z67" s="9">
        <f t="shared" si="65"/>
        <v>275.62126151945603</v>
      </c>
      <c r="AA67" s="9">
        <f t="shared" si="65"/>
        <v>292.9180668188414</v>
      </c>
      <c r="AB67" s="9">
        <f t="shared" si="65"/>
        <v>310.67384353345625</v>
      </c>
      <c r="AC67" s="9">
        <f t="shared" si="65"/>
        <v>328.89849598684339</v>
      </c>
      <c r="AD67" s="9">
        <f t="shared" si="65"/>
        <v>347.60212274518756</v>
      </c>
      <c r="AE67" s="9">
        <f t="shared" si="65"/>
        <v>366.79502022201859</v>
      </c>
      <c r="AF67" s="9">
        <f t="shared" si="65"/>
        <v>386.48768634745193</v>
      </c>
      <c r="AG67" s="9">
        <f t="shared" si="65"/>
        <v>406.69082430308572</v>
      </c>
      <c r="AH67" s="9">
        <f t="shared" si="65"/>
        <v>427.4153463237069</v>
      </c>
      <c r="AI67" s="9">
        <f t="shared" si="65"/>
        <v>448.67237756697017</v>
      </c>
      <c r="AJ67" s="9">
        <f t="shared" si="65"/>
        <v>470.47326005223351</v>
      </c>
      <c r="AK67" s="9">
        <f t="shared" si="65"/>
        <v>492.82955666975772</v>
      </c>
      <c r="AL67" s="9">
        <f t="shared" si="65"/>
        <v>515.75305526149771</v>
      </c>
      <c r="AM67" s="9">
        <f t="shared" si="65"/>
        <v>539.25577277473042</v>
      </c>
      <c r="AN67" s="9">
        <f t="shared" si="65"/>
        <v>563.34995948978838</v>
      </c>
      <c r="AO67" s="9">
        <f t="shared" si="65"/>
        <v>588.04810332319414</v>
      </c>
      <c r="AP67" s="9">
        <f t="shared" si="65"/>
        <v>613.36293420749928</v>
      </c>
      <c r="AQ67" s="9">
        <f t="shared" si="65"/>
        <v>639.30742854917446</v>
      </c>
    </row>
    <row r="68" spans="1:43" hidden="1" outlineLevel="5">
      <c r="A68" s="2"/>
      <c r="B68" s="2"/>
      <c r="C68" s="2"/>
      <c r="D68" s="2"/>
      <c r="E68" s="2"/>
      <c r="F68" s="2" t="s">
        <v>325</v>
      </c>
      <c r="G68" s="2"/>
      <c r="H68" s="9">
        <f t="shared" ref="H68:AQ68" si="66">H7</f>
        <v>18227.958336</v>
      </c>
      <c r="I68" s="9">
        <f t="shared" si="66"/>
        <v>18268.739575357173</v>
      </c>
      <c r="J68" s="9">
        <f t="shared" si="66"/>
        <v>18309.612054196732</v>
      </c>
      <c r="K68" s="9">
        <f t="shared" si="66"/>
        <v>18350.575976647902</v>
      </c>
      <c r="L68" s="9">
        <f t="shared" si="66"/>
        <v>18391.631547296634</v>
      </c>
      <c r="M68" s="9">
        <f t="shared" si="66"/>
        <v>18432.778971186552</v>
      </c>
      <c r="N68" s="9">
        <f t="shared" si="66"/>
        <v>18474.018453820059</v>
      </c>
      <c r="O68" s="9">
        <f t="shared" si="66"/>
        <v>18515.350201159312</v>
      </c>
      <c r="P68" s="9">
        <f t="shared" si="66"/>
        <v>18556.774419627276</v>
      </c>
      <c r="Q68" s="9">
        <f t="shared" si="66"/>
        <v>18598.291316108724</v>
      </c>
      <c r="R68" s="9">
        <f t="shared" si="66"/>
        <v>18639.901097951308</v>
      </c>
      <c r="S68" s="9">
        <f t="shared" si="66"/>
        <v>18681.603972966564</v>
      </c>
      <c r="T68" s="9">
        <f t="shared" si="66"/>
        <v>18723.400149430981</v>
      </c>
      <c r="U68" s="9">
        <f t="shared" si="66"/>
        <v>18765.289836086999</v>
      </c>
      <c r="V68" s="9">
        <f t="shared" si="66"/>
        <v>18807.2732421441</v>
      </c>
      <c r="W68" s="9">
        <f t="shared" si="66"/>
        <v>18849.350577279809</v>
      </c>
      <c r="X68" s="9">
        <f t="shared" si="66"/>
        <v>18891.522051640775</v>
      </c>
      <c r="Y68" s="9">
        <f t="shared" si="66"/>
        <v>18933.787875843787</v>
      </c>
      <c r="Z68" s="9">
        <f t="shared" si="66"/>
        <v>18976.148260976868</v>
      </c>
      <c r="AA68" s="9">
        <f t="shared" si="66"/>
        <v>19018.603418600294</v>
      </c>
      <c r="AB68" s="9">
        <f t="shared" si="66"/>
        <v>19061.153560747651</v>
      </c>
      <c r="AC68" s="9">
        <f t="shared" si="66"/>
        <v>19103.798899926944</v>
      </c>
      <c r="AD68" s="9">
        <f t="shared" si="66"/>
        <v>19146.53964912158</v>
      </c>
      <c r="AE68" s="9">
        <f t="shared" si="66"/>
        <v>19189.376021791479</v>
      </c>
      <c r="AF68" s="9">
        <f t="shared" si="66"/>
        <v>19232.308231874158</v>
      </c>
      <c r="AG68" s="9">
        <f t="shared" si="66"/>
        <v>19275.336493785751</v>
      </c>
      <c r="AH68" s="9">
        <f t="shared" si="66"/>
        <v>19318.4610224221</v>
      </c>
      <c r="AI68" s="9">
        <f t="shared" si="66"/>
        <v>19361.682033159857</v>
      </c>
      <c r="AJ68" s="9">
        <f t="shared" si="66"/>
        <v>19404.999741857515</v>
      </c>
      <c r="AK68" s="9">
        <f t="shared" si="66"/>
        <v>19448.414364856493</v>
      </c>
      <c r="AL68" s="9">
        <f t="shared" si="66"/>
        <v>19491.92611898225</v>
      </c>
      <c r="AM68" s="9">
        <f t="shared" si="66"/>
        <v>19535.535221545357</v>
      </c>
      <c r="AN68" s="9">
        <f t="shared" si="66"/>
        <v>19579.241890342528</v>
      </c>
      <c r="AO68" s="9">
        <f t="shared" si="66"/>
        <v>19623.046343657803</v>
      </c>
      <c r="AP68" s="9">
        <f t="shared" si="66"/>
        <v>19666.948800263548</v>
      </c>
      <c r="AQ68" s="9">
        <f t="shared" si="66"/>
        <v>19710.949479421604</v>
      </c>
    </row>
    <row r="69" spans="1:43" hidden="1" outlineLevel="5">
      <c r="A69" s="2"/>
      <c r="B69" s="2"/>
      <c r="C69" s="2"/>
      <c r="D69" s="2"/>
      <c r="E69" s="2"/>
      <c r="F69" s="2" t="s">
        <v>378</v>
      </c>
      <c r="G69" s="2"/>
      <c r="H69" s="9">
        <f t="shared" ref="H69:AQ69" si="67">central_private_eligibility_rate*(1+central_private_eligibility_rate_growth)^((COLUMN()-8)/12)</f>
        <v>7.0000000000000007E-2</v>
      </c>
      <c r="I69" s="9">
        <f t="shared" si="67"/>
        <v>7.0340728539574016E-2</v>
      </c>
      <c r="J69" s="9">
        <f t="shared" si="67"/>
        <v>7.0683115592543477E-2</v>
      </c>
      <c r="K69" s="9">
        <f t="shared" si="67"/>
        <v>7.1027169231806159E-2</v>
      </c>
      <c r="L69" s="9">
        <f t="shared" si="67"/>
        <v>7.1372897569555144E-2</v>
      </c>
      <c r="M69" s="9">
        <f t="shared" si="67"/>
        <v>7.1720308757470014E-2</v>
      </c>
      <c r="N69" s="9">
        <f t="shared" si="67"/>
        <v>7.2069410986908999E-2</v>
      </c>
      <c r="O69" s="9">
        <f t="shared" si="67"/>
        <v>7.2420212489102284E-2</v>
      </c>
      <c r="P69" s="9">
        <f t="shared" si="67"/>
        <v>7.2772721535345863E-2</v>
      </c>
      <c r="Q69" s="9">
        <f t="shared" si="67"/>
        <v>7.3126946437196805E-2</v>
      </c>
      <c r="R69" s="9">
        <f t="shared" si="67"/>
        <v>7.348289554666898E-2</v>
      </c>
      <c r="S69" s="9">
        <f t="shared" si="67"/>
        <v>7.3840577256430215E-2</v>
      </c>
      <c r="T69" s="9">
        <f t="shared" si="67"/>
        <v>7.4200000000000016E-2</v>
      </c>
      <c r="U69" s="9">
        <f t="shared" si="67"/>
        <v>7.4561172251948457E-2</v>
      </c>
      <c r="V69" s="9">
        <f t="shared" si="67"/>
        <v>7.4924102528096073E-2</v>
      </c>
      <c r="W69" s="9">
        <f t="shared" si="67"/>
        <v>7.5288799385714533E-2</v>
      </c>
      <c r="X69" s="9">
        <f t="shared" si="67"/>
        <v>7.5655271423728465E-2</v>
      </c>
      <c r="Y69" s="9">
        <f t="shared" si="67"/>
        <v>7.602352728291821E-2</v>
      </c>
      <c r="Z69" s="9">
        <f t="shared" si="67"/>
        <v>7.6393575646123563E-2</v>
      </c>
      <c r="AA69" s="9">
        <f t="shared" si="67"/>
        <v>7.6765425238448426E-2</v>
      </c>
      <c r="AB69" s="9">
        <f t="shared" si="67"/>
        <v>7.713908482746662E-2</v>
      </c>
      <c r="AC69" s="9">
        <f t="shared" si="67"/>
        <v>7.7514563223428604E-2</v>
      </c>
      <c r="AD69" s="9">
        <f t="shared" si="67"/>
        <v>7.7891869279469131E-2</v>
      </c>
      <c r="AE69" s="9">
        <f t="shared" si="67"/>
        <v>7.8271011891816025E-2</v>
      </c>
      <c r="AF69" s="9">
        <f t="shared" si="67"/>
        <v>7.8652000000000014E-2</v>
      </c>
      <c r="AG69" s="9">
        <f t="shared" si="67"/>
        <v>7.9034842587065376E-2</v>
      </c>
      <c r="AH69" s="9">
        <f t="shared" si="67"/>
        <v>7.9419548679781835E-2</v>
      </c>
      <c r="AI69" s="9">
        <f t="shared" si="67"/>
        <v>7.9806127348857406E-2</v>
      </c>
      <c r="AJ69" s="9">
        <f t="shared" si="67"/>
        <v>8.0194587709152179E-2</v>
      </c>
      <c r="AK69" s="9">
        <f t="shared" si="67"/>
        <v>8.0584938919893309E-2</v>
      </c>
      <c r="AL69" s="9">
        <f t="shared" si="67"/>
        <v>8.0977190184890982E-2</v>
      </c>
      <c r="AM69" s="9">
        <f t="shared" si="67"/>
        <v>8.1371350752755339E-2</v>
      </c>
      <c r="AN69" s="9">
        <f t="shared" si="67"/>
        <v>8.1767429917114637E-2</v>
      </c>
      <c r="AO69" s="9">
        <f t="shared" si="67"/>
        <v>8.2165437016834333E-2</v>
      </c>
      <c r="AP69" s="9">
        <f t="shared" si="67"/>
        <v>8.256538143623729E-2</v>
      </c>
      <c r="AQ69" s="9">
        <f t="shared" si="67"/>
        <v>8.2967272605325007E-2</v>
      </c>
    </row>
    <row r="70" spans="1:43" hidden="1" outlineLevel="5">
      <c r="A70" s="2"/>
      <c r="B70" s="2"/>
      <c r="C70" s="2"/>
      <c r="D70" s="2"/>
      <c r="E70" s="2"/>
      <c r="F70" s="2" t="s">
        <v>379</v>
      </c>
      <c r="G70" s="2"/>
      <c r="H70" s="9">
        <f t="shared" ref="H70:AQ70" si="68">central_private_provider_recommendation_rate*(1+central_private_provider_recommendation_rate_growth)^((COLUMN()-8)/12)</f>
        <v>0.67</v>
      </c>
      <c r="I70" s="9">
        <f t="shared" si="68"/>
        <v>0.67219340565407326</v>
      </c>
      <c r="J70" s="9">
        <f t="shared" si="68"/>
        <v>0.67439399194749483</v>
      </c>
      <c r="K70" s="9">
        <f t="shared" si="68"/>
        <v>0.6766017823878091</v>
      </c>
      <c r="L70" s="9">
        <f t="shared" si="68"/>
        <v>0.67881680055951876</v>
      </c>
      <c r="M70" s="9">
        <f t="shared" si="68"/>
        <v>0.6810390701243354</v>
      </c>
      <c r="N70" s="9">
        <f t="shared" si="68"/>
        <v>0.68326861482143331</v>
      </c>
      <c r="O70" s="9">
        <f t="shared" si="68"/>
        <v>0.68550545846770206</v>
      </c>
      <c r="P70" s="9">
        <f t="shared" si="68"/>
        <v>0.68774962495800218</v>
      </c>
      <c r="Q70" s="9">
        <f t="shared" si="68"/>
        <v>0.69000113826541953</v>
      </c>
      <c r="R70" s="9">
        <f t="shared" si="68"/>
        <v>0.69226002244152174</v>
      </c>
      <c r="S70" s="9">
        <f t="shared" si="68"/>
        <v>0.69452630161661433</v>
      </c>
      <c r="T70" s="9">
        <f t="shared" si="68"/>
        <v>0.69680000000000009</v>
      </c>
      <c r="U70" s="9">
        <f t="shared" si="68"/>
        <v>0.69908114188023629</v>
      </c>
      <c r="V70" s="9">
        <f t="shared" si="68"/>
        <v>0.7013697516253945</v>
      </c>
      <c r="W70" s="9">
        <f t="shared" si="68"/>
        <v>0.70366585368332157</v>
      </c>
      <c r="X70" s="9">
        <f t="shared" si="68"/>
        <v>0.70596947258189957</v>
      </c>
      <c r="Y70" s="9">
        <f t="shared" si="68"/>
        <v>0.70828063292930898</v>
      </c>
      <c r="Z70" s="9">
        <f t="shared" si="68"/>
        <v>0.71059935941429064</v>
      </c>
      <c r="AA70" s="9">
        <f t="shared" si="68"/>
        <v>0.71292567680641006</v>
      </c>
      <c r="AB70" s="9">
        <f t="shared" si="68"/>
        <v>0.71525960995632232</v>
      </c>
      <c r="AC70" s="9">
        <f t="shared" si="68"/>
        <v>0.71760118379603632</v>
      </c>
      <c r="AD70" s="9">
        <f t="shared" si="68"/>
        <v>0.71995042333918258</v>
      </c>
      <c r="AE70" s="9">
        <f t="shared" si="68"/>
        <v>0.72230735368127896</v>
      </c>
      <c r="AF70" s="9">
        <f t="shared" si="68"/>
        <v>0.72467200000000009</v>
      </c>
      <c r="AG70" s="9">
        <f t="shared" si="68"/>
        <v>0.72704438755544565</v>
      </c>
      <c r="AH70" s="9">
        <f t="shared" si="68"/>
        <v>0.72942454169041038</v>
      </c>
      <c r="AI70" s="9">
        <f t="shared" si="68"/>
        <v>0.73181248783065445</v>
      </c>
      <c r="AJ70" s="9">
        <f t="shared" si="68"/>
        <v>0.73420825148517554</v>
      </c>
      <c r="AK70" s="9">
        <f t="shared" si="68"/>
        <v>0.73661185824648134</v>
      </c>
      <c r="AL70" s="9">
        <f t="shared" si="68"/>
        <v>0.73902333379086227</v>
      </c>
      <c r="AM70" s="9">
        <f t="shared" si="68"/>
        <v>0.74144270387866662</v>
      </c>
      <c r="AN70" s="9">
        <f t="shared" si="68"/>
        <v>0.74386999435457524</v>
      </c>
      <c r="AO70" s="9">
        <f t="shared" si="68"/>
        <v>0.74630523114787783</v>
      </c>
      <c r="AP70" s="9">
        <f t="shared" si="68"/>
        <v>0.74874844027274978</v>
      </c>
      <c r="AQ70" s="9">
        <f t="shared" si="68"/>
        <v>0.7511996478285301</v>
      </c>
    </row>
    <row r="71" spans="1:43" hidden="1" outlineLevel="5">
      <c r="A71" s="2"/>
      <c r="B71" s="2"/>
      <c r="C71" s="2"/>
      <c r="D71" s="2"/>
      <c r="E71" s="2"/>
      <c r="F71" s="2" t="s">
        <v>380</v>
      </c>
      <c r="G71" s="2"/>
      <c r="H71" s="9">
        <f t="shared" ref="H71:AQ71" si="69">central_private_acceptance_rate*(1+central_private_acceptance_rate_growth)^((COLUMN()-8)/12)</f>
        <v>0.81</v>
      </c>
      <c r="I71" s="9">
        <f t="shared" si="69"/>
        <v>0.81133778085455543</v>
      </c>
      <c r="J71" s="9">
        <f t="shared" si="69"/>
        <v>0.81267777116295625</v>
      </c>
      <c r="K71" s="9">
        <f t="shared" si="69"/>
        <v>0.8140199745742952</v>
      </c>
      <c r="L71" s="9">
        <f t="shared" si="69"/>
        <v>0.8153643947436916</v>
      </c>
      <c r="M71" s="9">
        <f t="shared" si="69"/>
        <v>0.8167110353323016</v>
      </c>
      <c r="N71" s="9">
        <f t="shared" si="69"/>
        <v>0.81805990000732842</v>
      </c>
      <c r="O71" s="9">
        <f t="shared" si="69"/>
        <v>0.81941099244203119</v>
      </c>
      <c r="P71" s="9">
        <f t="shared" si="69"/>
        <v>0.82076431631573632</v>
      </c>
      <c r="Q71" s="9">
        <f t="shared" si="69"/>
        <v>0.82211987531384667</v>
      </c>
      <c r="R71" s="9">
        <f t="shared" si="69"/>
        <v>0.82347767312785192</v>
      </c>
      <c r="S71" s="9">
        <f t="shared" si="69"/>
        <v>0.82483771345533863</v>
      </c>
      <c r="T71" s="9">
        <f t="shared" si="69"/>
        <v>0.82620000000000005</v>
      </c>
      <c r="U71" s="9">
        <f t="shared" si="69"/>
        <v>0.82756453647164652</v>
      </c>
      <c r="V71" s="9">
        <f t="shared" si="69"/>
        <v>0.82893132658621527</v>
      </c>
      <c r="W71" s="9">
        <f t="shared" si="69"/>
        <v>0.83030037406578105</v>
      </c>
      <c r="X71" s="9">
        <f t="shared" si="69"/>
        <v>0.83167168263856539</v>
      </c>
      <c r="Y71" s="9">
        <f t="shared" si="69"/>
        <v>0.83304525603894775</v>
      </c>
      <c r="Z71" s="9">
        <f t="shared" si="69"/>
        <v>0.83442109800747499</v>
      </c>
      <c r="AA71" s="9">
        <f t="shared" si="69"/>
        <v>0.83579921229087184</v>
      </c>
      <c r="AB71" s="9">
        <f t="shared" si="69"/>
        <v>0.83717960264205105</v>
      </c>
      <c r="AC71" s="9">
        <f t="shared" si="69"/>
        <v>0.83856227282012363</v>
      </c>
      <c r="AD71" s="9">
        <f t="shared" si="69"/>
        <v>0.8399472265904091</v>
      </c>
      <c r="AE71" s="9">
        <f t="shared" si="69"/>
        <v>0.84133446772444542</v>
      </c>
      <c r="AF71" s="9">
        <f t="shared" si="69"/>
        <v>0.84272400000000003</v>
      </c>
      <c r="AG71" s="9">
        <f t="shared" si="69"/>
        <v>0.84411582720107936</v>
      </c>
      <c r="AH71" s="9">
        <f t="shared" si="69"/>
        <v>0.84550995311793964</v>
      </c>
      <c r="AI71" s="9">
        <f t="shared" si="69"/>
        <v>0.84690638154709663</v>
      </c>
      <c r="AJ71" s="9">
        <f t="shared" si="69"/>
        <v>0.84830511629133665</v>
      </c>
      <c r="AK71" s="9">
        <f t="shared" si="69"/>
        <v>0.84970616115972675</v>
      </c>
      <c r="AL71" s="9">
        <f t="shared" si="69"/>
        <v>0.85110951996762441</v>
      </c>
      <c r="AM71" s="9">
        <f t="shared" si="69"/>
        <v>0.85251519653668928</v>
      </c>
      <c r="AN71" s="9">
        <f t="shared" si="69"/>
        <v>0.85392319469489208</v>
      </c>
      <c r="AO71" s="9">
        <f t="shared" si="69"/>
        <v>0.85533351827652604</v>
      </c>
      <c r="AP71" s="9">
        <f t="shared" si="69"/>
        <v>0.85674617112221718</v>
      </c>
      <c r="AQ71" s="9">
        <f t="shared" si="69"/>
        <v>0.85816115707893437</v>
      </c>
    </row>
    <row r="72" spans="1:43" hidden="1" outlineLevel="5">
      <c r="A72" s="2"/>
      <c r="B72" s="2"/>
      <c r="C72" s="2"/>
      <c r="D72" s="2"/>
      <c r="E72" s="2"/>
      <c r="F72" s="2" t="s">
        <v>381</v>
      </c>
      <c r="G72" s="2"/>
      <c r="H72" s="9">
        <f t="shared" ref="H72:AQ72" si="70">central_private_stock_availability_rate*(1+central_private_stock_availability_rate_growth)^((COLUMN()-8)/12)</f>
        <v>0.94</v>
      </c>
      <c r="I72" s="9">
        <f t="shared" si="70"/>
        <v>0.9411669984534623</v>
      </c>
      <c r="J72" s="9">
        <f t="shared" si="70"/>
        <v>0.94233544572116978</v>
      </c>
      <c r="K72" s="9">
        <f t="shared" si="70"/>
        <v>0.94350534360180738</v>
      </c>
      <c r="L72" s="9">
        <f t="shared" si="70"/>
        <v>0.94467669389629327</v>
      </c>
      <c r="M72" s="9">
        <f t="shared" si="70"/>
        <v>0.94584949840778154</v>
      </c>
      <c r="N72" s="9">
        <f t="shared" si="70"/>
        <v>0.94702375894166457</v>
      </c>
      <c r="O72" s="9">
        <f t="shared" si="70"/>
        <v>0.94819947730557619</v>
      </c>
      <c r="P72" s="9">
        <f t="shared" si="70"/>
        <v>0.94937665530939475</v>
      </c>
      <c r="Q72" s="9">
        <f t="shared" si="70"/>
        <v>0.95055529476524503</v>
      </c>
      <c r="R72" s="9">
        <f t="shared" si="70"/>
        <v>0.95173539748750202</v>
      </c>
      <c r="S72" s="9">
        <f t="shared" si="70"/>
        <v>0.95291696529279268</v>
      </c>
      <c r="T72" s="9">
        <f t="shared" si="70"/>
        <v>0.95409999999999984</v>
      </c>
      <c r="U72" s="9">
        <f t="shared" si="70"/>
        <v>0.95528450343026416</v>
      </c>
      <c r="V72" s="9">
        <f t="shared" si="70"/>
        <v>0.95647047740698732</v>
      </c>
      <c r="W72" s="9">
        <f t="shared" si="70"/>
        <v>0.95765792375583425</v>
      </c>
      <c r="X72" s="9">
        <f t="shared" si="70"/>
        <v>0.95884684430473754</v>
      </c>
      <c r="Y72" s="9">
        <f t="shared" si="70"/>
        <v>0.96003724088389808</v>
      </c>
      <c r="Z72" s="9">
        <f t="shared" si="70"/>
        <v>0.96122911532578936</v>
      </c>
      <c r="AA72" s="9">
        <f t="shared" si="70"/>
        <v>0.96242246946515975</v>
      </c>
      <c r="AB72" s="9">
        <f t="shared" si="70"/>
        <v>0.96361730513903565</v>
      </c>
      <c r="AC72" s="9">
        <f t="shared" si="70"/>
        <v>0.96481362418672356</v>
      </c>
      <c r="AD72" s="9">
        <f t="shared" si="70"/>
        <v>0.96601142844981447</v>
      </c>
      <c r="AE72" s="9">
        <f t="shared" si="70"/>
        <v>0.96721071977218465</v>
      </c>
      <c r="AF72" s="9">
        <f t="shared" si="70"/>
        <v>0.96841149999999965</v>
      </c>
      <c r="AG72" s="9">
        <f t="shared" si="70"/>
        <v>0.96961377098171797</v>
      </c>
      <c r="AH72" s="9">
        <f t="shared" si="70"/>
        <v>0.97081753456809194</v>
      </c>
      <c r="AI72" s="9">
        <f t="shared" si="70"/>
        <v>0.97202279261217173</v>
      </c>
      <c r="AJ72" s="9">
        <f t="shared" si="70"/>
        <v>0.97322954696930863</v>
      </c>
      <c r="AK72" s="9">
        <f t="shared" si="70"/>
        <v>0.97443779949715648</v>
      </c>
      <c r="AL72" s="9">
        <f t="shared" si="70"/>
        <v>0.9756475520556761</v>
      </c>
      <c r="AM72" s="9">
        <f t="shared" si="70"/>
        <v>0.97685880650713697</v>
      </c>
      <c r="AN72" s="9">
        <f t="shared" si="70"/>
        <v>0.97807156471612089</v>
      </c>
      <c r="AO72" s="9">
        <f t="shared" si="70"/>
        <v>0.97928582854952451</v>
      </c>
      <c r="AP72" s="9">
        <f t="shared" si="70"/>
        <v>0.98050159987656149</v>
      </c>
      <c r="AQ72" s="9">
        <f t="shared" si="70"/>
        <v>0.98171888056876722</v>
      </c>
    </row>
    <row r="73" spans="1:43" hidden="1" outlineLevel="5" collapsed="1">
      <c r="A73" s="2"/>
      <c r="B73" s="2"/>
      <c r="C73" s="2"/>
      <c r="D73" s="2"/>
      <c r="E73" s="2"/>
      <c r="F73" s="2" t="s">
        <v>382</v>
      </c>
      <c r="G73" s="2"/>
      <c r="H73" s="9">
        <f>0.05</f>
        <v>0.05</v>
      </c>
      <c r="I73" s="9">
        <f t="shared" ref="I73:AQ73" si="71">H73+I74-I75</f>
        <v>6.5302408232661452E-2</v>
      </c>
      <c r="J73" s="9">
        <f t="shared" si="71"/>
        <v>8.0657353950824379E-2</v>
      </c>
      <c r="K73" s="9">
        <f t="shared" si="71"/>
        <v>9.6064966726101195E-2</v>
      </c>
      <c r="L73" s="9">
        <f t="shared" si="71"/>
        <v>0.11152537644966286</v>
      </c>
      <c r="M73" s="9">
        <f t="shared" si="71"/>
        <v>0.12703871333302699</v>
      </c>
      <c r="N73" s="9">
        <f t="shared" si="71"/>
        <v>0.14260510790884795</v>
      </c>
      <c r="O73" s="9">
        <f t="shared" si="71"/>
        <v>0.15822469103170883</v>
      </c>
      <c r="P73" s="9">
        <f t="shared" si="71"/>
        <v>0.17389759387891543</v>
      </c>
      <c r="Q73" s="9">
        <f t="shared" si="71"/>
        <v>0.18962394795129217</v>
      </c>
      <c r="R73" s="9">
        <f t="shared" si="71"/>
        <v>0.20540388507397997</v>
      </c>
      <c r="S73" s="9">
        <f t="shared" si="71"/>
        <v>0.22123753739723614</v>
      </c>
      <c r="T73" s="9">
        <f t="shared" si="71"/>
        <v>0.23712503739723614</v>
      </c>
      <c r="U73" s="9">
        <f t="shared" si="71"/>
        <v>0.25306651787687745</v>
      </c>
      <c r="V73" s="9">
        <f t="shared" si="71"/>
        <v>0.26906211196658525</v>
      </c>
      <c r="W73" s="9">
        <f t="shared" si="71"/>
        <v>0.28511195312512039</v>
      </c>
      <c r="X73" s="9">
        <f t="shared" si="71"/>
        <v>0.3012161751403889</v>
      </c>
      <c r="Y73" s="9">
        <f t="shared" si="71"/>
        <v>0.31737491213025398</v>
      </c>
      <c r="Z73" s="9">
        <f t="shared" si="71"/>
        <v>0.33358829854334959</v>
      </c>
      <c r="AA73" s="9">
        <f t="shared" si="71"/>
        <v>0.34985646915989632</v>
      </c>
      <c r="AB73" s="9">
        <f t="shared" si="71"/>
        <v>0.36617955909251909</v>
      </c>
      <c r="AC73" s="9">
        <f t="shared" si="71"/>
        <v>0.3825577037870671</v>
      </c>
      <c r="AD73" s="9">
        <f t="shared" si="71"/>
        <v>0.39899103902343552</v>
      </c>
      <c r="AE73" s="9">
        <f t="shared" si="71"/>
        <v>0.41547970091638936</v>
      </c>
      <c r="AF73" s="9">
        <f t="shared" si="71"/>
        <v>0.43202382591638938</v>
      </c>
      <c r="AG73" s="9">
        <f t="shared" si="71"/>
        <v>0.44862355081041994</v>
      </c>
      <c r="AH73" s="9">
        <f t="shared" si="71"/>
        <v>0.46527901272281902</v>
      </c>
      <c r="AI73" s="9">
        <f t="shared" si="71"/>
        <v>0.48199034911611022</v>
      </c>
      <c r="AJ73" s="9">
        <f t="shared" si="71"/>
        <v>0.49875769779183676</v>
      </c>
      <c r="AK73" s="9">
        <f t="shared" si="71"/>
        <v>0.51558119689139781</v>
      </c>
      <c r="AL73" s="9">
        <f t="shared" si="71"/>
        <v>0.53246098489688631</v>
      </c>
      <c r="AM73" s="9">
        <f t="shared" si="71"/>
        <v>0.54939720063192943</v>
      </c>
      <c r="AN73" s="9">
        <f t="shared" si="71"/>
        <v>0.56638998326253087</v>
      </c>
      <c r="AO73" s="9">
        <f t="shared" si="71"/>
        <v>0.58343947229791537</v>
      </c>
      <c r="AP73" s="9">
        <f t="shared" si="71"/>
        <v>0.60054580759137488</v>
      </c>
      <c r="AQ73" s="9">
        <f t="shared" si="71"/>
        <v>0.61770912934111732</v>
      </c>
    </row>
    <row r="74" spans="1:43" hidden="1" outlineLevel="6">
      <c r="A74" s="2"/>
      <c r="B74" s="2"/>
      <c r="C74" s="2"/>
      <c r="D74" s="2"/>
      <c r="E74" s="2"/>
      <c r="F74" s="2"/>
      <c r="G74" s="2" t="s">
        <v>170</v>
      </c>
      <c r="H74" s="9">
        <f t="shared" ref="H74:AQ74" si="72">central_private_coverage_additions*(1+central_private_coverage_additions_growth)^((COLUMN()-8)/12)</f>
        <v>2.1250000000000002E-2</v>
      </c>
      <c r="I74" s="9">
        <f t="shared" si="72"/>
        <v>2.1302408232661454E-2</v>
      </c>
      <c r="J74" s="9">
        <f t="shared" si="72"/>
        <v>2.1354945718162936E-2</v>
      </c>
      <c r="K74" s="9">
        <f t="shared" si="72"/>
        <v>2.1407612775276825E-2</v>
      </c>
      <c r="L74" s="9">
        <f t="shared" si="72"/>
        <v>2.1460409723561672E-2</v>
      </c>
      <c r="M74" s="9">
        <f t="shared" si="72"/>
        <v>2.1513336883364143E-2</v>
      </c>
      <c r="N74" s="9">
        <f t="shared" si="72"/>
        <v>2.1566394575820966E-2</v>
      </c>
      <c r="O74" s="9">
        <f t="shared" si="72"/>
        <v>2.1619583122860886E-2</v>
      </c>
      <c r="P74" s="9">
        <f t="shared" si="72"/>
        <v>2.1672902847206604E-2</v>
      </c>
      <c r="Q74" s="9">
        <f t="shared" si="72"/>
        <v>2.1726354072376743E-2</v>
      </c>
      <c r="R74" s="9">
        <f t="shared" si="72"/>
        <v>2.1779937122687811E-2</v>
      </c>
      <c r="S74" s="9">
        <f t="shared" si="72"/>
        <v>2.183365232325617E-2</v>
      </c>
      <c r="T74" s="9">
        <f t="shared" si="72"/>
        <v>2.1887500000000001E-2</v>
      </c>
      <c r="U74" s="9">
        <f t="shared" si="72"/>
        <v>2.1941480479641298E-2</v>
      </c>
      <c r="V74" s="9">
        <f t="shared" si="72"/>
        <v>2.1995594089707825E-2</v>
      </c>
      <c r="W74" s="9">
        <f t="shared" si="72"/>
        <v>2.2049841158535134E-2</v>
      </c>
      <c r="X74" s="9">
        <f t="shared" si="72"/>
        <v>2.2104222015268522E-2</v>
      </c>
      <c r="Y74" s="9">
        <f t="shared" si="72"/>
        <v>2.2158736989865067E-2</v>
      </c>
      <c r="Z74" s="9">
        <f t="shared" si="72"/>
        <v>2.2213386413095598E-2</v>
      </c>
      <c r="AA74" s="9">
        <f t="shared" si="72"/>
        <v>2.2268170616546717E-2</v>
      </c>
      <c r="AB74" s="9">
        <f t="shared" si="72"/>
        <v>2.2323089932622803E-2</v>
      </c>
      <c r="AC74" s="9">
        <f t="shared" si="72"/>
        <v>2.2378144694548043E-2</v>
      </c>
      <c r="AD74" s="9">
        <f t="shared" si="72"/>
        <v>2.2433335236368448E-2</v>
      </c>
      <c r="AE74" s="9">
        <f t="shared" si="72"/>
        <v>2.2488661892953853E-2</v>
      </c>
      <c r="AF74" s="9">
        <f t="shared" si="72"/>
        <v>2.2544125000000002E-2</v>
      </c>
      <c r="AG74" s="9">
        <f t="shared" si="72"/>
        <v>2.2599724894030535E-2</v>
      </c>
      <c r="AH74" s="9">
        <f t="shared" si="72"/>
        <v>2.2655461912399064E-2</v>
      </c>
      <c r="AI74" s="9">
        <f t="shared" si="72"/>
        <v>2.2711336393291183E-2</v>
      </c>
      <c r="AJ74" s="9">
        <f t="shared" si="72"/>
        <v>2.2767348675726582E-2</v>
      </c>
      <c r="AK74" s="9">
        <f t="shared" si="72"/>
        <v>2.282349909956102E-2</v>
      </c>
      <c r="AL74" s="9">
        <f t="shared" si="72"/>
        <v>2.2879788005488465E-2</v>
      </c>
      <c r="AM74" s="9">
        <f t="shared" si="72"/>
        <v>2.2936215735043116E-2</v>
      </c>
      <c r="AN74" s="9">
        <f t="shared" si="72"/>
        <v>2.2992782630601491E-2</v>
      </c>
      <c r="AO74" s="9">
        <f t="shared" si="72"/>
        <v>2.3049489035384486E-2</v>
      </c>
      <c r="AP74" s="9">
        <f t="shared" si="72"/>
        <v>2.3106335293459498E-2</v>
      </c>
      <c r="AQ74" s="9">
        <f t="shared" si="72"/>
        <v>2.3163321749742474E-2</v>
      </c>
    </row>
    <row r="75" spans="1:43" hidden="1" outlineLevel="6">
      <c r="A75" s="2"/>
      <c r="B75" s="2"/>
      <c r="C75" s="2"/>
      <c r="D75" s="2"/>
      <c r="E75" s="2"/>
      <c r="F75" s="2"/>
      <c r="G75" s="2" t="s">
        <v>383</v>
      </c>
      <c r="H75" s="9">
        <f t="shared" ref="H75:AQ75" si="73">central_private_coverage_churn*(1+central_private_coverage_churn_growth)^((COLUMN()-8)/12)</f>
        <v>6.0000000000000001E-3</v>
      </c>
      <c r="I75" s="9">
        <f t="shared" si="73"/>
        <v>6.0000000000000001E-3</v>
      </c>
      <c r="J75" s="9">
        <f t="shared" si="73"/>
        <v>6.0000000000000001E-3</v>
      </c>
      <c r="K75" s="9">
        <f t="shared" si="73"/>
        <v>6.0000000000000001E-3</v>
      </c>
      <c r="L75" s="9">
        <f t="shared" si="73"/>
        <v>6.0000000000000001E-3</v>
      </c>
      <c r="M75" s="9">
        <f t="shared" si="73"/>
        <v>6.0000000000000001E-3</v>
      </c>
      <c r="N75" s="9">
        <f t="shared" si="73"/>
        <v>6.0000000000000001E-3</v>
      </c>
      <c r="O75" s="9">
        <f t="shared" si="73"/>
        <v>6.0000000000000001E-3</v>
      </c>
      <c r="P75" s="9">
        <f t="shared" si="73"/>
        <v>6.0000000000000001E-3</v>
      </c>
      <c r="Q75" s="9">
        <f t="shared" si="73"/>
        <v>6.0000000000000001E-3</v>
      </c>
      <c r="R75" s="9">
        <f t="shared" si="73"/>
        <v>6.0000000000000001E-3</v>
      </c>
      <c r="S75" s="9">
        <f t="shared" si="73"/>
        <v>6.0000000000000001E-3</v>
      </c>
      <c r="T75" s="9">
        <f t="shared" si="73"/>
        <v>6.0000000000000001E-3</v>
      </c>
      <c r="U75" s="9">
        <f t="shared" si="73"/>
        <v>6.0000000000000001E-3</v>
      </c>
      <c r="V75" s="9">
        <f t="shared" si="73"/>
        <v>6.0000000000000001E-3</v>
      </c>
      <c r="W75" s="9">
        <f t="shared" si="73"/>
        <v>6.0000000000000001E-3</v>
      </c>
      <c r="X75" s="9">
        <f t="shared" si="73"/>
        <v>6.0000000000000001E-3</v>
      </c>
      <c r="Y75" s="9">
        <f t="shared" si="73"/>
        <v>6.0000000000000001E-3</v>
      </c>
      <c r="Z75" s="9">
        <f t="shared" si="73"/>
        <v>6.0000000000000001E-3</v>
      </c>
      <c r="AA75" s="9">
        <f t="shared" si="73"/>
        <v>6.0000000000000001E-3</v>
      </c>
      <c r="AB75" s="9">
        <f t="shared" si="73"/>
        <v>6.0000000000000001E-3</v>
      </c>
      <c r="AC75" s="9">
        <f t="shared" si="73"/>
        <v>6.0000000000000001E-3</v>
      </c>
      <c r="AD75" s="9">
        <f t="shared" si="73"/>
        <v>6.0000000000000001E-3</v>
      </c>
      <c r="AE75" s="9">
        <f t="shared" si="73"/>
        <v>6.0000000000000001E-3</v>
      </c>
      <c r="AF75" s="9">
        <f t="shared" si="73"/>
        <v>6.0000000000000001E-3</v>
      </c>
      <c r="AG75" s="9">
        <f t="shared" si="73"/>
        <v>6.0000000000000001E-3</v>
      </c>
      <c r="AH75" s="9">
        <f t="shared" si="73"/>
        <v>6.0000000000000001E-3</v>
      </c>
      <c r="AI75" s="9">
        <f t="shared" si="73"/>
        <v>6.0000000000000001E-3</v>
      </c>
      <c r="AJ75" s="9">
        <f t="shared" si="73"/>
        <v>6.0000000000000001E-3</v>
      </c>
      <c r="AK75" s="9">
        <f t="shared" si="73"/>
        <v>6.0000000000000001E-3</v>
      </c>
      <c r="AL75" s="9">
        <f t="shared" si="73"/>
        <v>6.0000000000000001E-3</v>
      </c>
      <c r="AM75" s="9">
        <f t="shared" si="73"/>
        <v>6.0000000000000001E-3</v>
      </c>
      <c r="AN75" s="9">
        <f t="shared" si="73"/>
        <v>6.0000000000000001E-3</v>
      </c>
      <c r="AO75" s="9">
        <f t="shared" si="73"/>
        <v>6.0000000000000001E-3</v>
      </c>
      <c r="AP75" s="9">
        <f t="shared" si="73"/>
        <v>6.0000000000000001E-3</v>
      </c>
      <c r="AQ75" s="9">
        <f t="shared" si="73"/>
        <v>6.0000000000000001E-3</v>
      </c>
    </row>
    <row r="76" spans="1:43" hidden="1" outlineLevel="4">
      <c r="A76" s="2"/>
      <c r="B76" s="2"/>
      <c r="C76" s="2"/>
      <c r="D76" s="2"/>
      <c r="E76" s="2" t="s">
        <v>384</v>
      </c>
      <c r="F76" s="2"/>
      <c r="G76" s="2"/>
      <c r="H76" s="9">
        <f t="shared" ref="H76:AQ76" si="74">central_private_net_price_per_dose*(1+central_private_net_price_per_dose_growth)^((COLUMN()-8)/12)</f>
        <v>118000</v>
      </c>
      <c r="I76" s="9">
        <f t="shared" si="74"/>
        <v>118338.76604885104</v>
      </c>
      <c r="J76" s="9">
        <f t="shared" si="74"/>
        <v>118678.50466071779</v>
      </c>
      <c r="K76" s="9">
        <f t="shared" si="74"/>
        <v>119019.21862773018</v>
      </c>
      <c r="L76" s="9">
        <f t="shared" si="74"/>
        <v>119360.91075003402</v>
      </c>
      <c r="M76" s="9">
        <f t="shared" si="74"/>
        <v>119703.58383581412</v>
      </c>
      <c r="N76" s="9">
        <f t="shared" si="74"/>
        <v>120047.24070131725</v>
      </c>
      <c r="O76" s="9">
        <f t="shared" si="74"/>
        <v>120391.88417087535</v>
      </c>
      <c r="P76" s="9">
        <f t="shared" si="74"/>
        <v>120737.51707692872</v>
      </c>
      <c r="Q76" s="9">
        <f t="shared" si="74"/>
        <v>121084.14226004938</v>
      </c>
      <c r="R76" s="9">
        <f t="shared" si="74"/>
        <v>121431.76256896423</v>
      </c>
      <c r="S76" s="9">
        <f t="shared" si="74"/>
        <v>121780.38086057869</v>
      </c>
      <c r="T76" s="9">
        <f t="shared" si="74"/>
        <v>122129.99999999999</v>
      </c>
      <c r="U76" s="9">
        <f t="shared" si="74"/>
        <v>122480.62286056082</v>
      </c>
      <c r="V76" s="9">
        <f t="shared" si="74"/>
        <v>122832.25232384291</v>
      </c>
      <c r="W76" s="9">
        <f t="shared" si="74"/>
        <v>123184.89127970071</v>
      </c>
      <c r="X76" s="9">
        <f t="shared" si="74"/>
        <v>123538.54262628521</v>
      </c>
      <c r="Y76" s="9">
        <f t="shared" si="74"/>
        <v>123893.20927006761</v>
      </c>
      <c r="Z76" s="9">
        <f t="shared" si="74"/>
        <v>124248.89412586334</v>
      </c>
      <c r="AA76" s="9">
        <f t="shared" si="74"/>
        <v>124605.60011685596</v>
      </c>
      <c r="AB76" s="9">
        <f t="shared" si="74"/>
        <v>124963.33017462121</v>
      </c>
      <c r="AC76" s="9">
        <f t="shared" si="74"/>
        <v>125322.08723915109</v>
      </c>
      <c r="AD76" s="9">
        <f t="shared" si="74"/>
        <v>125681.87425887797</v>
      </c>
      <c r="AE76" s="9">
        <f t="shared" si="74"/>
        <v>126042.69419069895</v>
      </c>
      <c r="AF76" s="9">
        <f t="shared" si="74"/>
        <v>126404.54999999999</v>
      </c>
      <c r="AG76" s="9">
        <f t="shared" si="74"/>
        <v>126767.44466068043</v>
      </c>
      <c r="AH76" s="9">
        <f t="shared" si="74"/>
        <v>127131.38115517738</v>
      </c>
      <c r="AI76" s="9">
        <f t="shared" si="74"/>
        <v>127496.36247449025</v>
      </c>
      <c r="AJ76" s="9">
        <f t="shared" si="74"/>
        <v>127862.39161820519</v>
      </c>
      <c r="AK76" s="9">
        <f t="shared" si="74"/>
        <v>128229.47159451996</v>
      </c>
      <c r="AL76" s="9">
        <f t="shared" si="74"/>
        <v>128597.60542026853</v>
      </c>
      <c r="AM76" s="9">
        <f t="shared" si="74"/>
        <v>128966.79612094592</v>
      </c>
      <c r="AN76" s="9">
        <f t="shared" si="74"/>
        <v>129337.04673073294</v>
      </c>
      <c r="AO76" s="9">
        <f t="shared" si="74"/>
        <v>129708.36029252138</v>
      </c>
      <c r="AP76" s="9">
        <f t="shared" si="74"/>
        <v>130080.73985793869</v>
      </c>
      <c r="AQ76" s="9">
        <f t="shared" si="74"/>
        <v>130454.18848737338</v>
      </c>
    </row>
    <row r="77" spans="1:43" hidden="1" outlineLevel="3" collapsed="1">
      <c r="A77" s="2"/>
      <c r="B77" s="2"/>
      <c r="C77" s="2"/>
      <c r="D77" s="2" t="s">
        <v>385</v>
      </c>
      <c r="E77" s="2"/>
      <c r="F77" s="2"/>
      <c r="G77" s="2"/>
      <c r="H77" s="9">
        <f t="shared" ref="H77:AQ77" si="75">(H78*H87)</f>
        <v>964397.81878209021</v>
      </c>
      <c r="I77" s="9">
        <f t="shared" si="75"/>
        <v>1163098.6285522322</v>
      </c>
      <c r="J77" s="9">
        <f t="shared" si="75"/>
        <v>1368755.0426799206</v>
      </c>
      <c r="K77" s="9">
        <f t="shared" si="75"/>
        <v>1581554.7590939936</v>
      </c>
      <c r="L77" s="9">
        <f t="shared" si="75"/>
        <v>1801690.0037820139</v>
      </c>
      <c r="M77" s="9">
        <f t="shared" si="75"/>
        <v>2029357.63334977</v>
      </c>
      <c r="N77" s="9">
        <f t="shared" si="75"/>
        <v>2264759.2398113101</v>
      </c>
      <c r="O77" s="9">
        <f t="shared" si="75"/>
        <v>2508101.2576566669</v>
      </c>
      <c r="P77" s="9">
        <f t="shared" si="75"/>
        <v>2759595.0732454071</v>
      </c>
      <c r="Q77" s="9">
        <f t="shared" si="75"/>
        <v>3019457.1365751247</v>
      </c>
      <c r="R77" s="9">
        <f t="shared" si="75"/>
        <v>3287909.0754750171</v>
      </c>
      <c r="S77" s="9">
        <f t="shared" si="75"/>
        <v>3565177.812275744</v>
      </c>
      <c r="T77" s="9">
        <f t="shared" si="75"/>
        <v>3851495.6830077968</v>
      </c>
      <c r="U77" s="9">
        <f t="shared" si="75"/>
        <v>4147100.5591816856</v>
      </c>
      <c r="V77" s="9">
        <f t="shared" si="75"/>
        <v>4452235.9722043965</v>
      </c>
      <c r="W77" s="9">
        <f t="shared" si="75"/>
        <v>4767151.240487624</v>
      </c>
      <c r="X77" s="9">
        <f t="shared" si="75"/>
        <v>5092101.5993045084</v>
      </c>
      <c r="Y77" s="9">
        <f t="shared" si="75"/>
        <v>5427348.3334527006</v>
      </c>
      <c r="Z77" s="9">
        <f t="shared" si="75"/>
        <v>5773158.9127828693</v>
      </c>
      <c r="AA77" s="9">
        <f t="shared" si="75"/>
        <v>6129807.1306528365</v>
      </c>
      <c r="AB77" s="9">
        <f t="shared" si="75"/>
        <v>6497573.2453689771</v>
      </c>
      <c r="AC77" s="9">
        <f t="shared" si="75"/>
        <v>6876744.1246775398</v>
      </c>
      <c r="AD77" s="9">
        <f t="shared" si="75"/>
        <v>7267613.3933700826</v>
      </c>
      <c r="AE77" s="9">
        <f t="shared" si="75"/>
        <v>7670481.5840683281</v>
      </c>
      <c r="AF77" s="9">
        <f t="shared" si="75"/>
        <v>8085656.2912552878</v>
      </c>
      <c r="AG77" s="9">
        <f t="shared" si="75"/>
        <v>8513452.3286207002</v>
      </c>
      <c r="AH77" s="9">
        <f t="shared" si="75"/>
        <v>8954191.8897903096</v>
      </c>
      <c r="AI77" s="9">
        <f t="shared" si="75"/>
        <v>9408204.7125099991</v>
      </c>
      <c r="AJ77" s="9">
        <f t="shared" si="75"/>
        <v>9875828.2463571392</v>
      </c>
      <c r="AK77" s="9">
        <f t="shared" si="75"/>
        <v>10357407.824053098</v>
      </c>
      <c r="AL77" s="9">
        <f t="shared" si="75"/>
        <v>10853296.8364523</v>
      </c>
      <c r="AM77" s="9">
        <f t="shared" si="75"/>
        <v>11363856.91128484</v>
      </c>
      <c r="AN77" s="9">
        <f t="shared" si="75"/>
        <v>11889458.095731191</v>
      </c>
      <c r="AO77" s="9">
        <f t="shared" si="75"/>
        <v>12430479.042909237</v>
      </c>
      <c r="AP77" s="9">
        <f t="shared" si="75"/>
        <v>12987307.202355277</v>
      </c>
      <c r="AQ77" s="9">
        <f t="shared" si="75"/>
        <v>13560339.014582777</v>
      </c>
    </row>
    <row r="78" spans="1:43" hidden="1" outlineLevel="4" collapsed="1">
      <c r="A78" s="2"/>
      <c r="B78" s="2"/>
      <c r="C78" s="2"/>
      <c r="D78" s="2"/>
      <c r="E78" s="2" t="s">
        <v>386</v>
      </c>
      <c r="F78" s="2"/>
      <c r="G78" s="2"/>
      <c r="H78" s="9">
        <f t="shared" ref="H78:AQ78" si="76">(((((H79*H80)*H81)*H82)*H83)*H84)</f>
        <v>9.4548805762950021</v>
      </c>
      <c r="I78" s="9">
        <f t="shared" si="76"/>
        <v>11.370284794851163</v>
      </c>
      <c r="J78" s="9">
        <f t="shared" si="76"/>
        <v>13.34244748506338</v>
      </c>
      <c r="K78" s="9">
        <f t="shared" si="76"/>
        <v>15.372658308664604</v>
      </c>
      <c r="L78" s="9">
        <f t="shared" si="76"/>
        <v>17.462233075247905</v>
      </c>
      <c r="M78" s="9">
        <f t="shared" si="76"/>
        <v>19.612514239529979</v>
      </c>
      <c r="N78" s="9">
        <f t="shared" si="76"/>
        <v>21.824871407690022</v>
      </c>
      <c r="O78" s="9">
        <f t="shared" si="76"/>
        <v>24.100701852944841</v>
      </c>
      <c r="P78" s="9">
        <f t="shared" si="76"/>
        <v>26.441431040524055</v>
      </c>
      <c r="Q78" s="9">
        <f t="shared" si="76"/>
        <v>28.848513162211827</v>
      </c>
      <c r="R78" s="9">
        <f t="shared" si="76"/>
        <v>31.323431680624644</v>
      </c>
      <c r="S78" s="9">
        <f t="shared" si="76"/>
        <v>33.867699883397627</v>
      </c>
      <c r="T78" s="9">
        <f t="shared" si="76"/>
        <v>36.482861447454745</v>
      </c>
      <c r="U78" s="9">
        <f t="shared" si="76"/>
        <v>39.170491013541294</v>
      </c>
      <c r="V78" s="9">
        <f t="shared" si="76"/>
        <v>41.932194771200408</v>
      </c>
      <c r="W78" s="9">
        <f t="shared" si="76"/>
        <v>44.769611054377961</v>
      </c>
      <c r="X78" s="9">
        <f t="shared" si="76"/>
        <v>47.684410947844022</v>
      </c>
      <c r="Y78" s="9">
        <f t="shared" si="76"/>
        <v>50.678298904621904</v>
      </c>
      <c r="Z78" s="9">
        <f t="shared" si="76"/>
        <v>53.7530133746194</v>
      </c>
      <c r="AA78" s="9">
        <f t="shared" si="76"/>
        <v>56.910327444659508</v>
      </c>
      <c r="AB78" s="9">
        <f t="shared" si="76"/>
        <v>60.152049490112873</v>
      </c>
      <c r="AC78" s="9">
        <f t="shared" si="76"/>
        <v>63.480023838335491</v>
      </c>
      <c r="AD78" s="9">
        <f t="shared" si="76"/>
        <v>66.896131444121011</v>
      </c>
      <c r="AE78" s="9">
        <f t="shared" si="76"/>
        <v>70.40229057737848</v>
      </c>
      <c r="AF78" s="9">
        <f t="shared" si="76"/>
        <v>74.000457523252322</v>
      </c>
      <c r="AG78" s="9">
        <f t="shared" si="76"/>
        <v>77.692627294902621</v>
      </c>
      <c r="AH78" s="9">
        <f t="shared" si="76"/>
        <v>81.480834359169236</v>
      </c>
      <c r="AI78" s="9">
        <f t="shared" si="76"/>
        <v>85.367153375346859</v>
      </c>
      <c r="AJ78" s="9">
        <f t="shared" si="76"/>
        <v>89.353699947301578</v>
      </c>
      <c r="AK78" s="9">
        <f t="shared" si="76"/>
        <v>93.442631389163779</v>
      </c>
      <c r="AL78" s="9">
        <f t="shared" si="76"/>
        <v>97.636147504836273</v>
      </c>
      <c r="AM78" s="9">
        <f t="shared" si="76"/>
        <v>101.93649138156074</v>
      </c>
      <c r="AN78" s="9">
        <f t="shared" si="76"/>
        <v>106.34595019778946</v>
      </c>
      <c r="AO78" s="9">
        <f t="shared" si="76"/>
        <v>110.8668560456142</v>
      </c>
      <c r="AP78" s="9">
        <f t="shared" si="76"/>
        <v>115.50158676800706</v>
      </c>
      <c r="AQ78" s="9">
        <f t="shared" si="76"/>
        <v>120.25256681113504</v>
      </c>
    </row>
    <row r="79" spans="1:43" hidden="1" outlineLevel="5">
      <c r="A79" s="2"/>
      <c r="B79" s="2"/>
      <c r="C79" s="2"/>
      <c r="D79" s="2"/>
      <c r="E79" s="2"/>
      <c r="F79" s="2" t="s">
        <v>338</v>
      </c>
      <c r="G79" s="2"/>
      <c r="H79" s="9">
        <f t="shared" ref="H79:AQ79" si="77">H22</f>
        <v>13474.969200000001</v>
      </c>
      <c r="I79" s="9">
        <f t="shared" si="77"/>
        <v>13505.1166215678</v>
      </c>
      <c r="J79" s="9">
        <f t="shared" si="77"/>
        <v>13535.331491677693</v>
      </c>
      <c r="K79" s="9">
        <f t="shared" si="77"/>
        <v>13565.613961231651</v>
      </c>
      <c r="L79" s="9">
        <f t="shared" si="77"/>
        <v>13595.964181469282</v>
      </c>
      <c r="M79" s="9">
        <f t="shared" si="77"/>
        <v>13626.38230396855</v>
      </c>
      <c r="N79" s="9">
        <f t="shared" si="77"/>
        <v>13656.868480646552</v>
      </c>
      <c r="O79" s="9">
        <f t="shared" si="77"/>
        <v>13687.422863760248</v>
      </c>
      <c r="P79" s="9">
        <f t="shared" si="77"/>
        <v>13718.04560590726</v>
      </c>
      <c r="Q79" s="9">
        <f t="shared" si="77"/>
        <v>13748.736860026611</v>
      </c>
      <c r="R79" s="9">
        <f t="shared" si="77"/>
        <v>13779.496779399487</v>
      </c>
      <c r="S79" s="9">
        <f t="shared" si="77"/>
        <v>13810.325517650019</v>
      </c>
      <c r="T79" s="9">
        <f t="shared" si="77"/>
        <v>13841.223228746025</v>
      </c>
      <c r="U79" s="9">
        <f t="shared" si="77"/>
        <v>13872.190066999799</v>
      </c>
      <c r="V79" s="9">
        <f t="shared" si="77"/>
        <v>13903.226187068893</v>
      </c>
      <c r="W79" s="9">
        <f t="shared" si="77"/>
        <v>13934.331743956849</v>
      </c>
      <c r="X79" s="9">
        <f t="shared" si="77"/>
        <v>13965.506893014017</v>
      </c>
      <c r="Y79" s="9">
        <f t="shared" si="77"/>
        <v>13996.751789938286</v>
      </c>
      <c r="Z79" s="9">
        <f t="shared" si="77"/>
        <v>14028.066590775916</v>
      </c>
      <c r="AA79" s="9">
        <f t="shared" si="77"/>
        <v>14059.451451922261</v>
      </c>
      <c r="AB79" s="9">
        <f t="shared" si="77"/>
        <v>14090.906530122595</v>
      </c>
      <c r="AC79" s="9">
        <f t="shared" si="77"/>
        <v>14122.431982472877</v>
      </c>
      <c r="AD79" s="9">
        <f t="shared" si="77"/>
        <v>14154.027966420523</v>
      </c>
      <c r="AE79" s="9">
        <f t="shared" si="77"/>
        <v>14185.69463976521</v>
      </c>
      <c r="AF79" s="9">
        <f t="shared" si="77"/>
        <v>14217.432160659662</v>
      </c>
      <c r="AG79" s="9">
        <f t="shared" si="77"/>
        <v>14249.240687610436</v>
      </c>
      <c r="AH79" s="9">
        <f t="shared" si="77"/>
        <v>14281.120379478709</v>
      </c>
      <c r="AI79" s="9">
        <f t="shared" si="77"/>
        <v>14313.071395481078</v>
      </c>
      <c r="AJ79" s="9">
        <f t="shared" si="77"/>
        <v>14345.093895190366</v>
      </c>
      <c r="AK79" s="9">
        <f t="shared" si="77"/>
        <v>14377.188038536387</v>
      </c>
      <c r="AL79" s="9">
        <f t="shared" si="77"/>
        <v>14409.353985806771</v>
      </c>
      <c r="AM79" s="9">
        <f t="shared" si="77"/>
        <v>14441.591897647777</v>
      </c>
      <c r="AN79" s="9">
        <f t="shared" si="77"/>
        <v>14473.901935065041</v>
      </c>
      <c r="AO79" s="9">
        <f t="shared" si="77"/>
        <v>14506.284259424448</v>
      </c>
      <c r="AP79" s="9">
        <f t="shared" si="77"/>
        <v>14538.739032452891</v>
      </c>
      <c r="AQ79" s="9">
        <f t="shared" si="77"/>
        <v>14571.266416239092</v>
      </c>
    </row>
    <row r="80" spans="1:43" hidden="1" outlineLevel="5">
      <c r="A80" s="2"/>
      <c r="B80" s="2"/>
      <c r="C80" s="2"/>
      <c r="D80" s="2"/>
      <c r="E80" s="2"/>
      <c r="F80" s="2" t="s">
        <v>387</v>
      </c>
      <c r="G80" s="2"/>
      <c r="H80" s="9">
        <f t="shared" ref="H80:AQ80" si="78">western_private_eligibility_rate*(1+western_private_eligibility_rate_growth)^((COLUMN()-8)/12)</f>
        <v>3.5000000000000003E-2</v>
      </c>
      <c r="I80" s="9">
        <f t="shared" si="78"/>
        <v>3.5170364269787008E-2</v>
      </c>
      <c r="J80" s="9">
        <f t="shared" si="78"/>
        <v>3.5341557796271739E-2</v>
      </c>
      <c r="K80" s="9">
        <f t="shared" si="78"/>
        <v>3.5513584615903079E-2</v>
      </c>
      <c r="L80" s="9">
        <f t="shared" si="78"/>
        <v>3.5686448784777572E-2</v>
      </c>
      <c r="M80" s="9">
        <f t="shared" si="78"/>
        <v>3.5860154378735007E-2</v>
      </c>
      <c r="N80" s="9">
        <f t="shared" si="78"/>
        <v>3.60347054934545E-2</v>
      </c>
      <c r="O80" s="9">
        <f t="shared" si="78"/>
        <v>3.6210106244551142E-2</v>
      </c>
      <c r="P80" s="9">
        <f t="shared" si="78"/>
        <v>3.6386360767672932E-2</v>
      </c>
      <c r="Q80" s="9">
        <f t="shared" si="78"/>
        <v>3.6563473218598402E-2</v>
      </c>
      <c r="R80" s="9">
        <f t="shared" si="78"/>
        <v>3.674144777333449E-2</v>
      </c>
      <c r="S80" s="9">
        <f t="shared" si="78"/>
        <v>3.6920288628215107E-2</v>
      </c>
      <c r="T80" s="9">
        <f t="shared" si="78"/>
        <v>3.7100000000000008E-2</v>
      </c>
      <c r="U80" s="9">
        <f t="shared" si="78"/>
        <v>3.7280586125974229E-2</v>
      </c>
      <c r="V80" s="9">
        <f t="shared" si="78"/>
        <v>3.7462051264048037E-2</v>
      </c>
      <c r="W80" s="9">
        <f t="shared" si="78"/>
        <v>3.7644399692857267E-2</v>
      </c>
      <c r="X80" s="9">
        <f t="shared" si="78"/>
        <v>3.7827635711864233E-2</v>
      </c>
      <c r="Y80" s="9">
        <f t="shared" si="78"/>
        <v>3.8011763641459105E-2</v>
      </c>
      <c r="Z80" s="9">
        <f t="shared" si="78"/>
        <v>3.8196787823061781E-2</v>
      </c>
      <c r="AA80" s="9">
        <f t="shared" si="78"/>
        <v>3.8382712619224213E-2</v>
      </c>
      <c r="AB80" s="9">
        <f t="shared" si="78"/>
        <v>3.856954241373331E-2</v>
      </c>
      <c r="AC80" s="9">
        <f t="shared" si="78"/>
        <v>3.8757281611714302E-2</v>
      </c>
      <c r="AD80" s="9">
        <f t="shared" si="78"/>
        <v>3.8945934639734565E-2</v>
      </c>
      <c r="AE80" s="9">
        <f t="shared" si="78"/>
        <v>3.9135505945908013E-2</v>
      </c>
      <c r="AF80" s="9">
        <f t="shared" si="78"/>
        <v>3.9326000000000007E-2</v>
      </c>
      <c r="AG80" s="9">
        <f t="shared" si="78"/>
        <v>3.9517421293532688E-2</v>
      </c>
      <c r="AH80" s="9">
        <f t="shared" si="78"/>
        <v>3.9709774339890917E-2</v>
      </c>
      <c r="AI80" s="9">
        <f t="shared" si="78"/>
        <v>3.9903063674428703E-2</v>
      </c>
      <c r="AJ80" s="9">
        <f t="shared" si="78"/>
        <v>4.009729385457609E-2</v>
      </c>
      <c r="AK80" s="9">
        <f t="shared" si="78"/>
        <v>4.0292469459946655E-2</v>
      </c>
      <c r="AL80" s="9">
        <f t="shared" si="78"/>
        <v>4.0488595092445491E-2</v>
      </c>
      <c r="AM80" s="9">
        <f t="shared" si="78"/>
        <v>4.068567537637767E-2</v>
      </c>
      <c r="AN80" s="9">
        <f t="shared" si="78"/>
        <v>4.0883714958557318E-2</v>
      </c>
      <c r="AO80" s="9">
        <f t="shared" si="78"/>
        <v>4.1082718508417167E-2</v>
      </c>
      <c r="AP80" s="9">
        <f t="shared" si="78"/>
        <v>4.1282690718118645E-2</v>
      </c>
      <c r="AQ80" s="9">
        <f t="shared" si="78"/>
        <v>4.1483636302662504E-2</v>
      </c>
    </row>
    <row r="81" spans="1:43" hidden="1" outlineLevel="5">
      <c r="A81" s="2"/>
      <c r="B81" s="2"/>
      <c r="C81" s="2"/>
      <c r="D81" s="2"/>
      <c r="E81" s="2"/>
      <c r="F81" s="2" t="s">
        <v>388</v>
      </c>
      <c r="G81" s="2"/>
      <c r="H81" s="9">
        <f t="shared" ref="H81:AQ81" si="79">western_private_provider_recommendation_rate*(1+western_private_provider_recommendation_rate_growth)^((COLUMN()-8)/12)</f>
        <v>0.55000000000000004</v>
      </c>
      <c r="I81" s="9">
        <f t="shared" si="79"/>
        <v>0.55180055688020946</v>
      </c>
      <c r="J81" s="9">
        <f t="shared" si="79"/>
        <v>0.55360700831510767</v>
      </c>
      <c r="K81" s="9">
        <f t="shared" si="79"/>
        <v>0.55541937360193294</v>
      </c>
      <c r="L81" s="9">
        <f t="shared" si="79"/>
        <v>0.55723767210109754</v>
      </c>
      <c r="M81" s="9">
        <f t="shared" si="79"/>
        <v>0.55906192323639481</v>
      </c>
      <c r="N81" s="9">
        <f t="shared" si="79"/>
        <v>0.56089214649520647</v>
      </c>
      <c r="O81" s="9">
        <f t="shared" si="79"/>
        <v>0.56272836142871063</v>
      </c>
      <c r="P81" s="9">
        <f t="shared" si="79"/>
        <v>0.56457058765209134</v>
      </c>
      <c r="Q81" s="9">
        <f t="shared" si="79"/>
        <v>0.56641884484474736</v>
      </c>
      <c r="R81" s="9">
        <f t="shared" si="79"/>
        <v>0.56827315275050294</v>
      </c>
      <c r="S81" s="9">
        <f t="shared" si="79"/>
        <v>0.57013353117781773</v>
      </c>
      <c r="T81" s="9">
        <f t="shared" si="79"/>
        <v>0.57200000000000006</v>
      </c>
      <c r="U81" s="9">
        <f t="shared" si="79"/>
        <v>0.57387257915541789</v>
      </c>
      <c r="V81" s="9">
        <f t="shared" si="79"/>
        <v>0.57575128864771197</v>
      </c>
      <c r="W81" s="9">
        <f t="shared" si="79"/>
        <v>0.57763614854601031</v>
      </c>
      <c r="X81" s="9">
        <f t="shared" si="79"/>
        <v>0.5795271789851415</v>
      </c>
      <c r="Y81" s="9">
        <f t="shared" si="79"/>
        <v>0.58142440016585062</v>
      </c>
      <c r="Z81" s="9">
        <f t="shared" si="79"/>
        <v>0.58332783235501473</v>
      </c>
      <c r="AA81" s="9">
        <f t="shared" si="79"/>
        <v>0.58523749588585905</v>
      </c>
      <c r="AB81" s="9">
        <f t="shared" si="79"/>
        <v>0.5871534111581751</v>
      </c>
      <c r="AC81" s="9">
        <f t="shared" si="79"/>
        <v>0.58907559863853731</v>
      </c>
      <c r="AD81" s="9">
        <f t="shared" si="79"/>
        <v>0.59100407886052297</v>
      </c>
      <c r="AE81" s="9">
        <f t="shared" si="79"/>
        <v>0.59293887242493049</v>
      </c>
      <c r="AF81" s="9">
        <f t="shared" si="79"/>
        <v>0.59488000000000008</v>
      </c>
      <c r="AG81" s="9">
        <f t="shared" si="79"/>
        <v>0.59682748232163452</v>
      </c>
      <c r="AH81" s="9">
        <f t="shared" si="79"/>
        <v>0.5987813401936205</v>
      </c>
      <c r="AI81" s="9">
        <f t="shared" si="79"/>
        <v>0.60074159448785069</v>
      </c>
      <c r="AJ81" s="9">
        <f t="shared" si="79"/>
        <v>0.60270826614454709</v>
      </c>
      <c r="AK81" s="9">
        <f t="shared" si="79"/>
        <v>0.60468137617248463</v>
      </c>
      <c r="AL81" s="9">
        <f t="shared" si="79"/>
        <v>0.60666094564921536</v>
      </c>
      <c r="AM81" s="9">
        <f t="shared" si="79"/>
        <v>0.60864699572129344</v>
      </c>
      <c r="AN81" s="9">
        <f t="shared" si="79"/>
        <v>0.61063954760450212</v>
      </c>
      <c r="AO81" s="9">
        <f t="shared" si="79"/>
        <v>0.61263862258407886</v>
      </c>
      <c r="AP81" s="9">
        <f t="shared" si="79"/>
        <v>0.61464424201494383</v>
      </c>
      <c r="AQ81" s="9">
        <f t="shared" si="79"/>
        <v>0.61665642732192771</v>
      </c>
    </row>
    <row r="82" spans="1:43" hidden="1" outlineLevel="5">
      <c r="A82" s="2"/>
      <c r="B82" s="2"/>
      <c r="C82" s="2"/>
      <c r="D82" s="2"/>
      <c r="E82" s="2"/>
      <c r="F82" s="2" t="s">
        <v>389</v>
      </c>
      <c r="G82" s="2"/>
      <c r="H82" s="9">
        <f t="shared" ref="H82:AQ82" si="80">western_private_acceptance_rate*(1+western_private_acceptance_rate_growth)^((COLUMN()-8)/12)</f>
        <v>0.81</v>
      </c>
      <c r="I82" s="9">
        <f t="shared" si="80"/>
        <v>0.81133778085455543</v>
      </c>
      <c r="J82" s="9">
        <f t="shared" si="80"/>
        <v>0.81267777116295625</v>
      </c>
      <c r="K82" s="9">
        <f t="shared" si="80"/>
        <v>0.8140199745742952</v>
      </c>
      <c r="L82" s="9">
        <f t="shared" si="80"/>
        <v>0.8153643947436916</v>
      </c>
      <c r="M82" s="9">
        <f t="shared" si="80"/>
        <v>0.8167110353323016</v>
      </c>
      <c r="N82" s="9">
        <f t="shared" si="80"/>
        <v>0.81805990000732842</v>
      </c>
      <c r="O82" s="9">
        <f t="shared" si="80"/>
        <v>0.81941099244203119</v>
      </c>
      <c r="P82" s="9">
        <f t="shared" si="80"/>
        <v>0.82076431631573632</v>
      </c>
      <c r="Q82" s="9">
        <f t="shared" si="80"/>
        <v>0.82211987531384667</v>
      </c>
      <c r="R82" s="9">
        <f t="shared" si="80"/>
        <v>0.82347767312785192</v>
      </c>
      <c r="S82" s="9">
        <f t="shared" si="80"/>
        <v>0.82483771345533863</v>
      </c>
      <c r="T82" s="9">
        <f t="shared" si="80"/>
        <v>0.82620000000000005</v>
      </c>
      <c r="U82" s="9">
        <f t="shared" si="80"/>
        <v>0.82756453647164652</v>
      </c>
      <c r="V82" s="9">
        <f t="shared" si="80"/>
        <v>0.82893132658621527</v>
      </c>
      <c r="W82" s="9">
        <f t="shared" si="80"/>
        <v>0.83030037406578105</v>
      </c>
      <c r="X82" s="9">
        <f t="shared" si="80"/>
        <v>0.83167168263856539</v>
      </c>
      <c r="Y82" s="9">
        <f t="shared" si="80"/>
        <v>0.83304525603894775</v>
      </c>
      <c r="Z82" s="9">
        <f t="shared" si="80"/>
        <v>0.83442109800747499</v>
      </c>
      <c r="AA82" s="9">
        <f t="shared" si="80"/>
        <v>0.83579921229087184</v>
      </c>
      <c r="AB82" s="9">
        <f t="shared" si="80"/>
        <v>0.83717960264205105</v>
      </c>
      <c r="AC82" s="9">
        <f t="shared" si="80"/>
        <v>0.83856227282012363</v>
      </c>
      <c r="AD82" s="9">
        <f t="shared" si="80"/>
        <v>0.8399472265904091</v>
      </c>
      <c r="AE82" s="9">
        <f t="shared" si="80"/>
        <v>0.84133446772444542</v>
      </c>
      <c r="AF82" s="9">
        <f t="shared" si="80"/>
        <v>0.84272400000000003</v>
      </c>
      <c r="AG82" s="9">
        <f t="shared" si="80"/>
        <v>0.84411582720107936</v>
      </c>
      <c r="AH82" s="9">
        <f t="shared" si="80"/>
        <v>0.84550995311793964</v>
      </c>
      <c r="AI82" s="9">
        <f t="shared" si="80"/>
        <v>0.84690638154709663</v>
      </c>
      <c r="AJ82" s="9">
        <f t="shared" si="80"/>
        <v>0.84830511629133665</v>
      </c>
      <c r="AK82" s="9">
        <f t="shared" si="80"/>
        <v>0.84970616115972675</v>
      </c>
      <c r="AL82" s="9">
        <f t="shared" si="80"/>
        <v>0.85110951996762441</v>
      </c>
      <c r="AM82" s="9">
        <f t="shared" si="80"/>
        <v>0.85251519653668928</v>
      </c>
      <c r="AN82" s="9">
        <f t="shared" si="80"/>
        <v>0.85392319469489208</v>
      </c>
      <c r="AO82" s="9">
        <f t="shared" si="80"/>
        <v>0.85533351827652604</v>
      </c>
      <c r="AP82" s="9">
        <f t="shared" si="80"/>
        <v>0.85674617112221718</v>
      </c>
      <c r="AQ82" s="9">
        <f t="shared" si="80"/>
        <v>0.85816115707893437</v>
      </c>
    </row>
    <row r="83" spans="1:43" hidden="1" outlineLevel="5">
      <c r="A83" s="2"/>
      <c r="B83" s="2"/>
      <c r="C83" s="2"/>
      <c r="D83" s="2"/>
      <c r="E83" s="2"/>
      <c r="F83" s="2" t="s">
        <v>390</v>
      </c>
      <c r="G83" s="2"/>
      <c r="H83" s="9">
        <f t="shared" ref="H83:AQ83" si="81">western_private_stock_availability_rate*(1+western_private_stock_availability_rate_growth)^((COLUMN()-8)/12)</f>
        <v>0.9</v>
      </c>
      <c r="I83" s="9">
        <f t="shared" si="81"/>
        <v>0.90111733894480439</v>
      </c>
      <c r="J83" s="9">
        <f t="shared" si="81"/>
        <v>0.9022360650521839</v>
      </c>
      <c r="K83" s="9">
        <f t="shared" si="81"/>
        <v>0.90335618004428375</v>
      </c>
      <c r="L83" s="9">
        <f t="shared" si="81"/>
        <v>0.90447768564538722</v>
      </c>
      <c r="M83" s="9">
        <f t="shared" si="81"/>
        <v>0.90560058358191853</v>
      </c>
      <c r="N83" s="9">
        <f t="shared" si="81"/>
        <v>0.90672487558244486</v>
      </c>
      <c r="O83" s="9">
        <f t="shared" si="81"/>
        <v>0.90785056337767944</v>
      </c>
      <c r="P83" s="9">
        <f t="shared" si="81"/>
        <v>0.90897764870048436</v>
      </c>
      <c r="Q83" s="9">
        <f t="shared" si="81"/>
        <v>0.91010613328587298</v>
      </c>
      <c r="R83" s="9">
        <f t="shared" si="81"/>
        <v>0.91123601887101269</v>
      </c>
      <c r="S83" s="9">
        <f t="shared" si="81"/>
        <v>0.91236730719522718</v>
      </c>
      <c r="T83" s="9">
        <f t="shared" si="81"/>
        <v>0.91349999999999998</v>
      </c>
      <c r="U83" s="9">
        <f t="shared" si="81"/>
        <v>0.91463409902897641</v>
      </c>
      <c r="V83" s="9">
        <f t="shared" si="81"/>
        <v>0.91576960602796664</v>
      </c>
      <c r="W83" s="9">
        <f t="shared" si="81"/>
        <v>0.91690652274494777</v>
      </c>
      <c r="X83" s="9">
        <f t="shared" si="81"/>
        <v>0.91804485093006793</v>
      </c>
      <c r="Y83" s="9">
        <f t="shared" si="81"/>
        <v>0.91918459233564709</v>
      </c>
      <c r="Z83" s="9">
        <f t="shared" si="81"/>
        <v>0.92032574871618134</v>
      </c>
      <c r="AA83" s="9">
        <f t="shared" si="81"/>
        <v>0.92146832182834459</v>
      </c>
      <c r="AB83" s="9">
        <f t="shared" si="81"/>
        <v>0.92261231343099159</v>
      </c>
      <c r="AC83" s="9">
        <f t="shared" si="81"/>
        <v>0.92375772528516087</v>
      </c>
      <c r="AD83" s="9">
        <f t="shared" si="81"/>
        <v>0.92490455915407777</v>
      </c>
      <c r="AE83" s="9">
        <f t="shared" si="81"/>
        <v>0.92605281680315554</v>
      </c>
      <c r="AF83" s="9">
        <f t="shared" si="81"/>
        <v>0.92720249999999982</v>
      </c>
      <c r="AG83" s="9">
        <f t="shared" si="81"/>
        <v>0.9283536105144109</v>
      </c>
      <c r="AH83" s="9">
        <f t="shared" si="81"/>
        <v>0.929506150118386</v>
      </c>
      <c r="AI83" s="9">
        <f t="shared" si="81"/>
        <v>0.93066012058612191</v>
      </c>
      <c r="AJ83" s="9">
        <f t="shared" si="81"/>
        <v>0.93181552369401899</v>
      </c>
      <c r="AK83" s="9">
        <f t="shared" si="81"/>
        <v>0.93297236122068172</v>
      </c>
      <c r="AL83" s="9">
        <f t="shared" si="81"/>
        <v>0.93413063494692405</v>
      </c>
      <c r="AM83" s="9">
        <f t="shared" si="81"/>
        <v>0.93529034665576949</v>
      </c>
      <c r="AN83" s="9">
        <f t="shared" si="81"/>
        <v>0.93645149813245632</v>
      </c>
      <c r="AO83" s="9">
        <f t="shared" si="81"/>
        <v>0.93761409116443839</v>
      </c>
      <c r="AP83" s="9">
        <f t="shared" si="81"/>
        <v>0.93877812754138867</v>
      </c>
      <c r="AQ83" s="9">
        <f t="shared" si="81"/>
        <v>0.9399436090552028</v>
      </c>
    </row>
    <row r="84" spans="1:43" hidden="1" outlineLevel="5" collapsed="1">
      <c r="A84" s="2"/>
      <c r="B84" s="2"/>
      <c r="C84" s="2"/>
      <c r="D84" s="2"/>
      <c r="E84" s="2"/>
      <c r="F84" s="2" t="s">
        <v>391</v>
      </c>
      <c r="G84" s="2"/>
      <c r="H84" s="9">
        <f>0.05</f>
        <v>0.05</v>
      </c>
      <c r="I84" s="9">
        <f t="shared" ref="I84:AQ84" si="82">H84+I85-I86</f>
        <v>5.9337733927516255E-2</v>
      </c>
      <c r="J84" s="9">
        <f t="shared" si="82"/>
        <v>6.8713294844593556E-2</v>
      </c>
      <c r="K84" s="9">
        <f t="shared" si="82"/>
        <v>7.8126776042792861E-2</v>
      </c>
      <c r="L84" s="9">
        <f t="shared" si="82"/>
        <v>8.7578271043757261E-2</v>
      </c>
      <c r="M84" s="9">
        <f t="shared" si="82"/>
        <v>9.7067873599779433E-2</v>
      </c>
      <c r="N84" s="9">
        <f t="shared" si="82"/>
        <v>0.10659567769437052</v>
      </c>
      <c r="O84" s="9">
        <f t="shared" si="82"/>
        <v>0.11616177754283036</v>
      </c>
      <c r="P84" s="9">
        <f t="shared" si="82"/>
        <v>0.12576626759281911</v>
      </c>
      <c r="Q84" s="9">
        <f t="shared" si="82"/>
        <v>0.13540924252493036</v>
      </c>
      <c r="R84" s="9">
        <f t="shared" si="82"/>
        <v>0.14509079725326557</v>
      </c>
      <c r="S84" s="9">
        <f t="shared" si="82"/>
        <v>0.15481102692601001</v>
      </c>
      <c r="T84" s="9">
        <f t="shared" si="82"/>
        <v>0.16457002692601</v>
      </c>
      <c r="U84" s="9">
        <f t="shared" si="82"/>
        <v>0.17436789287135174</v>
      </c>
      <c r="V84" s="9">
        <f t="shared" si="82"/>
        <v>0.18420472061594137</v>
      </c>
      <c r="W84" s="9">
        <f t="shared" si="82"/>
        <v>0.19408060625008666</v>
      </c>
      <c r="X84" s="9">
        <f t="shared" si="82"/>
        <v>0.20399564610107998</v>
      </c>
      <c r="Y84" s="9">
        <f t="shared" si="82"/>
        <v>0.21394993673378282</v>
      </c>
      <c r="Z84" s="9">
        <f t="shared" si="82"/>
        <v>0.22394357495121164</v>
      </c>
      <c r="AA84" s="9">
        <f t="shared" si="82"/>
        <v>0.23397665779512528</v>
      </c>
      <c r="AB84" s="9">
        <f t="shared" si="82"/>
        <v>0.24404928254661368</v>
      </c>
      <c r="AC84" s="9">
        <f t="shared" si="82"/>
        <v>0.25416154672668828</v>
      </c>
      <c r="AD84" s="9">
        <f t="shared" si="82"/>
        <v>0.26431354809687357</v>
      </c>
      <c r="AE84" s="9">
        <f t="shared" si="82"/>
        <v>0.27450538465980034</v>
      </c>
      <c r="AF84" s="9">
        <f t="shared" si="82"/>
        <v>0.28473715465980032</v>
      </c>
      <c r="AG84" s="9">
        <f t="shared" si="82"/>
        <v>0.29500895658350229</v>
      </c>
      <c r="AH84" s="9">
        <f t="shared" si="82"/>
        <v>0.3053208891604296</v>
      </c>
      <c r="AI84" s="9">
        <f t="shared" si="82"/>
        <v>0.31567305136359924</v>
      </c>
      <c r="AJ84" s="9">
        <f t="shared" si="82"/>
        <v>0.32606554241012237</v>
      </c>
      <c r="AK84" s="9">
        <f t="shared" si="82"/>
        <v>0.33649846176180631</v>
      </c>
      <c r="AL84" s="9">
        <f t="shared" si="82"/>
        <v>0.34697190912575798</v>
      </c>
      <c r="AM84" s="9">
        <f t="shared" si="82"/>
        <v>0.35748598445498903</v>
      </c>
      <c r="AN84" s="9">
        <f t="shared" si="82"/>
        <v>0.36804078794902206</v>
      </c>
      <c r="AO84" s="9">
        <f t="shared" si="82"/>
        <v>0.37863642005449888</v>
      </c>
      <c r="AP84" s="9">
        <f t="shared" si="82"/>
        <v>0.3892729814657897</v>
      </c>
      <c r="AQ84" s="9">
        <f t="shared" si="82"/>
        <v>0.39995057312560428</v>
      </c>
    </row>
    <row r="85" spans="1:43" hidden="1" outlineLevel="6">
      <c r="A85" s="2"/>
      <c r="B85" s="2"/>
      <c r="C85" s="2"/>
      <c r="D85" s="2"/>
      <c r="E85" s="2"/>
      <c r="F85" s="2"/>
      <c r="G85" s="2" t="s">
        <v>184</v>
      </c>
      <c r="H85" s="9">
        <f t="shared" ref="H85:AQ85" si="83">western_private_coverage_additions*(1+western_private_coverage_additions_growth)^((COLUMN()-8)/12)</f>
        <v>1.5299999999999999E-2</v>
      </c>
      <c r="I85" s="9">
        <f t="shared" si="83"/>
        <v>1.5337733927516245E-2</v>
      </c>
      <c r="J85" s="9">
        <f t="shared" si="83"/>
        <v>1.5375560917077312E-2</v>
      </c>
      <c r="K85" s="9">
        <f t="shared" si="83"/>
        <v>1.5413481198199313E-2</v>
      </c>
      <c r="L85" s="9">
        <f t="shared" si="83"/>
        <v>1.5451495000964401E-2</v>
      </c>
      <c r="M85" s="9">
        <f t="shared" si="83"/>
        <v>1.548960255602218E-2</v>
      </c>
      <c r="N85" s="9">
        <f t="shared" si="83"/>
        <v>1.5527804094591095E-2</v>
      </c>
      <c r="O85" s="9">
        <f t="shared" si="83"/>
        <v>1.5566099848459837E-2</v>
      </c>
      <c r="P85" s="9">
        <f t="shared" si="83"/>
        <v>1.5604490049988753E-2</v>
      </c>
      <c r="Q85" s="9">
        <f t="shared" si="83"/>
        <v>1.5642974932111253E-2</v>
      </c>
      <c r="R85" s="9">
        <f t="shared" si="83"/>
        <v>1.5681554728335222E-2</v>
      </c>
      <c r="S85" s="9">
        <f t="shared" si="83"/>
        <v>1.5720229672744439E-2</v>
      </c>
      <c r="T85" s="9">
        <f t="shared" si="83"/>
        <v>1.5758999999999999E-2</v>
      </c>
      <c r="U85" s="9">
        <f t="shared" si="83"/>
        <v>1.5797865945341733E-2</v>
      </c>
      <c r="V85" s="9">
        <f t="shared" si="83"/>
        <v>1.5836827744589634E-2</v>
      </c>
      <c r="W85" s="9">
        <f t="shared" si="83"/>
        <v>1.5875885634145295E-2</v>
      </c>
      <c r="X85" s="9">
        <f t="shared" si="83"/>
        <v>1.5915039850993334E-2</v>
      </c>
      <c r="Y85" s="9">
        <f t="shared" si="83"/>
        <v>1.5954290632702848E-2</v>
      </c>
      <c r="Z85" s="9">
        <f t="shared" si="83"/>
        <v>1.5993638217428829E-2</v>
      </c>
      <c r="AA85" s="9">
        <f t="shared" si="83"/>
        <v>1.6033082843913634E-2</v>
      </c>
      <c r="AB85" s="9">
        <f t="shared" si="83"/>
        <v>1.6072624751488417E-2</v>
      </c>
      <c r="AC85" s="9">
        <f t="shared" si="83"/>
        <v>1.6112264180074592E-2</v>
      </c>
      <c r="AD85" s="9">
        <f t="shared" si="83"/>
        <v>1.6152001370185281E-2</v>
      </c>
      <c r="AE85" s="9">
        <f t="shared" si="83"/>
        <v>1.6191836562926772E-2</v>
      </c>
      <c r="AF85" s="9">
        <f t="shared" si="83"/>
        <v>1.623177E-2</v>
      </c>
      <c r="AG85" s="9">
        <f t="shared" si="83"/>
        <v>1.6271801923701982E-2</v>
      </c>
      <c r="AH85" s="9">
        <f t="shared" si="83"/>
        <v>1.6311932576927323E-2</v>
      </c>
      <c r="AI85" s="9">
        <f t="shared" si="83"/>
        <v>1.6352162203169651E-2</v>
      </c>
      <c r="AJ85" s="9">
        <f t="shared" si="83"/>
        <v>1.6392491046523138E-2</v>
      </c>
      <c r="AK85" s="9">
        <f t="shared" si="83"/>
        <v>1.6432919351683933E-2</v>
      </c>
      <c r="AL85" s="9">
        <f t="shared" si="83"/>
        <v>1.6473447363951694E-2</v>
      </c>
      <c r="AM85" s="9">
        <f t="shared" si="83"/>
        <v>1.6514075329231041E-2</v>
      </c>
      <c r="AN85" s="9">
        <f t="shared" si="83"/>
        <v>1.6554803494033071E-2</v>
      </c>
      <c r="AO85" s="9">
        <f t="shared" si="83"/>
        <v>1.6595632105476828E-2</v>
      </c>
      <c r="AP85" s="9">
        <f t="shared" si="83"/>
        <v>1.6636561411290839E-2</v>
      </c>
      <c r="AQ85" s="9">
        <f t="shared" si="83"/>
        <v>1.6677591659814577E-2</v>
      </c>
    </row>
    <row r="86" spans="1:43" hidden="1" outlineLevel="6">
      <c r="A86" s="2"/>
      <c r="B86" s="2"/>
      <c r="C86" s="2"/>
      <c r="D86" s="2"/>
      <c r="E86" s="2"/>
      <c r="F86" s="2"/>
      <c r="G86" s="2" t="s">
        <v>392</v>
      </c>
      <c r="H86" s="9">
        <f t="shared" ref="H86:AQ86" si="84">western_private_coverage_churn*(1+western_private_coverage_churn_growth)^((COLUMN()-8)/12)</f>
        <v>6.0000000000000001E-3</v>
      </c>
      <c r="I86" s="9">
        <f t="shared" si="84"/>
        <v>6.0000000000000001E-3</v>
      </c>
      <c r="J86" s="9">
        <f t="shared" si="84"/>
        <v>6.0000000000000001E-3</v>
      </c>
      <c r="K86" s="9">
        <f t="shared" si="84"/>
        <v>6.0000000000000001E-3</v>
      </c>
      <c r="L86" s="9">
        <f t="shared" si="84"/>
        <v>6.0000000000000001E-3</v>
      </c>
      <c r="M86" s="9">
        <f t="shared" si="84"/>
        <v>6.0000000000000001E-3</v>
      </c>
      <c r="N86" s="9">
        <f t="shared" si="84"/>
        <v>6.0000000000000001E-3</v>
      </c>
      <c r="O86" s="9">
        <f t="shared" si="84"/>
        <v>6.0000000000000001E-3</v>
      </c>
      <c r="P86" s="9">
        <f t="shared" si="84"/>
        <v>6.0000000000000001E-3</v>
      </c>
      <c r="Q86" s="9">
        <f t="shared" si="84"/>
        <v>6.0000000000000001E-3</v>
      </c>
      <c r="R86" s="9">
        <f t="shared" si="84"/>
        <v>6.0000000000000001E-3</v>
      </c>
      <c r="S86" s="9">
        <f t="shared" si="84"/>
        <v>6.0000000000000001E-3</v>
      </c>
      <c r="T86" s="9">
        <f t="shared" si="84"/>
        <v>6.0000000000000001E-3</v>
      </c>
      <c r="U86" s="9">
        <f t="shared" si="84"/>
        <v>6.0000000000000001E-3</v>
      </c>
      <c r="V86" s="9">
        <f t="shared" si="84"/>
        <v>6.0000000000000001E-3</v>
      </c>
      <c r="W86" s="9">
        <f t="shared" si="84"/>
        <v>6.0000000000000001E-3</v>
      </c>
      <c r="X86" s="9">
        <f t="shared" si="84"/>
        <v>6.0000000000000001E-3</v>
      </c>
      <c r="Y86" s="9">
        <f t="shared" si="84"/>
        <v>6.0000000000000001E-3</v>
      </c>
      <c r="Z86" s="9">
        <f t="shared" si="84"/>
        <v>6.0000000000000001E-3</v>
      </c>
      <c r="AA86" s="9">
        <f t="shared" si="84"/>
        <v>6.0000000000000001E-3</v>
      </c>
      <c r="AB86" s="9">
        <f t="shared" si="84"/>
        <v>6.0000000000000001E-3</v>
      </c>
      <c r="AC86" s="9">
        <f t="shared" si="84"/>
        <v>6.0000000000000001E-3</v>
      </c>
      <c r="AD86" s="9">
        <f t="shared" si="84"/>
        <v>6.0000000000000001E-3</v>
      </c>
      <c r="AE86" s="9">
        <f t="shared" si="84"/>
        <v>6.0000000000000001E-3</v>
      </c>
      <c r="AF86" s="9">
        <f t="shared" si="84"/>
        <v>6.0000000000000001E-3</v>
      </c>
      <c r="AG86" s="9">
        <f t="shared" si="84"/>
        <v>6.0000000000000001E-3</v>
      </c>
      <c r="AH86" s="9">
        <f t="shared" si="84"/>
        <v>6.0000000000000001E-3</v>
      </c>
      <c r="AI86" s="9">
        <f t="shared" si="84"/>
        <v>6.0000000000000001E-3</v>
      </c>
      <c r="AJ86" s="9">
        <f t="shared" si="84"/>
        <v>6.0000000000000001E-3</v>
      </c>
      <c r="AK86" s="9">
        <f t="shared" si="84"/>
        <v>6.0000000000000001E-3</v>
      </c>
      <c r="AL86" s="9">
        <f t="shared" si="84"/>
        <v>6.0000000000000001E-3</v>
      </c>
      <c r="AM86" s="9">
        <f t="shared" si="84"/>
        <v>6.0000000000000001E-3</v>
      </c>
      <c r="AN86" s="9">
        <f t="shared" si="84"/>
        <v>6.0000000000000001E-3</v>
      </c>
      <c r="AO86" s="9">
        <f t="shared" si="84"/>
        <v>6.0000000000000001E-3</v>
      </c>
      <c r="AP86" s="9">
        <f t="shared" si="84"/>
        <v>6.0000000000000001E-3</v>
      </c>
      <c r="AQ86" s="9">
        <f t="shared" si="84"/>
        <v>6.0000000000000001E-3</v>
      </c>
    </row>
    <row r="87" spans="1:43" hidden="1" outlineLevel="4">
      <c r="A87" s="2"/>
      <c r="B87" s="2"/>
      <c r="C87" s="2"/>
      <c r="D87" s="2"/>
      <c r="E87" s="2" t="s">
        <v>393</v>
      </c>
      <c r="F87" s="2"/>
      <c r="G87" s="2"/>
      <c r="H87" s="9">
        <f t="shared" ref="H87:AQ87" si="85">western_private_net_price_per_dose*(1+western_private_net_price_per_dose_growth)^((COLUMN()-8)/12)</f>
        <v>102000</v>
      </c>
      <c r="I87" s="9">
        <f t="shared" si="85"/>
        <v>102292.83166934582</v>
      </c>
      <c r="J87" s="9">
        <f t="shared" si="85"/>
        <v>102586.50402875606</v>
      </c>
      <c r="K87" s="9">
        <f t="shared" si="85"/>
        <v>102881.01949176677</v>
      </c>
      <c r="L87" s="9">
        <f t="shared" si="85"/>
        <v>103176.38047884297</v>
      </c>
      <c r="M87" s="9">
        <f t="shared" si="85"/>
        <v>103472.58941739865</v>
      </c>
      <c r="N87" s="9">
        <f t="shared" si="85"/>
        <v>103769.64874181661</v>
      </c>
      <c r="O87" s="9">
        <f t="shared" si="85"/>
        <v>104067.56089346852</v>
      </c>
      <c r="P87" s="9">
        <f t="shared" si="85"/>
        <v>104366.32832073499</v>
      </c>
      <c r="Q87" s="9">
        <f t="shared" si="85"/>
        <v>104665.95347902573</v>
      </c>
      <c r="R87" s="9">
        <f t="shared" si="85"/>
        <v>104966.4388307996</v>
      </c>
      <c r="S87" s="9">
        <f t="shared" si="85"/>
        <v>105267.78684558497</v>
      </c>
      <c r="T87" s="9">
        <f t="shared" si="85"/>
        <v>105569.99999999999</v>
      </c>
      <c r="U87" s="9">
        <f t="shared" si="85"/>
        <v>105873.08077777292</v>
      </c>
      <c r="V87" s="9">
        <f t="shared" si="85"/>
        <v>106177.03166976252</v>
      </c>
      <c r="W87" s="9">
        <f t="shared" si="85"/>
        <v>106481.85517397858</v>
      </c>
      <c r="X87" s="9">
        <f t="shared" si="85"/>
        <v>106787.55379560246</v>
      </c>
      <c r="Y87" s="9">
        <f t="shared" si="85"/>
        <v>107094.13004700759</v>
      </c>
      <c r="Z87" s="9">
        <f t="shared" si="85"/>
        <v>107401.58644778018</v>
      </c>
      <c r="AA87" s="9">
        <f t="shared" si="85"/>
        <v>107709.9255247399</v>
      </c>
      <c r="AB87" s="9">
        <f t="shared" si="85"/>
        <v>108019.14981196071</v>
      </c>
      <c r="AC87" s="9">
        <f t="shared" si="85"/>
        <v>108329.26185079162</v>
      </c>
      <c r="AD87" s="9">
        <f t="shared" si="85"/>
        <v>108640.26418987756</v>
      </c>
      <c r="AE87" s="9">
        <f t="shared" si="85"/>
        <v>108952.15938518045</v>
      </c>
      <c r="AF87" s="9">
        <f t="shared" si="85"/>
        <v>109264.94999999998</v>
      </c>
      <c r="AG87" s="9">
        <f t="shared" si="85"/>
        <v>109578.63860499495</v>
      </c>
      <c r="AH87" s="9">
        <f t="shared" si="85"/>
        <v>109893.22777820418</v>
      </c>
      <c r="AI87" s="9">
        <f t="shared" si="85"/>
        <v>110208.72010506784</v>
      </c>
      <c r="AJ87" s="9">
        <f t="shared" si="85"/>
        <v>110525.11817844855</v>
      </c>
      <c r="AK87" s="9">
        <f t="shared" si="85"/>
        <v>110842.42459865284</v>
      </c>
      <c r="AL87" s="9">
        <f t="shared" si="85"/>
        <v>111160.64197345247</v>
      </c>
      <c r="AM87" s="9">
        <f t="shared" si="85"/>
        <v>111479.77291810579</v>
      </c>
      <c r="AN87" s="9">
        <f t="shared" si="85"/>
        <v>111799.82005537931</v>
      </c>
      <c r="AO87" s="9">
        <f t="shared" si="85"/>
        <v>112120.78601556932</v>
      </c>
      <c r="AP87" s="9">
        <f t="shared" si="85"/>
        <v>112442.67343652328</v>
      </c>
      <c r="AQ87" s="9">
        <f t="shared" si="85"/>
        <v>112765.48496366174</v>
      </c>
    </row>
    <row r="88" spans="1:43" hidden="1" outlineLevel="3" collapsed="1">
      <c r="A88" s="2"/>
      <c r="B88" s="2"/>
      <c r="C88" s="2"/>
      <c r="D88" s="2" t="s">
        <v>394</v>
      </c>
      <c r="E88" s="2"/>
      <c r="F88" s="2"/>
      <c r="G88" s="2"/>
      <c r="H88" s="9">
        <f t="shared" ref="H88:AQ88" si="86">(H89*H98)</f>
        <v>291455.90306355595</v>
      </c>
      <c r="I88" s="9">
        <f t="shared" si="86"/>
        <v>331315.67576497851</v>
      </c>
      <c r="J88" s="9">
        <f t="shared" si="86"/>
        <v>372570.84984991921</v>
      </c>
      <c r="K88" s="9">
        <f t="shared" si="86"/>
        <v>415259.56780302647</v>
      </c>
      <c r="L88" s="9">
        <f t="shared" si="86"/>
        <v>459420.9054717602</v>
      </c>
      <c r="M88" s="9">
        <f t="shared" si="86"/>
        <v>505094.89349512168</v>
      </c>
      <c r="N88" s="9">
        <f t="shared" si="86"/>
        <v>552322.53920422576</v>
      </c>
      <c r="O88" s="9">
        <f t="shared" si="86"/>
        <v>601145.84900479729</v>
      </c>
      <c r="P88" s="9">
        <f t="shared" si="86"/>
        <v>651607.85125189566</v>
      </c>
      <c r="Q88" s="9">
        <f t="shared" si="86"/>
        <v>703752.61962737248</v>
      </c>
      <c r="R88" s="9">
        <f t="shared" si="86"/>
        <v>757625.29703079863</v>
      </c>
      <c r="S88" s="9">
        <f t="shared" si="86"/>
        <v>813272.11999482079</v>
      </c>
      <c r="T88" s="9">
        <f t="shared" si="86"/>
        <v>870740.44363612251</v>
      </c>
      <c r="U88" s="9">
        <f t="shared" si="86"/>
        <v>930078.76715342025</v>
      </c>
      <c r="V88" s="9">
        <f t="shared" si="86"/>
        <v>991336.75988414208</v>
      </c>
      <c r="W88" s="9">
        <f t="shared" si="86"/>
        <v>1054565.287931694</v>
      </c>
      <c r="X88" s="9">
        <f t="shared" si="86"/>
        <v>1119816.4413754642</v>
      </c>
      <c r="Y88" s="9">
        <f t="shared" si="86"/>
        <v>1187143.5620759549</v>
      </c>
      <c r="Z88" s="9">
        <f t="shared" si="86"/>
        <v>1256601.2720877228</v>
      </c>
      <c r="AA88" s="9">
        <f t="shared" si="86"/>
        <v>1328245.5026930266</v>
      </c>
      <c r="AB88" s="9">
        <f t="shared" si="86"/>
        <v>1402133.5240693982</v>
      </c>
      <c r="AC88" s="9">
        <f t="shared" si="86"/>
        <v>1478323.9756045863</v>
      </c>
      <c r="AD88" s="9">
        <f t="shared" si="86"/>
        <v>1556876.8968726334</v>
      </c>
      <c r="AE88" s="9">
        <f t="shared" si="86"/>
        <v>1637853.759285108</v>
      </c>
      <c r="AF88" s="9">
        <f t="shared" si="86"/>
        <v>1721317.4984318311</v>
      </c>
      <c r="AG88" s="9">
        <f t="shared" si="86"/>
        <v>1807332.5471257111</v>
      </c>
      <c r="AH88" s="9">
        <f t="shared" si="86"/>
        <v>1895964.8691666147</v>
      </c>
      <c r="AI88" s="9">
        <f t="shared" si="86"/>
        <v>1987281.9938395135</v>
      </c>
      <c r="AJ88" s="9">
        <f t="shared" si="86"/>
        <v>2081353.0511624664</v>
      </c>
      <c r="AK88" s="9">
        <f t="shared" si="86"/>
        <v>2178248.807900297</v>
      </c>
      <c r="AL88" s="9">
        <f t="shared" si="86"/>
        <v>2278041.7043602006</v>
      </c>
      <c r="AM88" s="9">
        <f t="shared" si="86"/>
        <v>2380805.8919857973</v>
      </c>
      <c r="AN88" s="9">
        <f t="shared" si="86"/>
        <v>2486617.2717665187</v>
      </c>
      <c r="AO88" s="9">
        <f t="shared" si="86"/>
        <v>2595553.533479603</v>
      </c>
      <c r="AP88" s="9">
        <f t="shared" si="86"/>
        <v>2707694.1957822251</v>
      </c>
      <c r="AQ88" s="9">
        <f t="shared" si="86"/>
        <v>2823120.6471717912</v>
      </c>
    </row>
    <row r="89" spans="1:43" hidden="1" outlineLevel="4" collapsed="1">
      <c r="A89" s="2"/>
      <c r="B89" s="2"/>
      <c r="C89" s="2"/>
      <c r="D89" s="2"/>
      <c r="E89" s="2" t="s">
        <v>395</v>
      </c>
      <c r="F89" s="2"/>
      <c r="G89" s="2"/>
      <c r="H89" s="9">
        <f t="shared" ref="H89:AQ89" si="87">(((((H90*H91)*H92)*H93)*H94)*H95)</f>
        <v>3.3119988984494997</v>
      </c>
      <c r="I89" s="9">
        <f t="shared" si="87"/>
        <v>3.7541730104786892</v>
      </c>
      <c r="J89" s="9">
        <f t="shared" si="87"/>
        <v>4.2095545524415687</v>
      </c>
      <c r="K89" s="9">
        <f t="shared" si="87"/>
        <v>4.6784488755190328</v>
      </c>
      <c r="L89" s="9">
        <f t="shared" si="87"/>
        <v>5.1611676287464467</v>
      </c>
      <c r="M89" s="9">
        <f t="shared" si="87"/>
        <v>5.6580288806418375</v>
      </c>
      <c r="N89" s="9">
        <f t="shared" si="87"/>
        <v>6.1693572430841597</v>
      </c>
      <c r="O89" s="9">
        <f t="shared" si="87"/>
        <v>6.6954839974819498</v>
      </c>
      <c r="P89" s="9">
        <f t="shared" si="87"/>
        <v>7.2367472232735404</v>
      </c>
      <c r="Q89" s="9">
        <f t="shared" si="87"/>
        <v>7.79349192880054</v>
      </c>
      <c r="R89" s="9">
        <f t="shared" si="87"/>
        <v>8.3660701845972021</v>
      </c>
      <c r="S89" s="9">
        <f t="shared" si="87"/>
        <v>8.9548412591389415</v>
      </c>
      <c r="T89" s="9">
        <f t="shared" si="87"/>
        <v>9.560171757094011</v>
      </c>
      <c r="U89" s="9">
        <f t="shared" si="87"/>
        <v>10.182435760123225</v>
      </c>
      <c r="V89" s="9">
        <f t="shared" si="87"/>
        <v>10.822014970273246</v>
      </c>
      <c r="W89" s="9">
        <f t="shared" si="87"/>
        <v>11.479298856009892</v>
      </c>
      <c r="X89" s="9">
        <f t="shared" si="87"/>
        <v>12.154684800938705</v>
      </c>
      <c r="Y89" s="9">
        <f t="shared" si="87"/>
        <v>12.848578255260657</v>
      </c>
      <c r="Z89" s="9">
        <f t="shared" si="87"/>
        <v>13.561392890012151</v>
      </c>
      <c r="AA89" s="9">
        <f t="shared" si="87"/>
        <v>14.293550754138723</v>
      </c>
      <c r="AB89" s="9">
        <f t="shared" si="87"/>
        <v>15.045482434453341</v>
      </c>
      <c r="AC89" s="9">
        <f t="shared" si="87"/>
        <v>15.817627218530571</v>
      </c>
      <c r="AD89" s="9">
        <f t="shared" si="87"/>
        <v>16.610433260589144</v>
      </c>
      <c r="AE89" s="9">
        <f t="shared" si="87"/>
        <v>17.424357750416096</v>
      </c>
      <c r="AF89" s="9">
        <f t="shared" si="87"/>
        <v>18.259867085386858</v>
      </c>
      <c r="AG89" s="9">
        <f t="shared" si="87"/>
        <v>19.117437045636358</v>
      </c>
      <c r="AH89" s="9">
        <f t="shared" si="87"/>
        <v>19.997552972437315</v>
      </c>
      <c r="AI89" s="9">
        <f t="shared" si="87"/>
        <v>20.900709949842838</v>
      </c>
      <c r="AJ89" s="9">
        <f t="shared" si="87"/>
        <v>21.827412989651549</v>
      </c>
      <c r="AK89" s="9">
        <f t="shared" si="87"/>
        <v>22.778177219754088</v>
      </c>
      <c r="AL89" s="9">
        <f t="shared" si="87"/>
        <v>23.753528075921572</v>
      </c>
      <c r="AM89" s="9">
        <f t="shared" si="87"/>
        <v>24.754001497096873</v>
      </c>
      <c r="AN89" s="9">
        <f t="shared" si="87"/>
        <v>25.780144124251034</v>
      </c>
      <c r="AO89" s="9">
        <f t="shared" si="87"/>
        <v>26.832513502868505</v>
      </c>
      <c r="AP89" s="9">
        <f t="shared" si="87"/>
        <v>27.911678289125163</v>
      </c>
      <c r="AQ89" s="9">
        <f t="shared" si="87"/>
        <v>29.018218459825171</v>
      </c>
    </row>
    <row r="90" spans="1:43" hidden="1" outlineLevel="5">
      <c r="A90" s="2"/>
      <c r="B90" s="2"/>
      <c r="C90" s="2"/>
      <c r="D90" s="2"/>
      <c r="E90" s="2"/>
      <c r="F90" s="2" t="s">
        <v>351</v>
      </c>
      <c r="G90" s="2"/>
      <c r="H90" s="9">
        <f t="shared" ref="H90:AQ90" si="88">H37</f>
        <v>11484.348749999999</v>
      </c>
      <c r="I90" s="9">
        <f t="shared" si="88"/>
        <v>11510.042575199832</v>
      </c>
      <c r="J90" s="9">
        <f t="shared" si="88"/>
        <v>11535.793884952576</v>
      </c>
      <c r="K90" s="9">
        <f t="shared" si="88"/>
        <v>11561.602807867881</v>
      </c>
      <c r="L90" s="9">
        <f t="shared" si="88"/>
        <v>11587.469472843139</v>
      </c>
      <c r="M90" s="9">
        <f t="shared" si="88"/>
        <v>11613.394009064104</v>
      </c>
      <c r="N90" s="9">
        <f t="shared" si="88"/>
        <v>11639.376546005584</v>
      </c>
      <c r="O90" s="9">
        <f t="shared" si="88"/>
        <v>11665.417213432027</v>
      </c>
      <c r="P90" s="9">
        <f t="shared" si="88"/>
        <v>11691.516141398233</v>
      </c>
      <c r="Q90" s="9">
        <f t="shared" si="88"/>
        <v>11717.673460249951</v>
      </c>
      <c r="R90" s="9">
        <f t="shared" si="88"/>
        <v>11743.889300624562</v>
      </c>
      <c r="S90" s="9">
        <f t="shared" si="88"/>
        <v>11770.163793451717</v>
      </c>
      <c r="T90" s="9">
        <f t="shared" si="88"/>
        <v>11796.497069953994</v>
      </c>
      <c r="U90" s="9">
        <f t="shared" si="88"/>
        <v>11822.889261647555</v>
      </c>
      <c r="V90" s="9">
        <f t="shared" si="88"/>
        <v>11849.340500342805</v>
      </c>
      <c r="W90" s="9">
        <f t="shared" si="88"/>
        <v>11875.850918145039</v>
      </c>
      <c r="X90" s="9">
        <f t="shared" si="88"/>
        <v>11902.420647455127</v>
      </c>
      <c r="Y90" s="9">
        <f t="shared" si="88"/>
        <v>11929.049820970127</v>
      </c>
      <c r="Z90" s="9">
        <f t="shared" si="88"/>
        <v>11955.738571684016</v>
      </c>
      <c r="AA90" s="9">
        <f t="shared" si="88"/>
        <v>11982.48703288829</v>
      </c>
      <c r="AB90" s="9">
        <f t="shared" si="88"/>
        <v>12009.295338172666</v>
      </c>
      <c r="AC90" s="9">
        <f t="shared" si="88"/>
        <v>12036.163621425747</v>
      </c>
      <c r="AD90" s="9">
        <f t="shared" si="88"/>
        <v>12063.092016835672</v>
      </c>
      <c r="AE90" s="9">
        <f t="shared" si="88"/>
        <v>12090.080658890804</v>
      </c>
      <c r="AF90" s="9">
        <f t="shared" si="88"/>
        <v>12117.129682380391</v>
      </c>
      <c r="AG90" s="9">
        <f t="shared" si="88"/>
        <v>12144.239222395257</v>
      </c>
      <c r="AH90" s="9">
        <f t="shared" si="88"/>
        <v>12171.409414328442</v>
      </c>
      <c r="AI90" s="9">
        <f t="shared" si="88"/>
        <v>12198.640393875916</v>
      </c>
      <c r="AJ90" s="9">
        <f t="shared" si="88"/>
        <v>12225.932297037245</v>
      </c>
      <c r="AK90" s="9">
        <f t="shared" si="88"/>
        <v>12253.285260116236</v>
      </c>
      <c r="AL90" s="9">
        <f t="shared" si="88"/>
        <v>12280.699419721677</v>
      </c>
      <c r="AM90" s="9">
        <f t="shared" si="88"/>
        <v>12308.174912767992</v>
      </c>
      <c r="AN90" s="9">
        <f t="shared" si="88"/>
        <v>12335.711876475885</v>
      </c>
      <c r="AO90" s="9">
        <f t="shared" si="88"/>
        <v>12363.310448373108</v>
      </c>
      <c r="AP90" s="9">
        <f t="shared" si="88"/>
        <v>12390.970766295077</v>
      </c>
      <c r="AQ90" s="9">
        <f t="shared" si="88"/>
        <v>12418.692968385587</v>
      </c>
    </row>
    <row r="91" spans="1:43" hidden="1" outlineLevel="5">
      <c r="A91" s="2"/>
      <c r="B91" s="2"/>
      <c r="C91" s="2"/>
      <c r="D91" s="2"/>
      <c r="E91" s="2"/>
      <c r="F91" s="2" t="s">
        <v>396</v>
      </c>
      <c r="G91" s="2"/>
      <c r="H91" s="9">
        <f t="shared" ref="H91:AQ91" si="89">eastern_private_eligibility_rate*(1+eastern_private_eligibility_rate_growth)^((COLUMN()-8)/12)</f>
        <v>1.7999999999999999E-2</v>
      </c>
      <c r="I91" s="9">
        <f t="shared" si="89"/>
        <v>1.8087615910176172E-2</v>
      </c>
      <c r="J91" s="9">
        <f t="shared" si="89"/>
        <v>1.8175658295225459E-2</v>
      </c>
      <c r="K91" s="9">
        <f t="shared" si="89"/>
        <v>1.8264129231035865E-2</v>
      </c>
      <c r="L91" s="9">
        <f t="shared" si="89"/>
        <v>1.8353030803599891E-2</v>
      </c>
      <c r="M91" s="9">
        <f t="shared" si="89"/>
        <v>1.8442365109063715E-2</v>
      </c>
      <c r="N91" s="9">
        <f t="shared" si="89"/>
        <v>1.8532134253776599E-2</v>
      </c>
      <c r="O91" s="9">
        <f t="shared" si="89"/>
        <v>1.8622340354340582E-2</v>
      </c>
      <c r="P91" s="9">
        <f t="shared" si="89"/>
        <v>1.8712985537660362E-2</v>
      </c>
      <c r="Q91" s="9">
        <f t="shared" si="89"/>
        <v>1.8804071940993459E-2</v>
      </c>
      <c r="R91" s="9">
        <f t="shared" si="89"/>
        <v>1.8895601712000592E-2</v>
      </c>
      <c r="S91" s="9">
        <f t="shared" si="89"/>
        <v>1.8987577008796337E-2</v>
      </c>
      <c r="T91" s="9">
        <f t="shared" si="89"/>
        <v>1.908E-2</v>
      </c>
      <c r="U91" s="9">
        <f t="shared" si="89"/>
        <v>1.9172872864786743E-2</v>
      </c>
      <c r="V91" s="9">
        <f t="shared" si="89"/>
        <v>1.9266197792938988E-2</v>
      </c>
      <c r="W91" s="9">
        <f t="shared" si="89"/>
        <v>1.9359976984898018E-2</v>
      </c>
      <c r="X91" s="9">
        <f t="shared" si="89"/>
        <v>1.9454212651815888E-2</v>
      </c>
      <c r="Y91" s="9">
        <f t="shared" si="89"/>
        <v>1.9548907015607537E-2</v>
      </c>
      <c r="Z91" s="9">
        <f t="shared" si="89"/>
        <v>1.9644062309003198E-2</v>
      </c>
      <c r="AA91" s="9">
        <f t="shared" si="89"/>
        <v>1.973968077560102E-2</v>
      </c>
      <c r="AB91" s="9">
        <f t="shared" si="89"/>
        <v>1.9835764669919986E-2</v>
      </c>
      <c r="AC91" s="9">
        <f t="shared" si="89"/>
        <v>1.9932316257453068E-2</v>
      </c>
      <c r="AD91" s="9">
        <f t="shared" si="89"/>
        <v>2.0029337814720629E-2</v>
      </c>
      <c r="AE91" s="9">
        <f t="shared" si="89"/>
        <v>2.0126831629324118E-2</v>
      </c>
      <c r="AF91" s="9">
        <f t="shared" si="89"/>
        <v>2.0224800000000001E-2</v>
      </c>
      <c r="AG91" s="9">
        <f t="shared" si="89"/>
        <v>2.0323245236673948E-2</v>
      </c>
      <c r="AH91" s="9">
        <f t="shared" si="89"/>
        <v>2.0422169660515327E-2</v>
      </c>
      <c r="AI91" s="9">
        <f t="shared" si="89"/>
        <v>2.0521575603991902E-2</v>
      </c>
      <c r="AJ91" s="9">
        <f t="shared" si="89"/>
        <v>2.0621465410924841E-2</v>
      </c>
      <c r="AK91" s="9">
        <f t="shared" si="89"/>
        <v>2.0721841436543993E-2</v>
      </c>
      <c r="AL91" s="9">
        <f t="shared" si="89"/>
        <v>2.0822706047543393E-2</v>
      </c>
      <c r="AM91" s="9">
        <f t="shared" si="89"/>
        <v>2.0924061622137082E-2</v>
      </c>
      <c r="AN91" s="9">
        <f t="shared" si="89"/>
        <v>2.1025910550115188E-2</v>
      </c>
      <c r="AO91" s="9">
        <f t="shared" si="89"/>
        <v>2.1128255232900253E-2</v>
      </c>
      <c r="AP91" s="9">
        <f t="shared" si="89"/>
        <v>2.1231098083603871E-2</v>
      </c>
      <c r="AQ91" s="9">
        <f t="shared" si="89"/>
        <v>2.1334441527083567E-2</v>
      </c>
    </row>
    <row r="92" spans="1:43" hidden="1" outlineLevel="5">
      <c r="A92" s="2"/>
      <c r="B92" s="2"/>
      <c r="C92" s="2"/>
      <c r="D92" s="2"/>
      <c r="E92" s="2"/>
      <c r="F92" s="2" t="s">
        <v>397</v>
      </c>
      <c r="G92" s="2"/>
      <c r="H92" s="9">
        <f t="shared" ref="H92:AQ92" si="90">eastern_private_provider_recommendation_rate*(1+eastern_private_provider_recommendation_rate_growth)^((COLUMN()-8)/12)</f>
        <v>0.46</v>
      </c>
      <c r="I92" s="9">
        <f t="shared" si="90"/>
        <v>0.46150592029981152</v>
      </c>
      <c r="J92" s="9">
        <f t="shared" si="90"/>
        <v>0.46301677059081731</v>
      </c>
      <c r="K92" s="9">
        <f t="shared" si="90"/>
        <v>0.46453256701252565</v>
      </c>
      <c r="L92" s="9">
        <f t="shared" si="90"/>
        <v>0.46605332575728153</v>
      </c>
      <c r="M92" s="9">
        <f t="shared" si="90"/>
        <v>0.46757906307043923</v>
      </c>
      <c r="N92" s="9">
        <f t="shared" si="90"/>
        <v>0.46910979525053625</v>
      </c>
      <c r="O92" s="9">
        <f t="shared" si="90"/>
        <v>0.47064553864946707</v>
      </c>
      <c r="P92" s="9">
        <f t="shared" si="90"/>
        <v>0.47218630967265818</v>
      </c>
      <c r="Q92" s="9">
        <f t="shared" si="90"/>
        <v>0.47373212477924326</v>
      </c>
      <c r="R92" s="9">
        <f t="shared" si="90"/>
        <v>0.47528300048223876</v>
      </c>
      <c r="S92" s="9">
        <f t="shared" si="90"/>
        <v>0.47683895334872028</v>
      </c>
      <c r="T92" s="9">
        <f t="shared" si="90"/>
        <v>0.47840000000000005</v>
      </c>
      <c r="U92" s="9">
        <f t="shared" si="90"/>
        <v>0.47996615711180401</v>
      </c>
      <c r="V92" s="9">
        <f t="shared" si="90"/>
        <v>0.48153744141444998</v>
      </c>
      <c r="W92" s="9">
        <f t="shared" si="90"/>
        <v>0.48311386969302678</v>
      </c>
      <c r="X92" s="9">
        <f t="shared" si="90"/>
        <v>0.48469545878757286</v>
      </c>
      <c r="Y92" s="9">
        <f t="shared" si="90"/>
        <v>0.4862822255932569</v>
      </c>
      <c r="Z92" s="9">
        <f t="shared" si="90"/>
        <v>0.48787418706055774</v>
      </c>
      <c r="AA92" s="9">
        <f t="shared" si="90"/>
        <v>0.48947136019544574</v>
      </c>
      <c r="AB92" s="9">
        <f t="shared" si="90"/>
        <v>0.4910737620595646</v>
      </c>
      <c r="AC92" s="9">
        <f t="shared" si="90"/>
        <v>0.49268140977041303</v>
      </c>
      <c r="AD92" s="9">
        <f t="shared" si="90"/>
        <v>0.49429432050152833</v>
      </c>
      <c r="AE92" s="9">
        <f t="shared" si="90"/>
        <v>0.49591251148266913</v>
      </c>
      <c r="AF92" s="9">
        <f t="shared" si="90"/>
        <v>0.49753600000000009</v>
      </c>
      <c r="AG92" s="9">
        <f t="shared" si="90"/>
        <v>0.49916480339627611</v>
      </c>
      <c r="AH92" s="9">
        <f t="shared" si="90"/>
        <v>0.50079893907102802</v>
      </c>
      <c r="AI92" s="9">
        <f t="shared" si="90"/>
        <v>0.50243842448074783</v>
      </c>
      <c r="AJ92" s="9">
        <f t="shared" si="90"/>
        <v>0.50408327713907575</v>
      </c>
      <c r="AK92" s="9">
        <f t="shared" si="90"/>
        <v>0.50573351461698712</v>
      </c>
      <c r="AL92" s="9">
        <f t="shared" si="90"/>
        <v>0.50738915454298006</v>
      </c>
      <c r="AM92" s="9">
        <f t="shared" si="90"/>
        <v>0.50905021460326361</v>
      </c>
      <c r="AN92" s="9">
        <f t="shared" si="90"/>
        <v>0.51071671254194717</v>
      </c>
      <c r="AO92" s="9">
        <f t="shared" si="90"/>
        <v>0.51238866616122958</v>
      </c>
      <c r="AP92" s="9">
        <f t="shared" si="90"/>
        <v>0.51406609332158937</v>
      </c>
      <c r="AQ92" s="9">
        <f t="shared" si="90"/>
        <v>0.51574901194197587</v>
      </c>
    </row>
    <row r="93" spans="1:43" hidden="1" outlineLevel="5">
      <c r="A93" s="2"/>
      <c r="B93" s="2"/>
      <c r="C93" s="2"/>
      <c r="D93" s="2"/>
      <c r="E93" s="2"/>
      <c r="F93" s="2" t="s">
        <v>398</v>
      </c>
      <c r="G93" s="2"/>
      <c r="H93" s="9">
        <f t="shared" ref="H93:AQ93" si="91">eastern_private_acceptance_rate*(1+eastern_private_acceptance_rate_growth)^((COLUMN()-8)/12)</f>
        <v>0.81</v>
      </c>
      <c r="I93" s="9">
        <f t="shared" si="91"/>
        <v>0.81133778085455543</v>
      </c>
      <c r="J93" s="9">
        <f t="shared" si="91"/>
        <v>0.81267777116295625</v>
      </c>
      <c r="K93" s="9">
        <f t="shared" si="91"/>
        <v>0.8140199745742952</v>
      </c>
      <c r="L93" s="9">
        <f t="shared" si="91"/>
        <v>0.8153643947436916</v>
      </c>
      <c r="M93" s="9">
        <f t="shared" si="91"/>
        <v>0.8167110353323016</v>
      </c>
      <c r="N93" s="9">
        <f t="shared" si="91"/>
        <v>0.81805990000732842</v>
      </c>
      <c r="O93" s="9">
        <f t="shared" si="91"/>
        <v>0.81941099244203119</v>
      </c>
      <c r="P93" s="9">
        <f t="shared" si="91"/>
        <v>0.82076431631573632</v>
      </c>
      <c r="Q93" s="9">
        <f t="shared" si="91"/>
        <v>0.82211987531384667</v>
      </c>
      <c r="R93" s="9">
        <f t="shared" si="91"/>
        <v>0.82347767312785192</v>
      </c>
      <c r="S93" s="9">
        <f t="shared" si="91"/>
        <v>0.82483771345533863</v>
      </c>
      <c r="T93" s="9">
        <f t="shared" si="91"/>
        <v>0.82620000000000005</v>
      </c>
      <c r="U93" s="9">
        <f t="shared" si="91"/>
        <v>0.82756453647164652</v>
      </c>
      <c r="V93" s="9">
        <f t="shared" si="91"/>
        <v>0.82893132658621527</v>
      </c>
      <c r="W93" s="9">
        <f t="shared" si="91"/>
        <v>0.83030037406578105</v>
      </c>
      <c r="X93" s="9">
        <f t="shared" si="91"/>
        <v>0.83167168263856539</v>
      </c>
      <c r="Y93" s="9">
        <f t="shared" si="91"/>
        <v>0.83304525603894775</v>
      </c>
      <c r="Z93" s="9">
        <f t="shared" si="91"/>
        <v>0.83442109800747499</v>
      </c>
      <c r="AA93" s="9">
        <f t="shared" si="91"/>
        <v>0.83579921229087184</v>
      </c>
      <c r="AB93" s="9">
        <f t="shared" si="91"/>
        <v>0.83717960264205105</v>
      </c>
      <c r="AC93" s="9">
        <f t="shared" si="91"/>
        <v>0.83856227282012363</v>
      </c>
      <c r="AD93" s="9">
        <f t="shared" si="91"/>
        <v>0.8399472265904091</v>
      </c>
      <c r="AE93" s="9">
        <f t="shared" si="91"/>
        <v>0.84133446772444542</v>
      </c>
      <c r="AF93" s="9">
        <f t="shared" si="91"/>
        <v>0.84272400000000003</v>
      </c>
      <c r="AG93" s="9">
        <f t="shared" si="91"/>
        <v>0.84411582720107936</v>
      </c>
      <c r="AH93" s="9">
        <f t="shared" si="91"/>
        <v>0.84550995311793964</v>
      </c>
      <c r="AI93" s="9">
        <f t="shared" si="91"/>
        <v>0.84690638154709663</v>
      </c>
      <c r="AJ93" s="9">
        <f t="shared" si="91"/>
        <v>0.84830511629133665</v>
      </c>
      <c r="AK93" s="9">
        <f t="shared" si="91"/>
        <v>0.84970616115972675</v>
      </c>
      <c r="AL93" s="9">
        <f t="shared" si="91"/>
        <v>0.85110951996762441</v>
      </c>
      <c r="AM93" s="9">
        <f t="shared" si="91"/>
        <v>0.85251519653668928</v>
      </c>
      <c r="AN93" s="9">
        <f t="shared" si="91"/>
        <v>0.85392319469489208</v>
      </c>
      <c r="AO93" s="9">
        <f t="shared" si="91"/>
        <v>0.85533351827652604</v>
      </c>
      <c r="AP93" s="9">
        <f t="shared" si="91"/>
        <v>0.85674617112221718</v>
      </c>
      <c r="AQ93" s="9">
        <f t="shared" si="91"/>
        <v>0.85816115707893437</v>
      </c>
    </row>
    <row r="94" spans="1:43" hidden="1" outlineLevel="5">
      <c r="A94" s="2"/>
      <c r="B94" s="2"/>
      <c r="C94" s="2"/>
      <c r="D94" s="2"/>
      <c r="E94" s="2"/>
      <c r="F94" s="2" t="s">
        <v>399</v>
      </c>
      <c r="G94" s="2"/>
      <c r="H94" s="9">
        <f t="shared" ref="H94:AQ94" si="92">eastern_private_stock_availability_rate*(1+eastern_private_stock_availability_rate_growth)^((COLUMN()-8)/12)</f>
        <v>0.86</v>
      </c>
      <c r="I94" s="9">
        <f t="shared" si="92"/>
        <v>0.86106767943614637</v>
      </c>
      <c r="J94" s="9">
        <f t="shared" si="92"/>
        <v>0.8621366843831979</v>
      </c>
      <c r="K94" s="9">
        <f t="shared" si="92"/>
        <v>0.8632070164867599</v>
      </c>
      <c r="L94" s="9">
        <f t="shared" si="92"/>
        <v>0.86427867739448105</v>
      </c>
      <c r="M94" s="9">
        <f t="shared" si="92"/>
        <v>0.8653516687560554</v>
      </c>
      <c r="N94" s="9">
        <f t="shared" si="92"/>
        <v>0.86642599222322503</v>
      </c>
      <c r="O94" s="9">
        <f t="shared" si="92"/>
        <v>0.86750164944978247</v>
      </c>
      <c r="P94" s="9">
        <f t="shared" si="92"/>
        <v>0.86857864209157398</v>
      </c>
      <c r="Q94" s="9">
        <f t="shared" si="92"/>
        <v>0.86965697180650081</v>
      </c>
      <c r="R94" s="9">
        <f t="shared" si="92"/>
        <v>0.87073664025452313</v>
      </c>
      <c r="S94" s="9">
        <f t="shared" si="92"/>
        <v>0.87181764909766146</v>
      </c>
      <c r="T94" s="9">
        <f t="shared" si="92"/>
        <v>0.8728999999999999</v>
      </c>
      <c r="U94" s="9">
        <f t="shared" si="92"/>
        <v>0.87398369462768855</v>
      </c>
      <c r="V94" s="9">
        <f t="shared" si="92"/>
        <v>0.87506873464894586</v>
      </c>
      <c r="W94" s="9">
        <f t="shared" si="92"/>
        <v>0.87615512173406118</v>
      </c>
      <c r="X94" s="9">
        <f t="shared" si="92"/>
        <v>0.87724285755539821</v>
      </c>
      <c r="Y94" s="9">
        <f t="shared" si="92"/>
        <v>0.8783319437873961</v>
      </c>
      <c r="Z94" s="9">
        <f t="shared" si="92"/>
        <v>0.8794223821065732</v>
      </c>
      <c r="AA94" s="9">
        <f t="shared" si="92"/>
        <v>0.88051417419152922</v>
      </c>
      <c r="AB94" s="9">
        <f t="shared" si="92"/>
        <v>0.88160732172294753</v>
      </c>
      <c r="AC94" s="9">
        <f t="shared" si="92"/>
        <v>0.88270182638359818</v>
      </c>
      <c r="AD94" s="9">
        <f t="shared" si="92"/>
        <v>0.88379768985834095</v>
      </c>
      <c r="AE94" s="9">
        <f t="shared" si="92"/>
        <v>0.88489491383412633</v>
      </c>
      <c r="AF94" s="9">
        <f t="shared" si="92"/>
        <v>0.88599349999999977</v>
      </c>
      <c r="AG94" s="9">
        <f t="shared" si="92"/>
        <v>0.88709345004710372</v>
      </c>
      <c r="AH94" s="9">
        <f t="shared" si="92"/>
        <v>0.88819476566867994</v>
      </c>
      <c r="AI94" s="9">
        <f t="shared" si="92"/>
        <v>0.88929744856007198</v>
      </c>
      <c r="AJ94" s="9">
        <f t="shared" si="92"/>
        <v>0.89040150041872923</v>
      </c>
      <c r="AK94" s="9">
        <f t="shared" si="92"/>
        <v>0.89150692294420697</v>
      </c>
      <c r="AL94" s="9">
        <f t="shared" si="92"/>
        <v>0.89261371783817178</v>
      </c>
      <c r="AM94" s="9">
        <f t="shared" si="92"/>
        <v>0.8937218868044019</v>
      </c>
      <c r="AN94" s="9">
        <f t="shared" si="92"/>
        <v>0.89483143154879152</v>
      </c>
      <c r="AO94" s="9">
        <f t="shared" si="92"/>
        <v>0.89594235377935227</v>
      </c>
      <c r="AP94" s="9">
        <f t="shared" si="92"/>
        <v>0.89705465520621586</v>
      </c>
      <c r="AQ94" s="9">
        <f t="shared" si="92"/>
        <v>0.89816833754163816</v>
      </c>
    </row>
    <row r="95" spans="1:43" hidden="1" outlineLevel="5" collapsed="1">
      <c r="A95" s="2"/>
      <c r="B95" s="2"/>
      <c r="C95" s="2"/>
      <c r="D95" s="2"/>
      <c r="E95" s="2"/>
      <c r="F95" s="2" t="s">
        <v>400</v>
      </c>
      <c r="G95" s="2"/>
      <c r="H95" s="9">
        <f>0.05</f>
        <v>0.05</v>
      </c>
      <c r="I95" s="9">
        <f t="shared" ref="I95:AQ95" si="93">H95+I96-I97</f>
        <v>5.5929348610290419E-2</v>
      </c>
      <c r="J95" s="9">
        <f t="shared" si="93"/>
        <v>6.1888118212461658E-2</v>
      </c>
      <c r="K95" s="9">
        <f t="shared" si="93"/>
        <v>6.7876381366616681E-2</v>
      </c>
      <c r="L95" s="9">
        <f t="shared" si="93"/>
        <v>7.3894210811811217E-2</v>
      </c>
      <c r="M95" s="9">
        <f t="shared" si="93"/>
        <v>7.9941679466495136E-2</v>
      </c>
      <c r="N95" s="9">
        <f t="shared" si="93"/>
        <v>8.6018860428954874E-2</v>
      </c>
      <c r="O95" s="9">
        <f t="shared" si="93"/>
        <v>9.2125826977756967E-2</v>
      </c>
      <c r="P95" s="9">
        <f t="shared" si="93"/>
        <v>9.826265257219266E-2</v>
      </c>
      <c r="Q95" s="9">
        <f t="shared" si="93"/>
        <v>0.10442941085272363</v>
      </c>
      <c r="R95" s="9">
        <f t="shared" si="93"/>
        <v>0.11062617564142879</v>
      </c>
      <c r="S95" s="9">
        <f t="shared" si="93"/>
        <v>0.11685302094245224</v>
      </c>
      <c r="T95" s="9">
        <f t="shared" si="93"/>
        <v>0.12311002094245224</v>
      </c>
      <c r="U95" s="9">
        <f t="shared" si="93"/>
        <v>0.12939725001105137</v>
      </c>
      <c r="V95" s="9">
        <f t="shared" si="93"/>
        <v>0.13571478270128776</v>
      </c>
      <c r="W95" s="9">
        <f t="shared" si="93"/>
        <v>0.14206269375006741</v>
      </c>
      <c r="X95" s="9">
        <f t="shared" si="93"/>
        <v>0.14844105807861779</v>
      </c>
      <c r="Y95" s="9">
        <f t="shared" si="93"/>
        <v>0.15484995079294223</v>
      </c>
      <c r="Z95" s="9">
        <f t="shared" si="93"/>
        <v>0.16128944718427576</v>
      </c>
      <c r="AA95" s="9">
        <f t="shared" si="93"/>
        <v>0.16775962272954192</v>
      </c>
      <c r="AB95" s="9">
        <f t="shared" si="93"/>
        <v>0.17426055309181068</v>
      </c>
      <c r="AC95" s="9">
        <f t="shared" si="93"/>
        <v>0.18079231412075758</v>
      </c>
      <c r="AD95" s="9">
        <f t="shared" si="93"/>
        <v>0.18735498185312391</v>
      </c>
      <c r="AE95" s="9">
        <f t="shared" si="93"/>
        <v>0.19394863251317807</v>
      </c>
      <c r="AF95" s="9">
        <f t="shared" si="93"/>
        <v>0.20057334251317807</v>
      </c>
      <c r="AG95" s="9">
        <f t="shared" si="93"/>
        <v>0.20722918845383517</v>
      </c>
      <c r="AH95" s="9">
        <f t="shared" si="93"/>
        <v>0.21391624712477864</v>
      </c>
      <c r="AI95" s="9">
        <f t="shared" si="93"/>
        <v>0.22063459550502168</v>
      </c>
      <c r="AJ95" s="9">
        <f t="shared" si="93"/>
        <v>0.22738431076342855</v>
      </c>
      <c r="AK95" s="9">
        <f t="shared" si="93"/>
        <v>0.23416547025918272</v>
      </c>
      <c r="AL95" s="9">
        <f t="shared" si="93"/>
        <v>0.24097815154225624</v>
      </c>
      <c r="AM95" s="9">
        <f t="shared" si="93"/>
        <v>0.24782243235388041</v>
      </c>
      <c r="AN95" s="9">
        <f t="shared" si="93"/>
        <v>0.25469839062701721</v>
      </c>
      <c r="AO95" s="9">
        <f t="shared" si="93"/>
        <v>0.26160610448683252</v>
      </c>
      <c r="AP95" s="9">
        <f t="shared" si="93"/>
        <v>0.26854565225116983</v>
      </c>
      <c r="AQ95" s="9">
        <f t="shared" si="93"/>
        <v>0.27551711243102561</v>
      </c>
    </row>
    <row r="96" spans="1:43" hidden="1" outlineLevel="6">
      <c r="A96" s="2"/>
      <c r="B96" s="2"/>
      <c r="C96" s="2"/>
      <c r="D96" s="2"/>
      <c r="E96" s="2"/>
      <c r="F96" s="2"/>
      <c r="G96" s="2" t="s">
        <v>198</v>
      </c>
      <c r="H96" s="9">
        <f t="shared" ref="H96:AQ96" si="94">eastern_private_coverage_additions*(1+eastern_private_coverage_additions_growth)^((COLUMN()-8)/12)</f>
        <v>1.1900000000000001E-2</v>
      </c>
      <c r="I96" s="9">
        <f t="shared" si="94"/>
        <v>1.1929348610290415E-2</v>
      </c>
      <c r="J96" s="9">
        <f t="shared" si="94"/>
        <v>1.1958769602171244E-2</v>
      </c>
      <c r="K96" s="9">
        <f t="shared" si="94"/>
        <v>1.1988263154155023E-2</v>
      </c>
      <c r="L96" s="9">
        <f t="shared" si="94"/>
        <v>1.2017829445194536E-2</v>
      </c>
      <c r="M96" s="9">
        <f t="shared" si="94"/>
        <v>1.2047468654683919E-2</v>
      </c>
      <c r="N96" s="9">
        <f t="shared" si="94"/>
        <v>1.2077180962459742E-2</v>
      </c>
      <c r="O96" s="9">
        <f t="shared" si="94"/>
        <v>1.2106966548802096E-2</v>
      </c>
      <c r="P96" s="9">
        <f t="shared" si="94"/>
        <v>1.2136825594435699E-2</v>
      </c>
      <c r="Q96" s="9">
        <f t="shared" si="94"/>
        <v>1.2166758280530975E-2</v>
      </c>
      <c r="R96" s="9">
        <f t="shared" si="94"/>
        <v>1.2196764788705173E-2</v>
      </c>
      <c r="S96" s="9">
        <f t="shared" si="94"/>
        <v>1.2226845301023455E-2</v>
      </c>
      <c r="T96" s="9">
        <f t="shared" si="94"/>
        <v>1.2257000000000001E-2</v>
      </c>
      <c r="U96" s="9">
        <f t="shared" si="94"/>
        <v>1.2287229068599127E-2</v>
      </c>
      <c r="V96" s="9">
        <f t="shared" si="94"/>
        <v>1.2317532690236383E-2</v>
      </c>
      <c r="W96" s="9">
        <f t="shared" si="94"/>
        <v>1.2347911048779674E-2</v>
      </c>
      <c r="X96" s="9">
        <f t="shared" si="94"/>
        <v>1.2378364328550372E-2</v>
      </c>
      <c r="Y96" s="9">
        <f t="shared" si="94"/>
        <v>1.2408892714324438E-2</v>
      </c>
      <c r="Z96" s="9">
        <f t="shared" si="94"/>
        <v>1.2439496391333535E-2</v>
      </c>
      <c r="AA96" s="9">
        <f t="shared" si="94"/>
        <v>1.2470175545266162E-2</v>
      </c>
      <c r="AB96" s="9">
        <f t="shared" si="94"/>
        <v>1.2500930362268769E-2</v>
      </c>
      <c r="AC96" s="9">
        <f t="shared" si="94"/>
        <v>1.2531761028946905E-2</v>
      </c>
      <c r="AD96" s="9">
        <f t="shared" si="94"/>
        <v>1.256266773236633E-2</v>
      </c>
      <c r="AE96" s="9">
        <f t="shared" si="94"/>
        <v>1.2593650660054159E-2</v>
      </c>
      <c r="AF96" s="9">
        <f t="shared" si="94"/>
        <v>1.2624710000000001E-2</v>
      </c>
      <c r="AG96" s="9">
        <f t="shared" si="94"/>
        <v>1.26558459406571E-2</v>
      </c>
      <c r="AH96" s="9">
        <f t="shared" si="94"/>
        <v>1.2687058670943475E-2</v>
      </c>
      <c r="AI96" s="9">
        <f t="shared" si="94"/>
        <v>1.2718348380243064E-2</v>
      </c>
      <c r="AJ96" s="9">
        <f t="shared" si="94"/>
        <v>1.2749715258406886E-2</v>
      </c>
      <c r="AK96" s="9">
        <f t="shared" si="94"/>
        <v>1.2781159495754171E-2</v>
      </c>
      <c r="AL96" s="9">
        <f t="shared" si="94"/>
        <v>1.2812681283073541E-2</v>
      </c>
      <c r="AM96" s="9">
        <f t="shared" si="94"/>
        <v>1.2844280811624146E-2</v>
      </c>
      <c r="AN96" s="9">
        <f t="shared" si="94"/>
        <v>1.2875958273136834E-2</v>
      </c>
      <c r="AO96" s="9">
        <f t="shared" si="94"/>
        <v>1.2907713859815312E-2</v>
      </c>
      <c r="AP96" s="9">
        <f t="shared" si="94"/>
        <v>1.293954776433732E-2</v>
      </c>
      <c r="AQ96" s="9">
        <f t="shared" si="94"/>
        <v>1.2971460179855784E-2</v>
      </c>
    </row>
    <row r="97" spans="1:43" hidden="1" outlineLevel="6">
      <c r="A97" s="2"/>
      <c r="B97" s="2"/>
      <c r="C97" s="2"/>
      <c r="D97" s="2"/>
      <c r="E97" s="2"/>
      <c r="F97" s="2"/>
      <c r="G97" s="2" t="s">
        <v>401</v>
      </c>
      <c r="H97" s="9">
        <f t="shared" ref="H97:AQ97" si="95">eastern_private_coverage_churn*(1+eastern_private_coverage_churn_growth)^((COLUMN()-8)/12)</f>
        <v>6.0000000000000001E-3</v>
      </c>
      <c r="I97" s="9">
        <f t="shared" si="95"/>
        <v>6.0000000000000001E-3</v>
      </c>
      <c r="J97" s="9">
        <f t="shared" si="95"/>
        <v>6.0000000000000001E-3</v>
      </c>
      <c r="K97" s="9">
        <f t="shared" si="95"/>
        <v>6.0000000000000001E-3</v>
      </c>
      <c r="L97" s="9">
        <f t="shared" si="95"/>
        <v>6.0000000000000001E-3</v>
      </c>
      <c r="M97" s="9">
        <f t="shared" si="95"/>
        <v>6.0000000000000001E-3</v>
      </c>
      <c r="N97" s="9">
        <f t="shared" si="95"/>
        <v>6.0000000000000001E-3</v>
      </c>
      <c r="O97" s="9">
        <f t="shared" si="95"/>
        <v>6.0000000000000001E-3</v>
      </c>
      <c r="P97" s="9">
        <f t="shared" si="95"/>
        <v>6.0000000000000001E-3</v>
      </c>
      <c r="Q97" s="9">
        <f t="shared" si="95"/>
        <v>6.0000000000000001E-3</v>
      </c>
      <c r="R97" s="9">
        <f t="shared" si="95"/>
        <v>6.0000000000000001E-3</v>
      </c>
      <c r="S97" s="9">
        <f t="shared" si="95"/>
        <v>6.0000000000000001E-3</v>
      </c>
      <c r="T97" s="9">
        <f t="shared" si="95"/>
        <v>6.0000000000000001E-3</v>
      </c>
      <c r="U97" s="9">
        <f t="shared" si="95"/>
        <v>6.0000000000000001E-3</v>
      </c>
      <c r="V97" s="9">
        <f t="shared" si="95"/>
        <v>6.0000000000000001E-3</v>
      </c>
      <c r="W97" s="9">
        <f t="shared" si="95"/>
        <v>6.0000000000000001E-3</v>
      </c>
      <c r="X97" s="9">
        <f t="shared" si="95"/>
        <v>6.0000000000000001E-3</v>
      </c>
      <c r="Y97" s="9">
        <f t="shared" si="95"/>
        <v>6.0000000000000001E-3</v>
      </c>
      <c r="Z97" s="9">
        <f t="shared" si="95"/>
        <v>6.0000000000000001E-3</v>
      </c>
      <c r="AA97" s="9">
        <f t="shared" si="95"/>
        <v>6.0000000000000001E-3</v>
      </c>
      <c r="AB97" s="9">
        <f t="shared" si="95"/>
        <v>6.0000000000000001E-3</v>
      </c>
      <c r="AC97" s="9">
        <f t="shared" si="95"/>
        <v>6.0000000000000001E-3</v>
      </c>
      <c r="AD97" s="9">
        <f t="shared" si="95"/>
        <v>6.0000000000000001E-3</v>
      </c>
      <c r="AE97" s="9">
        <f t="shared" si="95"/>
        <v>6.0000000000000001E-3</v>
      </c>
      <c r="AF97" s="9">
        <f t="shared" si="95"/>
        <v>6.0000000000000001E-3</v>
      </c>
      <c r="AG97" s="9">
        <f t="shared" si="95"/>
        <v>6.0000000000000001E-3</v>
      </c>
      <c r="AH97" s="9">
        <f t="shared" si="95"/>
        <v>6.0000000000000001E-3</v>
      </c>
      <c r="AI97" s="9">
        <f t="shared" si="95"/>
        <v>6.0000000000000001E-3</v>
      </c>
      <c r="AJ97" s="9">
        <f t="shared" si="95"/>
        <v>6.0000000000000001E-3</v>
      </c>
      <c r="AK97" s="9">
        <f t="shared" si="95"/>
        <v>6.0000000000000001E-3</v>
      </c>
      <c r="AL97" s="9">
        <f t="shared" si="95"/>
        <v>6.0000000000000001E-3</v>
      </c>
      <c r="AM97" s="9">
        <f t="shared" si="95"/>
        <v>6.0000000000000001E-3</v>
      </c>
      <c r="AN97" s="9">
        <f t="shared" si="95"/>
        <v>6.0000000000000001E-3</v>
      </c>
      <c r="AO97" s="9">
        <f t="shared" si="95"/>
        <v>6.0000000000000001E-3</v>
      </c>
      <c r="AP97" s="9">
        <f t="shared" si="95"/>
        <v>6.0000000000000001E-3</v>
      </c>
      <c r="AQ97" s="9">
        <f t="shared" si="95"/>
        <v>6.0000000000000001E-3</v>
      </c>
    </row>
    <row r="98" spans="1:43" hidden="1" outlineLevel="4">
      <c r="A98" s="2"/>
      <c r="B98" s="2"/>
      <c r="C98" s="2"/>
      <c r="D98" s="2"/>
      <c r="E98" s="2" t="s">
        <v>402</v>
      </c>
      <c r="F98" s="2"/>
      <c r="G98" s="2"/>
      <c r="H98" s="9">
        <f t="shared" ref="H98:AQ98" si="96">eastern_private_net_price_per_dose*(1+eastern_private_net_price_per_dose_growth)^((COLUMN()-8)/12)</f>
        <v>88000</v>
      </c>
      <c r="I98" s="9">
        <f t="shared" si="96"/>
        <v>88252.639087278745</v>
      </c>
      <c r="J98" s="9">
        <f t="shared" si="96"/>
        <v>88506.003475789548</v>
      </c>
      <c r="K98" s="9">
        <f t="shared" si="96"/>
        <v>88760.095247798788</v>
      </c>
      <c r="L98" s="9">
        <f t="shared" si="96"/>
        <v>89014.916491550801</v>
      </c>
      <c r="M98" s="9">
        <f t="shared" si="96"/>
        <v>89270.469301285106</v>
      </c>
      <c r="N98" s="9">
        <f t="shared" si="96"/>
        <v>89526.755777253537</v>
      </c>
      <c r="O98" s="9">
        <f t="shared" si="96"/>
        <v>89783.778025737542</v>
      </c>
      <c r="P98" s="9">
        <f t="shared" si="96"/>
        <v>90041.538159065487</v>
      </c>
      <c r="Q98" s="9">
        <f t="shared" si="96"/>
        <v>90300.038295630045</v>
      </c>
      <c r="R98" s="9">
        <f t="shared" si="96"/>
        <v>90559.280559905528</v>
      </c>
      <c r="S98" s="9">
        <f t="shared" si="96"/>
        <v>90819.267082465463</v>
      </c>
      <c r="T98" s="9">
        <f t="shared" si="96"/>
        <v>91080</v>
      </c>
      <c r="U98" s="9">
        <f t="shared" si="96"/>
        <v>91341.481455333502</v>
      </c>
      <c r="V98" s="9">
        <f t="shared" si="96"/>
        <v>91603.713597442169</v>
      </c>
      <c r="W98" s="9">
        <f t="shared" si="96"/>
        <v>91866.698581471719</v>
      </c>
      <c r="X98" s="9">
        <f t="shared" si="96"/>
        <v>92130.438568755068</v>
      </c>
      <c r="Y98" s="9">
        <f t="shared" si="96"/>
        <v>92394.935726830081</v>
      </c>
      <c r="Z98" s="9">
        <f t="shared" si="96"/>
        <v>92660.192229457403</v>
      </c>
      <c r="AA98" s="9">
        <f t="shared" si="96"/>
        <v>92926.21025663834</v>
      </c>
      <c r="AB98" s="9">
        <f t="shared" si="96"/>
        <v>93192.991994632772</v>
      </c>
      <c r="AC98" s="9">
        <f t="shared" si="96"/>
        <v>93460.539635977082</v>
      </c>
      <c r="AD98" s="9">
        <f t="shared" si="96"/>
        <v>93728.855379502216</v>
      </c>
      <c r="AE98" s="9">
        <f t="shared" si="96"/>
        <v>93997.941430351755</v>
      </c>
      <c r="AF98" s="9">
        <f t="shared" si="96"/>
        <v>94267.799999999988</v>
      </c>
      <c r="AG98" s="9">
        <f t="shared" si="96"/>
        <v>94538.433306270148</v>
      </c>
      <c r="AH98" s="9">
        <f t="shared" si="96"/>
        <v>94809.843573352628</v>
      </c>
      <c r="AI98" s="9">
        <f t="shared" si="96"/>
        <v>95082.033031823245</v>
      </c>
      <c r="AJ98" s="9">
        <f t="shared" si="96"/>
        <v>95355.003918661503</v>
      </c>
      <c r="AK98" s="9">
        <f t="shared" si="96"/>
        <v>95628.758477269119</v>
      </c>
      <c r="AL98" s="9">
        <f t="shared" si="96"/>
        <v>95903.298957488398</v>
      </c>
      <c r="AM98" s="9">
        <f t="shared" si="96"/>
        <v>96178.627615620688</v>
      </c>
      <c r="AN98" s="9">
        <f t="shared" si="96"/>
        <v>96454.746714444904</v>
      </c>
      <c r="AO98" s="9">
        <f t="shared" si="96"/>
        <v>96731.658523236285</v>
      </c>
      <c r="AP98" s="9">
        <f t="shared" si="96"/>
        <v>97009.365317784788</v>
      </c>
      <c r="AQ98" s="9">
        <f t="shared" si="96"/>
        <v>97287.869380414049</v>
      </c>
    </row>
    <row r="99" spans="1:43" hidden="1" outlineLevel="3" collapsed="1">
      <c r="A99" s="2"/>
      <c r="B99" s="2"/>
      <c r="C99" s="2"/>
      <c r="D99" s="2" t="s">
        <v>403</v>
      </c>
      <c r="E99" s="2"/>
      <c r="F99" s="2"/>
      <c r="G99" s="2"/>
      <c r="H99" s="9">
        <f t="shared" ref="H99:AQ99" si="97">(H100*H109)</f>
        <v>80312.854617341291</v>
      </c>
      <c r="I99" s="9">
        <f t="shared" si="97"/>
        <v>87123.743852078973</v>
      </c>
      <c r="J99" s="9">
        <f t="shared" si="97"/>
        <v>94173.096175103448</v>
      </c>
      <c r="K99" s="9">
        <f t="shared" si="97"/>
        <v>101467.58157655488</v>
      </c>
      <c r="L99" s="9">
        <f t="shared" si="97"/>
        <v>109014.03732319245</v>
      </c>
      <c r="M99" s="9">
        <f t="shared" si="97"/>
        <v>116819.47188618527</v>
      </c>
      <c r="N99" s="9">
        <f t="shared" si="97"/>
        <v>124891.06895712187</v>
      </c>
      <c r="O99" s="9">
        <f t="shared" si="97"/>
        <v>133236.19155415567</v>
      </c>
      <c r="P99" s="9">
        <f t="shared" si="97"/>
        <v>141862.3862202481</v>
      </c>
      <c r="Q99" s="9">
        <f t="shared" si="97"/>
        <v>150777.38731550807</v>
      </c>
      <c r="R99" s="9">
        <f t="shared" si="97"/>
        <v>159989.12140567275</v>
      </c>
      <c r="S99" s="9">
        <f t="shared" si="97"/>
        <v>169505.71174881604</v>
      </c>
      <c r="T99" s="9">
        <f t="shared" si="97"/>
        <v>179335.48288241593</v>
      </c>
      <c r="U99" s="9">
        <f t="shared" si="97"/>
        <v>189486.96531295625</v>
      </c>
      <c r="V99" s="9">
        <f t="shared" si="97"/>
        <v>199968.90031028586</v>
      </c>
      <c r="W99" s="9">
        <f t="shared" si="97"/>
        <v>210790.24480900465</v>
      </c>
      <c r="X99" s="9">
        <f t="shared" si="97"/>
        <v>221960.1764191924</v>
      </c>
      <c r="Y99" s="9">
        <f t="shared" si="97"/>
        <v>233488.098548849</v>
      </c>
      <c r="Z99" s="9">
        <f t="shared" si="97"/>
        <v>245383.64564045999</v>
      </c>
      <c r="AA99" s="9">
        <f t="shared" si="97"/>
        <v>257656.68852415675</v>
      </c>
      <c r="AB99" s="9">
        <f t="shared" si="97"/>
        <v>270317.33988999098</v>
      </c>
      <c r="AC99" s="9">
        <f t="shared" si="97"/>
        <v>283375.95988189336</v>
      </c>
      <c r="AD99" s="9">
        <f t="shared" si="97"/>
        <v>296843.16181594861</v>
      </c>
      <c r="AE99" s="9">
        <f t="shared" si="97"/>
        <v>310729.81802566373</v>
      </c>
      <c r="AF99" s="9">
        <f t="shared" si="97"/>
        <v>325047.06583697553</v>
      </c>
      <c r="AG99" s="9">
        <f t="shared" si="97"/>
        <v>339806.31367578584</v>
      </c>
      <c r="AH99" s="9">
        <f t="shared" si="97"/>
        <v>355019.24731088849</v>
      </c>
      <c r="AI99" s="9">
        <f t="shared" si="97"/>
        <v>370697.83623519907</v>
      </c>
      <c r="AJ99" s="9">
        <f t="shared" si="97"/>
        <v>386854.34018826694</v>
      </c>
      <c r="AK99" s="9">
        <f t="shared" si="97"/>
        <v>403501.31582311017</v>
      </c>
      <c r="AL99" s="9">
        <f t="shared" si="97"/>
        <v>420651.62352047552</v>
      </c>
      <c r="AM99" s="9">
        <f t="shared" si="97"/>
        <v>438318.43435369711</v>
      </c>
      <c r="AN99" s="9">
        <f t="shared" si="97"/>
        <v>456515.23720738356</v>
      </c>
      <c r="AO99" s="9">
        <f t="shared" si="97"/>
        <v>475255.84605324664</v>
      </c>
      <c r="AP99" s="9">
        <f t="shared" si="97"/>
        <v>494554.40738643642</v>
      </c>
      <c r="AQ99" s="9">
        <f t="shared" si="97"/>
        <v>514425.40782583423</v>
      </c>
    </row>
    <row r="100" spans="1:43" hidden="1" outlineLevel="4" collapsed="1">
      <c r="A100" s="2"/>
      <c r="B100" s="2"/>
      <c r="C100" s="2"/>
      <c r="D100" s="2"/>
      <c r="E100" s="2" t="s">
        <v>404</v>
      </c>
      <c r="F100" s="2"/>
      <c r="G100" s="2"/>
      <c r="H100" s="9">
        <f t="shared" ref="H100:AQ100" si="98">(((((H101*H102)*H103)*H104)*H105)*H106)</f>
        <v>1.0567480870702801</v>
      </c>
      <c r="I100" s="9">
        <f t="shared" si="98"/>
        <v>1.1430833740907747</v>
      </c>
      <c r="J100" s="9">
        <f t="shared" si="98"/>
        <v>1.2320354341059565</v>
      </c>
      <c r="K100" s="9">
        <f t="shared" si="98"/>
        <v>1.3236666583061552</v>
      </c>
      <c r="L100" s="9">
        <f t="shared" si="98"/>
        <v>1.4180407625323634</v>
      </c>
      <c r="M100" s="9">
        <f t="shared" si="98"/>
        <v>1.5152228135059327</v>
      </c>
      <c r="N100" s="9">
        <f t="shared" si="98"/>
        <v>1.6152792555538771</v>
      </c>
      <c r="O100" s="9">
        <f t="shared" si="98"/>
        <v>1.7182779378388282</v>
      </c>
      <c r="P100" s="9">
        <f t="shared" si="98"/>
        <v>1.8242881421028816</v>
      </c>
      <c r="Q100" s="9">
        <f t="shared" si="98"/>
        <v>1.9333806109346821</v>
      </c>
      <c r="R100" s="9">
        <f t="shared" si="98"/>
        <v>2.0456275765693244</v>
      </c>
      <c r="S100" s="9">
        <f t="shared" si="98"/>
        <v>2.1611027902307645</v>
      </c>
      <c r="T100" s="9">
        <f t="shared" si="98"/>
        <v>2.2798815520266453</v>
      </c>
      <c r="U100" s="9">
        <f t="shared" si="98"/>
        <v>2.4020407414055942</v>
      </c>
      <c r="V100" s="9">
        <f t="shared" si="98"/>
        <v>2.5276588481872304</v>
      </c>
      <c r="W100" s="9">
        <f t="shared" si="98"/>
        <v>2.6568160041753326</v>
      </c>
      <c r="X100" s="9">
        <f t="shared" si="98"/>
        <v>2.7895940153647412</v>
      </c>
      <c r="Y100" s="9">
        <f t="shared" si="98"/>
        <v>2.9260763947528368</v>
      </c>
      <c r="Z100" s="9">
        <f t="shared" si="98"/>
        <v>3.0663483957665494</v>
      </c>
      <c r="AA100" s="9">
        <f t="shared" si="98"/>
        <v>3.2104970463161049</v>
      </c>
      <c r="AB100" s="9">
        <f t="shared" si="98"/>
        <v>3.3586111834869032</v>
      </c>
      <c r="AC100" s="9">
        <f t="shared" si="98"/>
        <v>3.51078148888107</v>
      </c>
      <c r="AD100" s="9">
        <f t="shared" si="98"/>
        <v>3.6671005246205506</v>
      </c>
      <c r="AE100" s="9">
        <f t="shared" si="98"/>
        <v>3.8276627700236516</v>
      </c>
      <c r="AF100" s="9">
        <f t="shared" si="98"/>
        <v>3.9925646589673596</v>
      </c>
      <c r="AG100" s="9">
        <f t="shared" si="98"/>
        <v>4.1619046179477373</v>
      </c>
      <c r="AH100" s="9">
        <f t="shared" si="98"/>
        <v>4.3357831048511581</v>
      </c>
      <c r="AI100" s="9">
        <f t="shared" si="98"/>
        <v>4.5143026484491973</v>
      </c>
      <c r="AJ100" s="9">
        <f t="shared" si="98"/>
        <v>4.6975678886302887</v>
      </c>
      <c r="AK100" s="9">
        <f t="shared" si="98"/>
        <v>4.8856856173815038</v>
      </c>
      <c r="AL100" s="9">
        <f t="shared" si="98"/>
        <v>5.0787648205339817</v>
      </c>
      <c r="AM100" s="9">
        <f t="shared" si="98"/>
        <v>5.2769167202858762</v>
      </c>
      <c r="AN100" s="9">
        <f t="shared" si="98"/>
        <v>5.480254818516805</v>
      </c>
      <c r="AO100" s="9">
        <f t="shared" si="98"/>
        <v>5.6888949409081757</v>
      </c>
      <c r="AP100" s="9">
        <f t="shared" si="98"/>
        <v>5.9029552818838846</v>
      </c>
      <c r="AQ100" s="9">
        <f t="shared" si="98"/>
        <v>6.12255645038623</v>
      </c>
    </row>
    <row r="101" spans="1:43" hidden="1" outlineLevel="5">
      <c r="A101" s="2"/>
      <c r="B101" s="2"/>
      <c r="C101" s="2"/>
      <c r="D101" s="2"/>
      <c r="E101" s="2"/>
      <c r="F101" s="2" t="s">
        <v>364</v>
      </c>
      <c r="G101" s="2"/>
      <c r="H101" s="9">
        <f t="shared" ref="H101:AQ101" si="99">H52</f>
        <v>8373.7308599999997</v>
      </c>
      <c r="I101" s="9">
        <f t="shared" si="99"/>
        <v>8392.4653291171344</v>
      </c>
      <c r="J101" s="9">
        <f t="shared" si="99"/>
        <v>8411.2417126854198</v>
      </c>
      <c r="K101" s="9">
        <f t="shared" si="99"/>
        <v>8430.0601044796676</v>
      </c>
      <c r="L101" s="9">
        <f t="shared" si="99"/>
        <v>8448.920598484483</v>
      </c>
      <c r="M101" s="9">
        <f t="shared" si="99"/>
        <v>8467.8232888947423</v>
      </c>
      <c r="N101" s="9">
        <f t="shared" si="99"/>
        <v>8486.768270116072</v>
      </c>
      <c r="O101" s="9">
        <f t="shared" si="99"/>
        <v>8505.7556367652942</v>
      </c>
      <c r="P101" s="9">
        <f t="shared" si="99"/>
        <v>8524.7854836709394</v>
      </c>
      <c r="Q101" s="9">
        <f t="shared" si="99"/>
        <v>8543.8579058736777</v>
      </c>
      <c r="R101" s="9">
        <f t="shared" si="99"/>
        <v>8562.972998626823</v>
      </c>
      <c r="S101" s="9">
        <f t="shared" si="99"/>
        <v>8582.1308573967945</v>
      </c>
      <c r="T101" s="9">
        <f t="shared" si="99"/>
        <v>8601.331577863597</v>
      </c>
      <c r="U101" s="9">
        <f t="shared" si="99"/>
        <v>8620.5752559213015</v>
      </c>
      <c r="V101" s="9">
        <f t="shared" si="99"/>
        <v>8639.8619876785233</v>
      </c>
      <c r="W101" s="9">
        <f t="shared" si="99"/>
        <v>8659.1918694588985</v>
      </c>
      <c r="X101" s="9">
        <f t="shared" si="99"/>
        <v>8678.5649978015645</v>
      </c>
      <c r="Y101" s="9">
        <f t="shared" si="99"/>
        <v>8697.9814694616471</v>
      </c>
      <c r="Z101" s="9">
        <f t="shared" si="99"/>
        <v>8717.4413814107447</v>
      </c>
      <c r="AA101" s="9">
        <f t="shared" si="99"/>
        <v>8736.9448308374012</v>
      </c>
      <c r="AB101" s="9">
        <f t="shared" si="99"/>
        <v>8756.4919151476133</v>
      </c>
      <c r="AC101" s="9">
        <f t="shared" si="99"/>
        <v>8776.0827319652872</v>
      </c>
      <c r="AD101" s="9">
        <f t="shared" si="99"/>
        <v>8795.717379132755</v>
      </c>
      <c r="AE101" s="9">
        <f t="shared" si="99"/>
        <v>8815.3959547112354</v>
      </c>
      <c r="AF101" s="9">
        <f t="shared" si="99"/>
        <v>8835.1185569813606</v>
      </c>
      <c r="AG101" s="9">
        <f t="shared" si="99"/>
        <v>8854.885284443626</v>
      </c>
      <c r="AH101" s="9">
        <f t="shared" si="99"/>
        <v>8874.6962358189085</v>
      </c>
      <c r="AI101" s="9">
        <f t="shared" si="99"/>
        <v>8894.5515100489556</v>
      </c>
      <c r="AJ101" s="9">
        <f t="shared" si="99"/>
        <v>8914.4512062968697</v>
      </c>
      <c r="AK101" s="9">
        <f t="shared" si="99"/>
        <v>8934.3954239476097</v>
      </c>
      <c r="AL101" s="9">
        <f t="shared" si="99"/>
        <v>8954.3842626084916</v>
      </c>
      <c r="AM101" s="9">
        <f t="shared" si="99"/>
        <v>8974.4178221096881</v>
      </c>
      <c r="AN101" s="9">
        <f t="shared" si="99"/>
        <v>8994.4962025047025</v>
      </c>
      <c r="AO101" s="9">
        <f t="shared" si="99"/>
        <v>9014.6195040709063</v>
      </c>
      <c r="AP101" s="9">
        <f t="shared" si="99"/>
        <v>9034.7878273100123</v>
      </c>
      <c r="AQ101" s="9">
        <f t="shared" si="99"/>
        <v>9055.0012729485788</v>
      </c>
    </row>
    <row r="102" spans="1:43" hidden="1" outlineLevel="5">
      <c r="A102" s="2"/>
      <c r="B102" s="2"/>
      <c r="C102" s="2"/>
      <c r="D102" s="2"/>
      <c r="E102" s="2"/>
      <c r="F102" s="2" t="s">
        <v>405</v>
      </c>
      <c r="G102" s="2"/>
      <c r="H102" s="9">
        <f t="shared" ref="H102:AQ102" si="100">northern_private_eligibility_rate*(1+northern_private_eligibility_rate_growth)^((COLUMN()-8)/12)</f>
        <v>0.01</v>
      </c>
      <c r="I102" s="9">
        <f t="shared" si="100"/>
        <v>1.0048675505653431E-2</v>
      </c>
      <c r="J102" s="9">
        <f t="shared" si="100"/>
        <v>1.0097587941791924E-2</v>
      </c>
      <c r="K102" s="9">
        <f t="shared" si="100"/>
        <v>1.0146738461686592E-2</v>
      </c>
      <c r="L102" s="9">
        <f t="shared" si="100"/>
        <v>1.0196128224222164E-2</v>
      </c>
      <c r="M102" s="9">
        <f t="shared" si="100"/>
        <v>1.0245758393924288E-2</v>
      </c>
      <c r="N102" s="9">
        <f t="shared" si="100"/>
        <v>1.0295630140987E-2</v>
      </c>
      <c r="O102" s="9">
        <f t="shared" si="100"/>
        <v>1.0345744641300326E-2</v>
      </c>
      <c r="P102" s="9">
        <f t="shared" si="100"/>
        <v>1.039610307647798E-2</v>
      </c>
      <c r="Q102" s="9">
        <f t="shared" si="100"/>
        <v>1.0446706633885257E-2</v>
      </c>
      <c r="R102" s="9">
        <f t="shared" si="100"/>
        <v>1.0497556506666996E-2</v>
      </c>
      <c r="S102" s="9">
        <f t="shared" si="100"/>
        <v>1.0548653893775744E-2</v>
      </c>
      <c r="T102" s="9">
        <f t="shared" si="100"/>
        <v>1.06E-2</v>
      </c>
      <c r="U102" s="9">
        <f t="shared" si="100"/>
        <v>1.0651596035992637E-2</v>
      </c>
      <c r="V102" s="9">
        <f t="shared" si="100"/>
        <v>1.0703443218299438E-2</v>
      </c>
      <c r="W102" s="9">
        <f t="shared" si="100"/>
        <v>1.0755542769387789E-2</v>
      </c>
      <c r="X102" s="9">
        <f t="shared" si="100"/>
        <v>1.0807895917675494E-2</v>
      </c>
      <c r="Y102" s="9">
        <f t="shared" si="100"/>
        <v>1.0860503897559744E-2</v>
      </c>
      <c r="Z102" s="9">
        <f t="shared" si="100"/>
        <v>1.0913367949446222E-2</v>
      </c>
      <c r="AA102" s="9">
        <f t="shared" si="100"/>
        <v>1.0966489319778346E-2</v>
      </c>
      <c r="AB102" s="9">
        <f t="shared" si="100"/>
        <v>1.1019869261066659E-2</v>
      </c>
      <c r="AC102" s="9">
        <f t="shared" si="100"/>
        <v>1.1073509031918371E-2</v>
      </c>
      <c r="AD102" s="9">
        <f t="shared" si="100"/>
        <v>1.1127409897067017E-2</v>
      </c>
      <c r="AE102" s="9">
        <f t="shared" si="100"/>
        <v>1.1181573127402289E-2</v>
      </c>
      <c r="AF102" s="9">
        <f t="shared" si="100"/>
        <v>1.1236000000000001E-2</v>
      </c>
      <c r="AG102" s="9">
        <f t="shared" si="100"/>
        <v>1.1290691798152196E-2</v>
      </c>
      <c r="AH102" s="9">
        <f t="shared" si="100"/>
        <v>1.1345649811397405E-2</v>
      </c>
      <c r="AI102" s="9">
        <f t="shared" si="100"/>
        <v>1.1400875335551057E-2</v>
      </c>
      <c r="AJ102" s="9">
        <f t="shared" si="100"/>
        <v>1.1456369672736024E-2</v>
      </c>
      <c r="AK102" s="9">
        <f t="shared" si="100"/>
        <v>1.151213413141333E-2</v>
      </c>
      <c r="AL102" s="9">
        <f t="shared" si="100"/>
        <v>1.1568170026412996E-2</v>
      </c>
      <c r="AM102" s="9">
        <f t="shared" si="100"/>
        <v>1.1624478678965046E-2</v>
      </c>
      <c r="AN102" s="9">
        <f t="shared" si="100"/>
        <v>1.168106141673066E-2</v>
      </c>
      <c r="AO102" s="9">
        <f t="shared" si="100"/>
        <v>1.1737919573833475E-2</v>
      </c>
      <c r="AP102" s="9">
        <f t="shared" si="100"/>
        <v>1.1795054490891039E-2</v>
      </c>
      <c r="AQ102" s="9">
        <f t="shared" si="100"/>
        <v>1.1852467515046428E-2</v>
      </c>
    </row>
    <row r="103" spans="1:43" hidden="1" outlineLevel="5">
      <c r="A103" s="2"/>
      <c r="B103" s="2"/>
      <c r="C103" s="2"/>
      <c r="D103" s="2"/>
      <c r="E103" s="2"/>
      <c r="F103" s="2" t="s">
        <v>406</v>
      </c>
      <c r="G103" s="2"/>
      <c r="H103" s="9">
        <f t="shared" ref="H103:AQ103" si="101">northern_private_provider_recommendation_rate*(1+northern_private_provider_recommendation_rate_growth)^((COLUMN()-8)/12)</f>
        <v>0.38</v>
      </c>
      <c r="I103" s="9">
        <f t="shared" si="101"/>
        <v>0.3812440211172356</v>
      </c>
      <c r="J103" s="9">
        <f t="shared" si="101"/>
        <v>0.38249211483589257</v>
      </c>
      <c r="K103" s="9">
        <f t="shared" si="101"/>
        <v>0.38374429448860814</v>
      </c>
      <c r="L103" s="9">
        <f t="shared" si="101"/>
        <v>0.38500057345166733</v>
      </c>
      <c r="M103" s="9">
        <f t="shared" si="101"/>
        <v>0.38626096514514546</v>
      </c>
      <c r="N103" s="9">
        <f t="shared" si="101"/>
        <v>0.38752548303305168</v>
      </c>
      <c r="O103" s="9">
        <f t="shared" si="101"/>
        <v>0.38879414062347278</v>
      </c>
      <c r="P103" s="9">
        <f t="shared" si="101"/>
        <v>0.39006695146871762</v>
      </c>
      <c r="Q103" s="9">
        <f t="shared" si="101"/>
        <v>0.39134392916546179</v>
      </c>
      <c r="R103" s="9">
        <f t="shared" si="101"/>
        <v>0.39262508735489288</v>
      </c>
      <c r="S103" s="9">
        <f t="shared" si="101"/>
        <v>0.39391043972285589</v>
      </c>
      <c r="T103" s="9">
        <f t="shared" si="101"/>
        <v>0.3952</v>
      </c>
      <c r="U103" s="9">
        <f t="shared" si="101"/>
        <v>0.39649378196192503</v>
      </c>
      <c r="V103" s="9">
        <f t="shared" si="101"/>
        <v>0.39779179942932824</v>
      </c>
      <c r="W103" s="9">
        <f t="shared" si="101"/>
        <v>0.39909406626815253</v>
      </c>
      <c r="X103" s="9">
        <f t="shared" si="101"/>
        <v>0.40040059638973408</v>
      </c>
      <c r="Y103" s="9">
        <f t="shared" si="101"/>
        <v>0.40171140375095132</v>
      </c>
      <c r="Z103" s="9">
        <f t="shared" si="101"/>
        <v>0.40302650235437376</v>
      </c>
      <c r="AA103" s="9">
        <f t="shared" si="101"/>
        <v>0.40434590624841166</v>
      </c>
      <c r="AB103" s="9">
        <f t="shared" si="101"/>
        <v>0.40566962952746638</v>
      </c>
      <c r="AC103" s="9">
        <f t="shared" si="101"/>
        <v>0.40699768633208033</v>
      </c>
      <c r="AD103" s="9">
        <f t="shared" si="101"/>
        <v>0.40833009084908861</v>
      </c>
      <c r="AE103" s="9">
        <f t="shared" si="101"/>
        <v>0.40966685731177011</v>
      </c>
      <c r="AF103" s="9">
        <f t="shared" si="101"/>
        <v>0.41100800000000004</v>
      </c>
      <c r="AG103" s="9">
        <f t="shared" si="101"/>
        <v>0.41235353324040203</v>
      </c>
      <c r="AH103" s="9">
        <f t="shared" si="101"/>
        <v>0.41370347140650138</v>
      </c>
      <c r="AI103" s="9">
        <f t="shared" si="101"/>
        <v>0.41505782891887866</v>
      </c>
      <c r="AJ103" s="9">
        <f t="shared" si="101"/>
        <v>0.41641662024532344</v>
      </c>
      <c r="AK103" s="9">
        <f t="shared" si="101"/>
        <v>0.41777985990098937</v>
      </c>
      <c r="AL103" s="9">
        <f t="shared" si="101"/>
        <v>0.41914756244854873</v>
      </c>
      <c r="AM103" s="9">
        <f t="shared" si="101"/>
        <v>0.42051974249834817</v>
      </c>
      <c r="AN103" s="9">
        <f t="shared" si="101"/>
        <v>0.42189641470856504</v>
      </c>
      <c r="AO103" s="9">
        <f t="shared" si="101"/>
        <v>0.4232775937853635</v>
      </c>
      <c r="AP103" s="9">
        <f t="shared" si="101"/>
        <v>0.42466329448305212</v>
      </c>
      <c r="AQ103" s="9">
        <f t="shared" si="101"/>
        <v>0.42605353160424098</v>
      </c>
    </row>
    <row r="104" spans="1:43" hidden="1" outlineLevel="5">
      <c r="A104" s="2"/>
      <c r="B104" s="2"/>
      <c r="C104" s="2"/>
      <c r="D104" s="2"/>
      <c r="E104" s="2"/>
      <c r="F104" s="2" t="s">
        <v>407</v>
      </c>
      <c r="G104" s="2"/>
      <c r="H104" s="9">
        <f t="shared" ref="H104:AQ104" si="102">northern_private_acceptance_rate*(1+northern_private_acceptance_rate_growth)^((COLUMN()-8)/12)</f>
        <v>0.81</v>
      </c>
      <c r="I104" s="9">
        <f t="shared" si="102"/>
        <v>0.81133778085455543</v>
      </c>
      <c r="J104" s="9">
        <f t="shared" si="102"/>
        <v>0.81267777116295625</v>
      </c>
      <c r="K104" s="9">
        <f t="shared" si="102"/>
        <v>0.8140199745742952</v>
      </c>
      <c r="L104" s="9">
        <f t="shared" si="102"/>
        <v>0.8153643947436916</v>
      </c>
      <c r="M104" s="9">
        <f t="shared" si="102"/>
        <v>0.8167110353323016</v>
      </c>
      <c r="N104" s="9">
        <f t="shared" si="102"/>
        <v>0.81805990000732842</v>
      </c>
      <c r="O104" s="9">
        <f t="shared" si="102"/>
        <v>0.81941099244203119</v>
      </c>
      <c r="P104" s="9">
        <f t="shared" si="102"/>
        <v>0.82076431631573632</v>
      </c>
      <c r="Q104" s="9">
        <f t="shared" si="102"/>
        <v>0.82211987531384667</v>
      </c>
      <c r="R104" s="9">
        <f t="shared" si="102"/>
        <v>0.82347767312785192</v>
      </c>
      <c r="S104" s="9">
        <f t="shared" si="102"/>
        <v>0.82483771345533863</v>
      </c>
      <c r="T104" s="9">
        <f t="shared" si="102"/>
        <v>0.82620000000000005</v>
      </c>
      <c r="U104" s="9">
        <f t="shared" si="102"/>
        <v>0.82756453647164652</v>
      </c>
      <c r="V104" s="9">
        <f t="shared" si="102"/>
        <v>0.82893132658621527</v>
      </c>
      <c r="W104" s="9">
        <f t="shared" si="102"/>
        <v>0.83030037406578105</v>
      </c>
      <c r="X104" s="9">
        <f t="shared" si="102"/>
        <v>0.83167168263856539</v>
      </c>
      <c r="Y104" s="9">
        <f t="shared" si="102"/>
        <v>0.83304525603894775</v>
      </c>
      <c r="Z104" s="9">
        <f t="shared" si="102"/>
        <v>0.83442109800747499</v>
      </c>
      <c r="AA104" s="9">
        <f t="shared" si="102"/>
        <v>0.83579921229087184</v>
      </c>
      <c r="AB104" s="9">
        <f t="shared" si="102"/>
        <v>0.83717960264205105</v>
      </c>
      <c r="AC104" s="9">
        <f t="shared" si="102"/>
        <v>0.83856227282012363</v>
      </c>
      <c r="AD104" s="9">
        <f t="shared" si="102"/>
        <v>0.8399472265904091</v>
      </c>
      <c r="AE104" s="9">
        <f t="shared" si="102"/>
        <v>0.84133446772444542</v>
      </c>
      <c r="AF104" s="9">
        <f t="shared" si="102"/>
        <v>0.84272400000000003</v>
      </c>
      <c r="AG104" s="9">
        <f t="shared" si="102"/>
        <v>0.84411582720107936</v>
      </c>
      <c r="AH104" s="9">
        <f t="shared" si="102"/>
        <v>0.84550995311793964</v>
      </c>
      <c r="AI104" s="9">
        <f t="shared" si="102"/>
        <v>0.84690638154709663</v>
      </c>
      <c r="AJ104" s="9">
        <f t="shared" si="102"/>
        <v>0.84830511629133665</v>
      </c>
      <c r="AK104" s="9">
        <f t="shared" si="102"/>
        <v>0.84970616115972675</v>
      </c>
      <c r="AL104" s="9">
        <f t="shared" si="102"/>
        <v>0.85110951996762441</v>
      </c>
      <c r="AM104" s="9">
        <f t="shared" si="102"/>
        <v>0.85251519653668928</v>
      </c>
      <c r="AN104" s="9">
        <f t="shared" si="102"/>
        <v>0.85392319469489208</v>
      </c>
      <c r="AO104" s="9">
        <f t="shared" si="102"/>
        <v>0.85533351827652604</v>
      </c>
      <c r="AP104" s="9">
        <f t="shared" si="102"/>
        <v>0.85674617112221718</v>
      </c>
      <c r="AQ104" s="9">
        <f t="shared" si="102"/>
        <v>0.85816115707893437</v>
      </c>
    </row>
    <row r="105" spans="1:43" hidden="1" outlineLevel="5">
      <c r="A105" s="2"/>
      <c r="B105" s="2"/>
      <c r="C105" s="2"/>
      <c r="D105" s="2"/>
      <c r="E105" s="2"/>
      <c r="F105" s="2" t="s">
        <v>408</v>
      </c>
      <c r="G105" s="2"/>
      <c r="H105" s="9">
        <f t="shared" ref="H105:AQ105" si="103">northern_private_stock_availability_rate*(1+northern_private_stock_availability_rate_growth)^((COLUMN()-8)/12)</f>
        <v>0.82</v>
      </c>
      <c r="I105" s="9">
        <f t="shared" si="103"/>
        <v>0.82101801992748835</v>
      </c>
      <c r="J105" s="9">
        <f t="shared" si="103"/>
        <v>0.82203730371421191</v>
      </c>
      <c r="K105" s="9">
        <f t="shared" si="103"/>
        <v>0.82305785292923617</v>
      </c>
      <c r="L105" s="9">
        <f t="shared" si="103"/>
        <v>0.824079669143575</v>
      </c>
      <c r="M105" s="9">
        <f t="shared" si="103"/>
        <v>0.82510275393019239</v>
      </c>
      <c r="N105" s="9">
        <f t="shared" si="103"/>
        <v>0.8261271088640052</v>
      </c>
      <c r="O105" s="9">
        <f t="shared" si="103"/>
        <v>0.82715273552188562</v>
      </c>
      <c r="P105" s="9">
        <f t="shared" si="103"/>
        <v>0.82817963548266349</v>
      </c>
      <c r="Q105" s="9">
        <f t="shared" si="103"/>
        <v>0.82920781032712865</v>
      </c>
      <c r="R105" s="9">
        <f t="shared" si="103"/>
        <v>0.83023726163803369</v>
      </c>
      <c r="S105" s="9">
        <f t="shared" si="103"/>
        <v>0.83126799100009574</v>
      </c>
      <c r="T105" s="9">
        <f t="shared" si="103"/>
        <v>0.83229999999999982</v>
      </c>
      <c r="U105" s="9">
        <f t="shared" si="103"/>
        <v>0.83333329022640068</v>
      </c>
      <c r="V105" s="9">
        <f t="shared" si="103"/>
        <v>0.83436786326992507</v>
      </c>
      <c r="W105" s="9">
        <f t="shared" si="103"/>
        <v>0.83540372072317459</v>
      </c>
      <c r="X105" s="9">
        <f t="shared" si="103"/>
        <v>0.83644086418072849</v>
      </c>
      <c r="Y105" s="9">
        <f t="shared" si="103"/>
        <v>0.83747929523914511</v>
      </c>
      <c r="Z105" s="9">
        <f t="shared" si="103"/>
        <v>0.83851901549696517</v>
      </c>
      <c r="AA105" s="9">
        <f t="shared" si="103"/>
        <v>0.83956002655471385</v>
      </c>
      <c r="AB105" s="9">
        <f t="shared" si="103"/>
        <v>0.84060233001490348</v>
      </c>
      <c r="AC105" s="9">
        <f t="shared" si="103"/>
        <v>0.84164592748203548</v>
      </c>
      <c r="AD105" s="9">
        <f t="shared" si="103"/>
        <v>0.84269082056260414</v>
      </c>
      <c r="AE105" s="9">
        <f t="shared" si="103"/>
        <v>0.84373701086509723</v>
      </c>
      <c r="AF105" s="9">
        <f t="shared" si="103"/>
        <v>0.84478449999999972</v>
      </c>
      <c r="AG105" s="9">
        <f t="shared" si="103"/>
        <v>0.84583328957979653</v>
      </c>
      <c r="AH105" s="9">
        <f t="shared" si="103"/>
        <v>0.84688338121897389</v>
      </c>
      <c r="AI105" s="9">
        <f t="shared" si="103"/>
        <v>0.84793477653402216</v>
      </c>
      <c r="AJ105" s="9">
        <f t="shared" si="103"/>
        <v>0.84898747714343947</v>
      </c>
      <c r="AK105" s="9">
        <f t="shared" si="103"/>
        <v>0.85004148466773222</v>
      </c>
      <c r="AL105" s="9">
        <f t="shared" si="103"/>
        <v>0.85109680072941962</v>
      </c>
      <c r="AM105" s="9">
        <f t="shared" si="103"/>
        <v>0.85215342695303431</v>
      </c>
      <c r="AN105" s="9">
        <f t="shared" si="103"/>
        <v>0.85321136496512673</v>
      </c>
      <c r="AO105" s="9">
        <f t="shared" si="103"/>
        <v>0.85427061639426605</v>
      </c>
      <c r="AP105" s="9">
        <f t="shared" si="103"/>
        <v>0.85533118287104304</v>
      </c>
      <c r="AQ105" s="9">
        <f t="shared" si="103"/>
        <v>0.85639306602807352</v>
      </c>
    </row>
    <row r="106" spans="1:43" hidden="1" outlineLevel="5" collapsed="1">
      <c r="A106" s="2"/>
      <c r="B106" s="2"/>
      <c r="C106" s="2"/>
      <c r="D106" s="2"/>
      <c r="E106" s="2"/>
      <c r="F106" s="2" t="s">
        <v>409</v>
      </c>
      <c r="G106" s="2"/>
      <c r="H106" s="9">
        <f>0.05</f>
        <v>0.05</v>
      </c>
      <c r="I106" s="9">
        <f t="shared" ref="I106:AQ106" si="104">H106+I107-I108</f>
        <v>5.3373059622371044E-2</v>
      </c>
      <c r="J106" s="9">
        <f t="shared" si="104"/>
        <v>5.676923573836274E-2</v>
      </c>
      <c r="K106" s="9">
        <f t="shared" si="104"/>
        <v>6.0188585359484549E-2</v>
      </c>
      <c r="L106" s="9">
        <f t="shared" si="104"/>
        <v>6.3631165637851678E-2</v>
      </c>
      <c r="M106" s="9">
        <f t="shared" si="104"/>
        <v>6.7097033866531888E-2</v>
      </c>
      <c r="N106" s="9">
        <f t="shared" si="104"/>
        <v>7.0586247479893102E-2</v>
      </c>
      <c r="O106" s="9">
        <f t="shared" si="104"/>
        <v>7.4098864053951885E-2</v>
      </c>
      <c r="P106" s="9">
        <f t="shared" si="104"/>
        <v>7.7634941306722785E-2</v>
      </c>
      <c r="Q106" s="9">
        <f t="shared" si="104"/>
        <v>8.1194537098568539E-2</v>
      </c>
      <c r="R106" s="9">
        <f t="shared" si="104"/>
        <v>8.4777709432551168E-2</v>
      </c>
      <c r="S106" s="9">
        <f t="shared" si="104"/>
        <v>8.8384516454783874E-2</v>
      </c>
      <c r="T106" s="9">
        <f t="shared" si="104"/>
        <v>9.2015016454783868E-2</v>
      </c>
      <c r="U106" s="9">
        <f t="shared" si="104"/>
        <v>9.5669267865826038E-2</v>
      </c>
      <c r="V106" s="9">
        <f t="shared" si="104"/>
        <v>9.9347329265297477E-2</v>
      </c>
      <c r="W106" s="9">
        <f t="shared" si="104"/>
        <v>0.10304925937505292</v>
      </c>
      <c r="X106" s="9">
        <f t="shared" si="104"/>
        <v>0.10677511706177106</v>
      </c>
      <c r="Y106" s="9">
        <f t="shared" si="104"/>
        <v>0.11052496133731168</v>
      </c>
      <c r="Z106" s="9">
        <f t="shared" si="104"/>
        <v>0.11429885135907374</v>
      </c>
      <c r="AA106" s="9">
        <f t="shared" si="104"/>
        <v>0.11809684643035429</v>
      </c>
      <c r="AB106" s="9">
        <f t="shared" si="104"/>
        <v>0.12191900600070832</v>
      </c>
      <c r="AC106" s="9">
        <f t="shared" si="104"/>
        <v>0.12576538966630946</v>
      </c>
      <c r="AD106" s="9">
        <f t="shared" si="104"/>
        <v>0.12963605717031157</v>
      </c>
      <c r="AE106" s="9">
        <f t="shared" si="104"/>
        <v>0.13353106840321124</v>
      </c>
      <c r="AF106" s="9">
        <f t="shared" si="104"/>
        <v>0.13745048340321123</v>
      </c>
      <c r="AG106" s="9">
        <f t="shared" si="104"/>
        <v>0.14139436235658465</v>
      </c>
      <c r="AH106" s="9">
        <f t="shared" si="104"/>
        <v>0.14536276559804023</v>
      </c>
      <c r="AI106" s="9">
        <f t="shared" si="104"/>
        <v>0.14935575361108835</v>
      </c>
      <c r="AJ106" s="9">
        <f t="shared" si="104"/>
        <v>0.15337338702840805</v>
      </c>
      <c r="AK106" s="9">
        <f t="shared" si="104"/>
        <v>0.1574157266322149</v>
      </c>
      <c r="AL106" s="9">
        <f t="shared" si="104"/>
        <v>0.16148283335462982</v>
      </c>
      <c r="AM106" s="9">
        <f t="shared" si="104"/>
        <v>0.16557476827804879</v>
      </c>
      <c r="AN106" s="9">
        <f t="shared" si="104"/>
        <v>0.16969159263551345</v>
      </c>
      <c r="AO106" s="9">
        <f t="shared" si="104"/>
        <v>0.17383336781108261</v>
      </c>
      <c r="AP106" s="9">
        <f t="shared" si="104"/>
        <v>0.17800015534020477</v>
      </c>
      <c r="AQ106" s="9">
        <f t="shared" si="104"/>
        <v>0.18219201691009146</v>
      </c>
    </row>
    <row r="107" spans="1:43" hidden="1" outlineLevel="6">
      <c r="A107" s="2"/>
      <c r="B107" s="2"/>
      <c r="C107" s="2"/>
      <c r="D107" s="2"/>
      <c r="E107" s="2"/>
      <c r="F107" s="2"/>
      <c r="G107" s="2" t="s">
        <v>212</v>
      </c>
      <c r="H107" s="9">
        <f t="shared" ref="H107:AQ107" si="105">northern_private_coverage_additions*(1+northern_private_coverage_additions_growth)^((COLUMN()-8)/12)</f>
        <v>9.3499999999999989E-3</v>
      </c>
      <c r="I107" s="9">
        <f t="shared" si="105"/>
        <v>9.3730596223710379E-3</v>
      </c>
      <c r="J107" s="9">
        <f t="shared" si="105"/>
        <v>9.3961761159916894E-3</v>
      </c>
      <c r="K107" s="9">
        <f t="shared" si="105"/>
        <v>9.419349621121802E-3</v>
      </c>
      <c r="L107" s="9">
        <f t="shared" si="105"/>
        <v>9.4425802783671339E-3</v>
      </c>
      <c r="M107" s="9">
        <f t="shared" si="105"/>
        <v>9.4658682286802211E-3</v>
      </c>
      <c r="N107" s="9">
        <f t="shared" si="105"/>
        <v>9.4892136133612245E-3</v>
      </c>
      <c r="O107" s="9">
        <f t="shared" si="105"/>
        <v>9.5126165740587881E-3</v>
      </c>
      <c r="P107" s="9">
        <f t="shared" si="105"/>
        <v>9.5360772527709036E-3</v>
      </c>
      <c r="Q107" s="9">
        <f t="shared" si="105"/>
        <v>9.5595957918457649E-3</v>
      </c>
      <c r="R107" s="9">
        <f t="shared" si="105"/>
        <v>9.5831723339826341E-3</v>
      </c>
      <c r="S107" s="9">
        <f t="shared" si="105"/>
        <v>9.6068070222327124E-3</v>
      </c>
      <c r="T107" s="9">
        <f t="shared" si="105"/>
        <v>9.6304999999999984E-3</v>
      </c>
      <c r="U107" s="9">
        <f t="shared" si="105"/>
        <v>9.6542514110421699E-3</v>
      </c>
      <c r="V107" s="9">
        <f t="shared" si="105"/>
        <v>9.678061399471442E-3</v>
      </c>
      <c r="W107" s="9">
        <f t="shared" si="105"/>
        <v>9.7019301097554574E-3</v>
      </c>
      <c r="X107" s="9">
        <f t="shared" si="105"/>
        <v>9.7258576867181486E-3</v>
      </c>
      <c r="Y107" s="9">
        <f t="shared" si="105"/>
        <v>9.7498442755406273E-3</v>
      </c>
      <c r="Z107" s="9">
        <f t="shared" si="105"/>
        <v>9.7738900217620613E-3</v>
      </c>
      <c r="AA107" s="9">
        <f t="shared" si="105"/>
        <v>9.797995071280553E-3</v>
      </c>
      <c r="AB107" s="9">
        <f t="shared" si="105"/>
        <v>9.8221595703540318E-3</v>
      </c>
      <c r="AC107" s="9">
        <f t="shared" si="105"/>
        <v>9.8463836656011369E-3</v>
      </c>
      <c r="AD107" s="9">
        <f t="shared" si="105"/>
        <v>9.870667504002114E-3</v>
      </c>
      <c r="AE107" s="9">
        <f t="shared" si="105"/>
        <v>9.895011232899693E-3</v>
      </c>
      <c r="AF107" s="9">
        <f t="shared" si="105"/>
        <v>9.9194149999999991E-3</v>
      </c>
      <c r="AG107" s="9">
        <f t="shared" si="105"/>
        <v>9.9438789533734338E-3</v>
      </c>
      <c r="AH107" s="9">
        <f t="shared" si="105"/>
        <v>9.9684032414555854E-3</v>
      </c>
      <c r="AI107" s="9">
        <f t="shared" si="105"/>
        <v>9.9929880130481194E-3</v>
      </c>
      <c r="AJ107" s="9">
        <f t="shared" si="105"/>
        <v>1.0017633417319694E-2</v>
      </c>
      <c r="AK107" s="9">
        <f t="shared" si="105"/>
        <v>1.0042339603806847E-2</v>
      </c>
      <c r="AL107" s="9">
        <f t="shared" si="105"/>
        <v>1.0067106722414922E-2</v>
      </c>
      <c r="AM107" s="9">
        <f t="shared" si="105"/>
        <v>1.009193492341897E-2</v>
      </c>
      <c r="AN107" s="9">
        <f t="shared" si="105"/>
        <v>1.0116824357464653E-2</v>
      </c>
      <c r="AO107" s="9">
        <f t="shared" si="105"/>
        <v>1.0141775175569172E-2</v>
      </c>
      <c r="AP107" s="9">
        <f t="shared" si="105"/>
        <v>1.0166787529122178E-2</v>
      </c>
      <c r="AQ107" s="9">
        <f t="shared" si="105"/>
        <v>1.0191861569886686E-2</v>
      </c>
    </row>
    <row r="108" spans="1:43" hidden="1" outlineLevel="6">
      <c r="A108" s="2"/>
      <c r="B108" s="2"/>
      <c r="C108" s="2"/>
      <c r="D108" s="2"/>
      <c r="E108" s="2"/>
      <c r="F108" s="2"/>
      <c r="G108" s="2" t="s">
        <v>410</v>
      </c>
      <c r="H108" s="9">
        <f t="shared" ref="H108:AQ108" si="106">northern_private_coverage_churn*(1+northern_private_coverage_churn_growth)^((COLUMN()-8)/12)</f>
        <v>6.0000000000000001E-3</v>
      </c>
      <c r="I108" s="9">
        <f t="shared" si="106"/>
        <v>6.0000000000000001E-3</v>
      </c>
      <c r="J108" s="9">
        <f t="shared" si="106"/>
        <v>6.0000000000000001E-3</v>
      </c>
      <c r="K108" s="9">
        <f t="shared" si="106"/>
        <v>6.0000000000000001E-3</v>
      </c>
      <c r="L108" s="9">
        <f t="shared" si="106"/>
        <v>6.0000000000000001E-3</v>
      </c>
      <c r="M108" s="9">
        <f t="shared" si="106"/>
        <v>6.0000000000000001E-3</v>
      </c>
      <c r="N108" s="9">
        <f t="shared" si="106"/>
        <v>6.0000000000000001E-3</v>
      </c>
      <c r="O108" s="9">
        <f t="shared" si="106"/>
        <v>6.0000000000000001E-3</v>
      </c>
      <c r="P108" s="9">
        <f t="shared" si="106"/>
        <v>6.0000000000000001E-3</v>
      </c>
      <c r="Q108" s="9">
        <f t="shared" si="106"/>
        <v>6.0000000000000001E-3</v>
      </c>
      <c r="R108" s="9">
        <f t="shared" si="106"/>
        <v>6.0000000000000001E-3</v>
      </c>
      <c r="S108" s="9">
        <f t="shared" si="106"/>
        <v>6.0000000000000001E-3</v>
      </c>
      <c r="T108" s="9">
        <f t="shared" si="106"/>
        <v>6.0000000000000001E-3</v>
      </c>
      <c r="U108" s="9">
        <f t="shared" si="106"/>
        <v>6.0000000000000001E-3</v>
      </c>
      <c r="V108" s="9">
        <f t="shared" si="106"/>
        <v>6.0000000000000001E-3</v>
      </c>
      <c r="W108" s="9">
        <f t="shared" si="106"/>
        <v>6.0000000000000001E-3</v>
      </c>
      <c r="X108" s="9">
        <f t="shared" si="106"/>
        <v>6.0000000000000001E-3</v>
      </c>
      <c r="Y108" s="9">
        <f t="shared" si="106"/>
        <v>6.0000000000000001E-3</v>
      </c>
      <c r="Z108" s="9">
        <f t="shared" si="106"/>
        <v>6.0000000000000001E-3</v>
      </c>
      <c r="AA108" s="9">
        <f t="shared" si="106"/>
        <v>6.0000000000000001E-3</v>
      </c>
      <c r="AB108" s="9">
        <f t="shared" si="106"/>
        <v>6.0000000000000001E-3</v>
      </c>
      <c r="AC108" s="9">
        <f t="shared" si="106"/>
        <v>6.0000000000000001E-3</v>
      </c>
      <c r="AD108" s="9">
        <f t="shared" si="106"/>
        <v>6.0000000000000001E-3</v>
      </c>
      <c r="AE108" s="9">
        <f t="shared" si="106"/>
        <v>6.0000000000000001E-3</v>
      </c>
      <c r="AF108" s="9">
        <f t="shared" si="106"/>
        <v>6.0000000000000001E-3</v>
      </c>
      <c r="AG108" s="9">
        <f t="shared" si="106"/>
        <v>6.0000000000000001E-3</v>
      </c>
      <c r="AH108" s="9">
        <f t="shared" si="106"/>
        <v>6.0000000000000001E-3</v>
      </c>
      <c r="AI108" s="9">
        <f t="shared" si="106"/>
        <v>6.0000000000000001E-3</v>
      </c>
      <c r="AJ108" s="9">
        <f t="shared" si="106"/>
        <v>6.0000000000000001E-3</v>
      </c>
      <c r="AK108" s="9">
        <f t="shared" si="106"/>
        <v>6.0000000000000001E-3</v>
      </c>
      <c r="AL108" s="9">
        <f t="shared" si="106"/>
        <v>6.0000000000000001E-3</v>
      </c>
      <c r="AM108" s="9">
        <f t="shared" si="106"/>
        <v>6.0000000000000001E-3</v>
      </c>
      <c r="AN108" s="9">
        <f t="shared" si="106"/>
        <v>6.0000000000000001E-3</v>
      </c>
      <c r="AO108" s="9">
        <f t="shared" si="106"/>
        <v>6.0000000000000001E-3</v>
      </c>
      <c r="AP108" s="9">
        <f t="shared" si="106"/>
        <v>6.0000000000000001E-3</v>
      </c>
      <c r="AQ108" s="9">
        <f t="shared" si="106"/>
        <v>6.0000000000000001E-3</v>
      </c>
    </row>
    <row r="109" spans="1:43" hidden="1" outlineLevel="4">
      <c r="A109" s="2"/>
      <c r="B109" s="2"/>
      <c r="C109" s="2"/>
      <c r="D109" s="2"/>
      <c r="E109" s="2" t="s">
        <v>411</v>
      </c>
      <c r="F109" s="2"/>
      <c r="G109" s="2"/>
      <c r="H109" s="9">
        <f t="shared" ref="H109:AQ109" si="107">northern_private_net_price_per_dose*(1+northern_private_net_price_per_dose_growth)^((COLUMN()-8)/12)</f>
        <v>76000</v>
      </c>
      <c r="I109" s="9">
        <f t="shared" si="107"/>
        <v>76218.188302649825</v>
      </c>
      <c r="J109" s="9">
        <f t="shared" si="107"/>
        <v>76437.003001818244</v>
      </c>
      <c r="K109" s="9">
        <f t="shared" si="107"/>
        <v>76656.445895826226</v>
      </c>
      <c r="L109" s="9">
        <f t="shared" si="107"/>
        <v>76876.518788157511</v>
      </c>
      <c r="M109" s="9">
        <f t="shared" si="107"/>
        <v>77097.2234874735</v>
      </c>
      <c r="N109" s="9">
        <f t="shared" si="107"/>
        <v>77318.561807628052</v>
      </c>
      <c r="O109" s="9">
        <f t="shared" si="107"/>
        <v>77540.535567682426</v>
      </c>
      <c r="P109" s="9">
        <f t="shared" si="107"/>
        <v>77763.146591920187</v>
      </c>
      <c r="Q109" s="9">
        <f t="shared" si="107"/>
        <v>77986.396709862311</v>
      </c>
      <c r="R109" s="9">
        <f t="shared" si="107"/>
        <v>78210.28775628205</v>
      </c>
      <c r="S109" s="9">
        <f t="shared" si="107"/>
        <v>78434.821571220164</v>
      </c>
      <c r="T109" s="9">
        <f t="shared" si="107"/>
        <v>78660</v>
      </c>
      <c r="U109" s="9">
        <f t="shared" si="107"/>
        <v>78885.824893242563</v>
      </c>
      <c r="V109" s="9">
        <f t="shared" si="107"/>
        <v>79112.298106881877</v>
      </c>
      <c r="W109" s="9">
        <f t="shared" si="107"/>
        <v>79339.421502180121</v>
      </c>
      <c r="X109" s="9">
        <f t="shared" si="107"/>
        <v>79567.19694574301</v>
      </c>
      <c r="Y109" s="9">
        <f t="shared" si="107"/>
        <v>79795.626309535073</v>
      </c>
      <c r="Z109" s="9">
        <f t="shared" si="107"/>
        <v>80024.711470895039</v>
      </c>
      <c r="AA109" s="9">
        <f t="shared" si="107"/>
        <v>80254.454312551301</v>
      </c>
      <c r="AB109" s="9">
        <f t="shared" si="107"/>
        <v>80484.856722637385</v>
      </c>
      <c r="AC109" s="9">
        <f t="shared" si="107"/>
        <v>80715.920594707481</v>
      </c>
      <c r="AD109" s="9">
        <f t="shared" si="107"/>
        <v>80947.647827751905</v>
      </c>
      <c r="AE109" s="9">
        <f t="shared" si="107"/>
        <v>81180.040326212882</v>
      </c>
      <c r="AF109" s="9">
        <f t="shared" si="107"/>
        <v>81413.099999999991</v>
      </c>
      <c r="AG109" s="9">
        <f t="shared" si="107"/>
        <v>81646.828764506048</v>
      </c>
      <c r="AH109" s="9">
        <f t="shared" si="107"/>
        <v>81881.228540622731</v>
      </c>
      <c r="AI109" s="9">
        <f t="shared" si="107"/>
        <v>82116.301254756429</v>
      </c>
      <c r="AJ109" s="9">
        <f t="shared" si="107"/>
        <v>82352.048838844028</v>
      </c>
      <c r="AK109" s="9">
        <f t="shared" si="107"/>
        <v>82588.473230368792</v>
      </c>
      <c r="AL109" s="9">
        <f t="shared" si="107"/>
        <v>82825.576372376338</v>
      </c>
      <c r="AM109" s="9">
        <f t="shared" si="107"/>
        <v>83063.360213490596</v>
      </c>
      <c r="AN109" s="9">
        <f t="shared" si="107"/>
        <v>83301.826707929693</v>
      </c>
      <c r="AO109" s="9">
        <f t="shared" si="107"/>
        <v>83540.977815522245</v>
      </c>
      <c r="AP109" s="9">
        <f t="shared" si="107"/>
        <v>83780.815501723235</v>
      </c>
      <c r="AQ109" s="9">
        <f t="shared" si="107"/>
        <v>84021.341737630311</v>
      </c>
    </row>
    <row r="110" spans="1:43" s="18" customFormat="1" outlineLevel="1" collapsed="1">
      <c r="A110" s="17"/>
      <c r="B110" s="17" t="s">
        <v>412</v>
      </c>
      <c r="C110" s="17"/>
      <c r="D110" s="17"/>
      <c r="E110" s="17"/>
      <c r="F110" s="17"/>
      <c r="G110" s="17"/>
      <c r="H110" s="17">
        <f t="shared" ref="H110:AQ110" si="108">(H111+H260)</f>
        <v>135045466.90064085</v>
      </c>
      <c r="I110" s="17">
        <f t="shared" si="108"/>
        <v>137728483.88585582</v>
      </c>
      <c r="J110" s="17">
        <f t="shared" si="108"/>
        <v>140496441.98788247</v>
      </c>
      <c r="K110" s="17">
        <f t="shared" si="108"/>
        <v>143351722.08487761</v>
      </c>
      <c r="L110" s="17">
        <f t="shared" si="108"/>
        <v>146296765.66299957</v>
      </c>
      <c r="M110" s="17">
        <f t="shared" si="108"/>
        <v>149334076.27109373</v>
      </c>
      <c r="N110" s="17">
        <f t="shared" si="108"/>
        <v>152466221.00899443</v>
      </c>
      <c r="O110" s="17">
        <f t="shared" si="108"/>
        <v>155695832.05019933</v>
      </c>
      <c r="P110" s="17">
        <f t="shared" si="108"/>
        <v>159025608.19969022</v>
      </c>
      <c r="Q110" s="17">
        <f t="shared" si="108"/>
        <v>162458316.48769093</v>
      </c>
      <c r="R110" s="17">
        <f t="shared" si="108"/>
        <v>165996793.80016983</v>
      </c>
      <c r="S110" s="17">
        <f t="shared" si="108"/>
        <v>169643948.5469141</v>
      </c>
      <c r="T110" s="17">
        <f t="shared" si="108"/>
        <v>173402762.36801872</v>
      </c>
      <c r="U110" s="17">
        <f t="shared" si="108"/>
        <v>177276291.87965375</v>
      </c>
      <c r="V110" s="17">
        <f t="shared" si="108"/>
        <v>181267670.45999128</v>
      </c>
      <c r="W110" s="17">
        <f t="shared" si="108"/>
        <v>185380110.07619366</v>
      </c>
      <c r="X110" s="17">
        <f t="shared" si="108"/>
        <v>189616903.15338406</v>
      </c>
      <c r="Y110" s="17">
        <f t="shared" si="108"/>
        <v>193981424.48654065</v>
      </c>
      <c r="Z110" s="17">
        <f t="shared" si="108"/>
        <v>198477133.19627672</v>
      </c>
      <c r="AA110" s="17">
        <f t="shared" si="108"/>
        <v>203107574.72949028</v>
      </c>
      <c r="AB110" s="17">
        <f t="shared" si="108"/>
        <v>207876382.90588766</v>
      </c>
      <c r="AC110" s="17">
        <f t="shared" si="108"/>
        <v>212787282.01140893</v>
      </c>
      <c r="AD110" s="17">
        <f t="shared" si="108"/>
        <v>217844088.93960407</v>
      </c>
      <c r="AE110" s="17">
        <f t="shared" si="108"/>
        <v>223050715.38203341</v>
      </c>
      <c r="AF110" s="17">
        <f t="shared" si="108"/>
        <v>228411170.06878895</v>
      </c>
      <c r="AG110" s="17">
        <f t="shared" si="108"/>
        <v>233929561.06025603</v>
      </c>
      <c r="AH110" s="17">
        <f t="shared" si="108"/>
        <v>239610098.09126127</v>
      </c>
      <c r="AI110" s="17">
        <f t="shared" si="108"/>
        <v>245457094.96877751</v>
      </c>
      <c r="AJ110" s="17">
        <f t="shared" si="108"/>
        <v>251474972.02438095</v>
      </c>
      <c r="AK110" s="17">
        <f t="shared" si="108"/>
        <v>257668258.62268278</v>
      </c>
      <c r="AL110" s="17">
        <f t="shared" si="108"/>
        <v>264041595.72698575</v>
      </c>
      <c r="AM110" s="17">
        <f t="shared" si="108"/>
        <v>270599738.52344048</v>
      </c>
      <c r="AN110" s="17">
        <f t="shared" si="108"/>
        <v>277347559.10500693</v>
      </c>
      <c r="AO110" s="17">
        <f t="shared" si="108"/>
        <v>284290049.216555</v>
      </c>
      <c r="AP110" s="17">
        <f t="shared" si="108"/>
        <v>291432323.06246465</v>
      </c>
      <c r="AQ110" s="17">
        <f t="shared" si="108"/>
        <v>298779620.17812014</v>
      </c>
    </row>
    <row r="111" spans="1:43" hidden="1" outlineLevel="2" collapsed="1">
      <c r="A111" s="7"/>
      <c r="B111" s="7"/>
      <c r="C111" s="7" t="s">
        <v>413</v>
      </c>
      <c r="D111" s="7"/>
      <c r="E111" s="7"/>
      <c r="F111" s="7"/>
      <c r="G111" s="7"/>
      <c r="H111" s="8">
        <f t="shared" ref="H111:AQ111" si="109">(((((((H112+H137)+H162)+H187)+H200)+H213)+H230)+H247)</f>
        <v>9745466.9006408565</v>
      </c>
      <c r="I111" s="8">
        <f t="shared" si="109"/>
        <v>12010320.233264972</v>
      </c>
      <c r="J111" s="8">
        <f t="shared" si="109"/>
        <v>14358661.994549355</v>
      </c>
      <c r="K111" s="8">
        <f t="shared" si="109"/>
        <v>16792867.839328121</v>
      </c>
      <c r="L111" s="8">
        <f t="shared" si="109"/>
        <v>19315374.01112001</v>
      </c>
      <c r="M111" s="8">
        <f t="shared" si="109"/>
        <v>21928678.796741128</v>
      </c>
      <c r="N111" s="8">
        <f t="shared" si="109"/>
        <v>24635344.014533304</v>
      </c>
      <c r="O111" s="8">
        <f t="shared" si="109"/>
        <v>27437996.536964972</v>
      </c>
      <c r="P111" s="8">
        <f t="shared" si="109"/>
        <v>30339329.848378103</v>
      </c>
      <c r="Q111" s="8">
        <f t="shared" si="109"/>
        <v>33342105.63867173</v>
      </c>
      <c r="R111" s="8">
        <f t="shared" si="109"/>
        <v>36449155.433730409</v>
      </c>
      <c r="S111" s="8">
        <f t="shared" si="109"/>
        <v>39663382.263423398</v>
      </c>
      <c r="T111" s="8">
        <f t="shared" si="109"/>
        <v>42987762.368018724</v>
      </c>
      <c r="U111" s="8">
        <f t="shared" si="109"/>
        <v>46425346.943875082</v>
      </c>
      <c r="V111" s="8">
        <f t="shared" si="109"/>
        <v>49979263.929293334</v>
      </c>
      <c r="W111" s="8">
        <f t="shared" si="109"/>
        <v>53652719.831428729</v>
      </c>
      <c r="X111" s="8">
        <f t="shared" si="109"/>
        <v>57449001.595185257</v>
      </c>
      <c r="Y111" s="8">
        <f t="shared" si="109"/>
        <v>61371478.515033424</v>
      </c>
      <c r="Z111" s="8">
        <f t="shared" si="109"/>
        <v>65423604.190713502</v>
      </c>
      <c r="AA111" s="8">
        <f t="shared" si="109"/>
        <v>69608918.52780813</v>
      </c>
      <c r="AB111" s="8">
        <f t="shared" si="109"/>
        <v>73931049.784188494</v>
      </c>
      <c r="AC111" s="8">
        <f t="shared" si="109"/>
        <v>78393716.663362086</v>
      </c>
      <c r="AD111" s="8">
        <f t="shared" si="109"/>
        <v>83000730.455770969</v>
      </c>
      <c r="AE111" s="8">
        <f t="shared" si="109"/>
        <v>87755997.229113862</v>
      </c>
      <c r="AF111" s="8">
        <f t="shared" si="109"/>
        <v>92663520.068788961</v>
      </c>
      <c r="AG111" s="8">
        <f t="shared" si="109"/>
        <v>97727401.369576603</v>
      </c>
      <c r="AH111" s="8">
        <f t="shared" si="109"/>
        <v>102951845.17970824</v>
      </c>
      <c r="AI111" s="8">
        <f t="shared" si="109"/>
        <v>108341159.59849182</v>
      </c>
      <c r="AJ111" s="8">
        <f t="shared" si="109"/>
        <v>113899759.22868893</v>
      </c>
      <c r="AK111" s="8">
        <f t="shared" si="109"/>
        <v>119632167.68486673</v>
      </c>
      <c r="AL111" s="8">
        <f t="shared" si="109"/>
        <v>125543020.15897374</v>
      </c>
      <c r="AM111" s="8">
        <f t="shared" si="109"/>
        <v>131637066.04441571</v>
      </c>
      <c r="AN111" s="8">
        <f t="shared" si="109"/>
        <v>137919171.61993593</v>
      </c>
      <c r="AO111" s="8">
        <f t="shared" si="109"/>
        <v>144394322.79463449</v>
      </c>
      <c r="AP111" s="8">
        <f t="shared" si="109"/>
        <v>151067627.91548672</v>
      </c>
      <c r="AQ111" s="8">
        <f t="shared" si="109"/>
        <v>157944320.63875583</v>
      </c>
    </row>
    <row r="112" spans="1:43" hidden="1" outlineLevel="3" collapsed="1">
      <c r="A112" s="2"/>
      <c r="B112" s="2"/>
      <c r="C112" s="2"/>
      <c r="D112" s="2" t="s">
        <v>414</v>
      </c>
      <c r="E112" s="2"/>
      <c r="F112" s="2"/>
      <c r="G112" s="2"/>
      <c r="H112" s="9">
        <f t="shared" ref="H112:AQ112" si="110">(((((((H113+H116)+H119)+H122)+H125)+H128)+H131)+H134)</f>
        <v>7400145.740924878</v>
      </c>
      <c r="I112" s="9">
        <f t="shared" si="110"/>
        <v>9129944.807022091</v>
      </c>
      <c r="J112" s="9">
        <f t="shared" si="110"/>
        <v>10923406.510686979</v>
      </c>
      <c r="K112" s="9">
        <f t="shared" si="110"/>
        <v>12782338.747862428</v>
      </c>
      <c r="L112" s="9">
        <f t="shared" si="110"/>
        <v>14708595.419960329</v>
      </c>
      <c r="M112" s="9">
        <f t="shared" si="110"/>
        <v>16704077.535666008</v>
      </c>
      <c r="N112" s="9">
        <f t="shared" si="110"/>
        <v>18770734.338138081</v>
      </c>
      <c r="O112" s="9">
        <f t="shared" si="110"/>
        <v>20910564.458173905</v>
      </c>
      <c r="P112" s="9">
        <f t="shared" si="110"/>
        <v>23125617.093923345</v>
      </c>
      <c r="Q112" s="9">
        <f t="shared" si="110"/>
        <v>25417993.217746269</v>
      </c>
      <c r="R112" s="9">
        <f t="shared" si="110"/>
        <v>27789846.810822774</v>
      </c>
      <c r="S112" s="9">
        <f t="shared" si="110"/>
        <v>30243386.126137823</v>
      </c>
      <c r="T112" s="9">
        <f t="shared" si="110"/>
        <v>32780874.980476294</v>
      </c>
      <c r="U112" s="9">
        <f t="shared" si="110"/>
        <v>35404634.076078095</v>
      </c>
      <c r="V112" s="9">
        <f t="shared" si="110"/>
        <v>38117042.352617443</v>
      </c>
      <c r="W112" s="9">
        <f t="shared" si="110"/>
        <v>40920538.370184697</v>
      </c>
      <c r="X112" s="9">
        <f t="shared" si="110"/>
        <v>43817621.723964646</v>
      </c>
      <c r="Y112" s="9">
        <f t="shared" si="110"/>
        <v>46810854.491319641</v>
      </c>
      <c r="Z112" s="9">
        <f t="shared" si="110"/>
        <v>49902862.712002128</v>
      </c>
      <c r="AA112" s="9">
        <f t="shared" si="110"/>
        <v>53096337.902236924</v>
      </c>
      <c r="AB112" s="9">
        <f t="shared" si="110"/>
        <v>56394038.603429355</v>
      </c>
      <c r="AC112" s="9">
        <f t="shared" si="110"/>
        <v>59798791.966272771</v>
      </c>
      <c r="AD112" s="9">
        <f t="shared" si="110"/>
        <v>63313495.37104506</v>
      </c>
      <c r="AE112" s="9">
        <f t="shared" si="110"/>
        <v>66941118.084901892</v>
      </c>
      <c r="AF112" s="9">
        <f t="shared" si="110"/>
        <v>70684702.956991807</v>
      </c>
      <c r="AG112" s="9">
        <f t="shared" si="110"/>
        <v>74547368.152235851</v>
      </c>
      <c r="AH112" s="9">
        <f t="shared" si="110"/>
        <v>78532308.924633741</v>
      </c>
      <c r="AI112" s="9">
        <f t="shared" si="110"/>
        <v>82642799.430977285</v>
      </c>
      <c r="AJ112" s="9">
        <f t="shared" si="110"/>
        <v>86882194.585870266</v>
      </c>
      <c r="AK112" s="9">
        <f t="shared" si="110"/>
        <v>91253931.958974823</v>
      </c>
      <c r="AL112" s="9">
        <f t="shared" si="110"/>
        <v>95761533.715423763</v>
      </c>
      <c r="AM112" s="9">
        <f t="shared" si="110"/>
        <v>100408608.60035902</v>
      </c>
      <c r="AN112" s="9">
        <f t="shared" si="110"/>
        <v>105198853.96857701</v>
      </c>
      <c r="AO112" s="9">
        <f t="shared" si="110"/>
        <v>110136057.86028481</v>
      </c>
      <c r="AP112" s="9">
        <f t="shared" si="110"/>
        <v>115224101.12398984</v>
      </c>
      <c r="AQ112" s="9">
        <f t="shared" si="110"/>
        <v>120466959.58757202</v>
      </c>
    </row>
    <row r="113" spans="1:43" hidden="1" outlineLevel="4" collapsed="1">
      <c r="A113" s="2"/>
      <c r="B113" s="2"/>
      <c r="C113" s="2"/>
      <c r="D113" s="2"/>
      <c r="E113" s="2" t="s">
        <v>415</v>
      </c>
      <c r="F113" s="2"/>
      <c r="G113" s="2"/>
      <c r="H113" s="9">
        <f t="shared" ref="H113:AQ113" si="111">(H114*H115)</f>
        <v>3290523.8712973893</v>
      </c>
      <c r="I113" s="9">
        <f t="shared" si="111"/>
        <v>4230944.5620707264</v>
      </c>
      <c r="J113" s="9">
        <f t="shared" si="111"/>
        <v>5206490.8762077978</v>
      </c>
      <c r="K113" s="9">
        <f t="shared" si="111"/>
        <v>6218170.0535083571</v>
      </c>
      <c r="L113" s="9">
        <f t="shared" si="111"/>
        <v>7267015.1761044953</v>
      </c>
      <c r="M113" s="9">
        <f t="shared" si="111"/>
        <v>8354085.7919790251</v>
      </c>
      <c r="N113" s="9">
        <f t="shared" si="111"/>
        <v>9480468.5529544521</v>
      </c>
      <c r="O113" s="9">
        <f t="shared" si="111"/>
        <v>10647277.867479507</v>
      </c>
      <c r="P113" s="9">
        <f t="shared" si="111"/>
        <v>11855656.568547472</v>
      </c>
      <c r="Q113" s="9">
        <f t="shared" si="111"/>
        <v>13106776.597087875</v>
      </c>
      <c r="R113" s="9">
        <f t="shared" si="111"/>
        <v>14401839.701180873</v>
      </c>
      <c r="S113" s="9">
        <f t="shared" si="111"/>
        <v>15742078.151451122</v>
      </c>
      <c r="T113" s="9">
        <f t="shared" si="111"/>
        <v>17128755.473006066</v>
      </c>
      <c r="U113" s="9">
        <f t="shared" si="111"/>
        <v>18563167.194291446</v>
      </c>
      <c r="V113" s="9">
        <f t="shared" si="111"/>
        <v>20046641.613245383</v>
      </c>
      <c r="W113" s="9">
        <f t="shared" si="111"/>
        <v>21580540.581140272</v>
      </c>
      <c r="X113" s="9">
        <f t="shared" si="111"/>
        <v>23166260.30451113</v>
      </c>
      <c r="Y113" s="9">
        <f t="shared" si="111"/>
        <v>24805232.165576898</v>
      </c>
      <c r="Z113" s="9">
        <f t="shared" si="111"/>
        <v>26498923.561571173</v>
      </c>
      <c r="AA113" s="9">
        <f t="shared" si="111"/>
        <v>28248838.763407167</v>
      </c>
      <c r="AB113" s="9">
        <f t="shared" si="111"/>
        <v>30056519.794111647</v>
      </c>
      <c r="AC113" s="9">
        <f t="shared" si="111"/>
        <v>31923547.32747202</v>
      </c>
      <c r="AD113" s="9">
        <f t="shared" si="111"/>
        <v>33851541.607350312</v>
      </c>
      <c r="AE113" s="9">
        <f t="shared" si="111"/>
        <v>35842163.388128281</v>
      </c>
      <c r="AF113" s="9">
        <f t="shared" si="111"/>
        <v>37897114.896757886</v>
      </c>
      <c r="AG113" s="9">
        <f t="shared" si="111"/>
        <v>40018140.816901363</v>
      </c>
      <c r="AH113" s="9">
        <f t="shared" si="111"/>
        <v>42207029.295656696</v>
      </c>
      <c r="AI113" s="9">
        <f t="shared" si="111"/>
        <v>44465612.97337465</v>
      </c>
      <c r="AJ113" s="9">
        <f t="shared" si="111"/>
        <v>46795770.037084535</v>
      </c>
      <c r="AK113" s="9">
        <f t="shared" si="111"/>
        <v>49199425.298057705</v>
      </c>
      <c r="AL113" s="9">
        <f t="shared" si="111"/>
        <v>51678551.294049524</v>
      </c>
      <c r="AM113" s="9">
        <f t="shared" si="111"/>
        <v>54235169.416771382</v>
      </c>
      <c r="AN113" s="9">
        <f t="shared" si="111"/>
        <v>56871351.065157898</v>
      </c>
      <c r="AO113" s="9">
        <f t="shared" si="111"/>
        <v>59589218.825006343</v>
      </c>
      <c r="AP113" s="9">
        <f t="shared" si="111"/>
        <v>62390947.675576933</v>
      </c>
      <c r="AQ113" s="9">
        <f t="shared" si="111"/>
        <v>65278766.223758027</v>
      </c>
    </row>
    <row r="114" spans="1:43" hidden="1" outlineLevel="5">
      <c r="A114" s="2"/>
      <c r="B114" s="2"/>
      <c r="C114" s="2"/>
      <c r="D114" s="2"/>
      <c r="E114" s="2"/>
      <c r="F114" s="2" t="s">
        <v>324</v>
      </c>
      <c r="G114" s="2"/>
      <c r="H114" s="9">
        <f t="shared" ref="H114:AQ114" si="112">H6</f>
        <v>160.51335957548241</v>
      </c>
      <c r="I114" s="9">
        <f t="shared" si="112"/>
        <v>205.79671807888334</v>
      </c>
      <c r="J114" s="9">
        <f t="shared" si="112"/>
        <v>252.52314662590396</v>
      </c>
      <c r="K114" s="9">
        <f t="shared" si="112"/>
        <v>300.72784791742691</v>
      </c>
      <c r="L114" s="9">
        <f t="shared" si="112"/>
        <v>350.4467925713771</v>
      </c>
      <c r="M114" s="9">
        <f t="shared" si="112"/>
        <v>401.71673487527056</v>
      </c>
      <c r="N114" s="9">
        <f t="shared" si="112"/>
        <v>454.57522884962327</v>
      </c>
      <c r="O114" s="9">
        <f t="shared" si="112"/>
        <v>509.06064462819165</v>
      </c>
      <c r="P114" s="9">
        <f t="shared" si="112"/>
        <v>565.21218516113368</v>
      </c>
      <c r="Q114" s="9">
        <f t="shared" si="112"/>
        <v>623.06990324728713</v>
      </c>
      <c r="R114" s="9">
        <f t="shared" si="112"/>
        <v>682.67471890189177</v>
      </c>
      <c r="S114" s="9">
        <f t="shared" si="112"/>
        <v>744.06843706618258</v>
      </c>
      <c r="T114" s="9">
        <f t="shared" si="112"/>
        <v>807.29376566542078</v>
      </c>
      <c r="U114" s="9">
        <f t="shared" si="112"/>
        <v>872.39433402203872</v>
      </c>
      <c r="V114" s="9">
        <f t="shared" si="112"/>
        <v>939.41471163071344</v>
      </c>
      <c r="W114" s="9">
        <f t="shared" si="112"/>
        <v>1008.4004273022929</v>
      </c>
      <c r="X114" s="9">
        <f t="shared" si="112"/>
        <v>1079.397988683658</v>
      </c>
      <c r="Y114" s="9">
        <f t="shared" si="112"/>
        <v>1152.4549021607002</v>
      </c>
      <c r="Z114" s="9">
        <f t="shared" si="112"/>
        <v>1227.6196931517686</v>
      </c>
      <c r="AA114" s="9">
        <f t="shared" si="112"/>
        <v>1304.9419267990445</v>
      </c>
      <c r="AB114" s="9">
        <f t="shared" si="112"/>
        <v>1384.4722290654624</v>
      </c>
      <c r="AC114" s="9">
        <f t="shared" si="112"/>
        <v>1466.2623082449377</v>
      </c>
      <c r="AD114" s="9">
        <f t="shared" si="112"/>
        <v>1550.3649768937896</v>
      </c>
      <c r="AE114" s="9">
        <f t="shared" si="112"/>
        <v>1636.8341741914207</v>
      </c>
      <c r="AF114" s="9">
        <f t="shared" si="112"/>
        <v>1725.7249887384635</v>
      </c>
      <c r="AG114" s="9">
        <f t="shared" si="112"/>
        <v>1817.0936818007167</v>
      </c>
      <c r="AH114" s="9">
        <f t="shared" si="112"/>
        <v>1910.997711007418</v>
      </c>
      <c r="AI114" s="9">
        <f t="shared" si="112"/>
        <v>2007.4957545125096</v>
      </c>
      <c r="AJ114" s="9">
        <f t="shared" si="112"/>
        <v>2106.6477356277283</v>
      </c>
      <c r="AK114" s="9">
        <f t="shared" si="112"/>
        <v>2208.5148479365212</v>
      </c>
      <c r="AL114" s="9">
        <f t="shared" si="112"/>
        <v>2313.1595808979741</v>
      </c>
      <c r="AM114" s="9">
        <f t="shared" si="112"/>
        <v>2420.6457459500621</v>
      </c>
      <c r="AN114" s="9">
        <f t="shared" si="112"/>
        <v>2531.038503121757</v>
      </c>
      <c r="AO114" s="9">
        <f t="shared" si="112"/>
        <v>2644.4043881636935</v>
      </c>
      <c r="AP114" s="9">
        <f t="shared" si="112"/>
        <v>2760.8113402072418</v>
      </c>
      <c r="AQ114" s="9">
        <f t="shared" si="112"/>
        <v>2880.3287299620847</v>
      </c>
    </row>
    <row r="115" spans="1:43" hidden="1" outlineLevel="5">
      <c r="A115" s="2"/>
      <c r="B115" s="2"/>
      <c r="C115" s="2"/>
      <c r="D115" s="2"/>
      <c r="E115" s="2"/>
      <c r="F115" s="2" t="s">
        <v>416</v>
      </c>
      <c r="G115" s="2"/>
      <c r="H115" s="9">
        <f t="shared" ref="H115:AQ115" si="113">landed_vaccine_cost_per_dose*(1+landed_vaccine_cost_per_dose_growth)^((COLUMN()-8)/12)</f>
        <v>20500</v>
      </c>
      <c r="I115" s="9">
        <f t="shared" si="113"/>
        <v>20558.853423741071</v>
      </c>
      <c r="J115" s="9">
        <f t="shared" si="113"/>
        <v>20617.875809700974</v>
      </c>
      <c r="K115" s="9">
        <f t="shared" si="113"/>
        <v>20677.067642953127</v>
      </c>
      <c r="L115" s="9">
        <f t="shared" si="113"/>
        <v>20736.429409963537</v>
      </c>
      <c r="M115" s="9">
        <f t="shared" si="113"/>
        <v>20795.961598594826</v>
      </c>
      <c r="N115" s="9">
        <f t="shared" si="113"/>
        <v>20855.664698110199</v>
      </c>
      <c r="O115" s="9">
        <f t="shared" si="113"/>
        <v>20915.539199177496</v>
      </c>
      <c r="P115" s="9">
        <f t="shared" si="113"/>
        <v>20975.585593873209</v>
      </c>
      <c r="Q115" s="9">
        <f t="shared" si="113"/>
        <v>21035.804375686545</v>
      </c>
      <c r="R115" s="9">
        <f t="shared" si="113"/>
        <v>21096.196039523449</v>
      </c>
      <c r="S115" s="9">
        <f t="shared" si="113"/>
        <v>21156.761081710705</v>
      </c>
      <c r="T115" s="9">
        <f t="shared" si="113"/>
        <v>21217.5</v>
      </c>
      <c r="U115" s="9">
        <f t="shared" si="113"/>
        <v>21278.413293572008</v>
      </c>
      <c r="V115" s="9">
        <f t="shared" si="113"/>
        <v>21339.501463040506</v>
      </c>
      <c r="W115" s="9">
        <f t="shared" si="113"/>
        <v>21400.765010456478</v>
      </c>
      <c r="X115" s="9">
        <f t="shared" si="113"/>
        <v>21462.20443931226</v>
      </c>
      <c r="Y115" s="9">
        <f t="shared" si="113"/>
        <v>21523.820254545644</v>
      </c>
      <c r="Z115" s="9">
        <f t="shared" si="113"/>
        <v>21585.612962544055</v>
      </c>
      <c r="AA115" s="9">
        <f t="shared" si="113"/>
        <v>21647.583071148703</v>
      </c>
      <c r="AB115" s="9">
        <f t="shared" si="113"/>
        <v>21709.73108965877</v>
      </c>
      <c r="AC115" s="9">
        <f t="shared" si="113"/>
        <v>21772.057528835572</v>
      </c>
      <c r="AD115" s="9">
        <f t="shared" si="113"/>
        <v>21834.562900906767</v>
      </c>
      <c r="AE115" s="9">
        <f t="shared" si="113"/>
        <v>21897.24771957058</v>
      </c>
      <c r="AF115" s="9">
        <f t="shared" si="113"/>
        <v>21960.112499999996</v>
      </c>
      <c r="AG115" s="9">
        <f t="shared" si="113"/>
        <v>22023.157758847025</v>
      </c>
      <c r="AH115" s="9">
        <f t="shared" si="113"/>
        <v>22086.38401424692</v>
      </c>
      <c r="AI115" s="9">
        <f t="shared" si="113"/>
        <v>22149.791785822461</v>
      </c>
      <c r="AJ115" s="9">
        <f t="shared" si="113"/>
        <v>22213.381594688191</v>
      </c>
      <c r="AK115" s="9">
        <f t="shared" si="113"/>
        <v>22277.153963454737</v>
      </c>
      <c r="AL115" s="9">
        <f t="shared" si="113"/>
        <v>22341.109416233092</v>
      </c>
      <c r="AM115" s="9">
        <f t="shared" si="113"/>
        <v>22405.24847863891</v>
      </c>
      <c r="AN115" s="9">
        <f t="shared" si="113"/>
        <v>22469.571677796823</v>
      </c>
      <c r="AO115" s="9">
        <f t="shared" si="113"/>
        <v>22534.079542344814</v>
      </c>
      <c r="AP115" s="9">
        <f t="shared" si="113"/>
        <v>22598.772602438501</v>
      </c>
      <c r="AQ115" s="9">
        <f t="shared" si="113"/>
        <v>22663.651389755545</v>
      </c>
    </row>
    <row r="116" spans="1:43" hidden="1" outlineLevel="4" collapsed="1">
      <c r="A116" s="2"/>
      <c r="B116" s="2"/>
      <c r="C116" s="2"/>
      <c r="D116" s="2"/>
      <c r="E116" s="2" t="s">
        <v>417</v>
      </c>
      <c r="F116" s="2"/>
      <c r="G116" s="2"/>
      <c r="H116" s="9">
        <f t="shared" ref="H116:AQ116" si="114">(H117*H118)</f>
        <v>667187.04953954404</v>
      </c>
      <c r="I116" s="9">
        <f t="shared" si="114"/>
        <v>885535.90070934396</v>
      </c>
      <c r="J116" s="9">
        <f t="shared" si="114"/>
        <v>1111527.769569796</v>
      </c>
      <c r="K116" s="9">
        <f t="shared" si="114"/>
        <v>1345366.9515045478</v>
      </c>
      <c r="L116" s="9">
        <f t="shared" si="114"/>
        <v>1587262.617450001</v>
      </c>
      <c r="M116" s="9">
        <f t="shared" si="114"/>
        <v>1837428.923170635</v>
      </c>
      <c r="N116" s="9">
        <f t="shared" si="114"/>
        <v>2096085.1208877249</v>
      </c>
      <c r="O116" s="9">
        <f t="shared" si="114"/>
        <v>2363455.673310745</v>
      </c>
      <c r="P116" s="9">
        <f t="shared" si="114"/>
        <v>2639770.3701217808</v>
      </c>
      <c r="Q116" s="9">
        <f t="shared" si="114"/>
        <v>2925264.4469642965</v>
      </c>
      <c r="R116" s="9">
        <f t="shared" si="114"/>
        <v>3220178.7069886699</v>
      </c>
      <c r="S116" s="9">
        <f t="shared" si="114"/>
        <v>3524759.645007967</v>
      </c>
      <c r="T116" s="9">
        <f t="shared" si="114"/>
        <v>3839259.5743185463</v>
      </c>
      <c r="U116" s="9">
        <f t="shared" si="114"/>
        <v>4163936.7562411567</v>
      </c>
      <c r="V116" s="9">
        <f t="shared" si="114"/>
        <v>4499055.5324394163</v>
      </c>
      <c r="W116" s="9">
        <f t="shared" si="114"/>
        <v>4844886.4600736238</v>
      </c>
      <c r="X116" s="9">
        <f t="shared" si="114"/>
        <v>5201706.4498491297</v>
      </c>
      <c r="Y116" s="9">
        <f t="shared" si="114"/>
        <v>5569798.9070196385</v>
      </c>
      <c r="Z116" s="9">
        <f t="shared" si="114"/>
        <v>5949453.8754071146</v>
      </c>
      <c r="AA116" s="9">
        <f t="shared" si="114"/>
        <v>6340968.1845011553</v>
      </c>
      <c r="AB116" s="9">
        <f t="shared" si="114"/>
        <v>6744645.5997020593</v>
      </c>
      <c r="AC116" s="9">
        <f t="shared" si="114"/>
        <v>7160796.9757730495</v>
      </c>
      <c r="AD116" s="9">
        <f t="shared" si="114"/>
        <v>7589740.4135685125</v>
      </c>
      <c r="AE116" s="9">
        <f t="shared" si="114"/>
        <v>8031801.4201064417</v>
      </c>
      <c r="AF116" s="9">
        <f t="shared" si="114"/>
        <v>8487313.0720547568</v>
      </c>
      <c r="AG116" s="9">
        <f t="shared" si="114"/>
        <v>8956616.1827023942</v>
      </c>
      <c r="AH116" s="9">
        <f t="shared" si="114"/>
        <v>9440059.4724877309</v>
      </c>
      <c r="AI116" s="9">
        <f t="shared" si="114"/>
        <v>9937999.7431583088</v>
      </c>
      <c r="AJ116" s="9">
        <f t="shared" si="114"/>
        <v>10450802.055637235</v>
      </c>
      <c r="AK116" s="9">
        <f t="shared" si="114"/>
        <v>10978839.911673333</v>
      </c>
      <c r="AL116" s="9">
        <f t="shared" si="114"/>
        <v>11522495.439353632</v>
      </c>
      <c r="AM116" s="9">
        <f t="shared" si="114"/>
        <v>12082159.582558278</v>
      </c>
      <c r="AN116" s="9">
        <f t="shared" si="114"/>
        <v>12658232.294439737</v>
      </c>
      <c r="AO116" s="9">
        <f t="shared" si="114"/>
        <v>13251122.735009858</v>
      </c>
      <c r="AP116" s="9">
        <f t="shared" si="114"/>
        <v>13861249.472919723</v>
      </c>
      <c r="AQ116" s="9">
        <f t="shared" si="114"/>
        <v>14489040.691519542</v>
      </c>
    </row>
    <row r="117" spans="1:43" hidden="1" outlineLevel="5">
      <c r="A117" s="2"/>
      <c r="B117" s="2"/>
      <c r="C117" s="2"/>
      <c r="D117" s="2"/>
      <c r="E117" s="2"/>
      <c r="F117" s="2" t="s">
        <v>377</v>
      </c>
      <c r="G117" s="2"/>
      <c r="H117" s="9">
        <f t="shared" ref="H117:AQ117" si="115">H67</f>
        <v>32.545709733636293</v>
      </c>
      <c r="I117" s="9">
        <f t="shared" si="115"/>
        <v>43.073214369374298</v>
      </c>
      <c r="J117" s="9">
        <f t="shared" si="115"/>
        <v>53.910877135403446</v>
      </c>
      <c r="K117" s="9">
        <f t="shared" si="115"/>
        <v>65.065655088818033</v>
      </c>
      <c r="L117" s="9">
        <f t="shared" si="115"/>
        <v>76.54464450313445</v>
      </c>
      <c r="M117" s="9">
        <f t="shared" si="115"/>
        <v>88.355083483842805</v>
      </c>
      <c r="N117" s="9">
        <f t="shared" si="115"/>
        <v>100.50435463117405</v>
      </c>
      <c r="O117" s="9">
        <f t="shared" si="115"/>
        <v>112.99998775091048</v>
      </c>
      <c r="P117" s="9">
        <f t="shared" si="115"/>
        <v>125.84966261408384</v>
      </c>
      <c r="Q117" s="9">
        <f t="shared" si="115"/>
        <v>139.06121176641835</v>
      </c>
      <c r="R117" s="9">
        <f t="shared" si="115"/>
        <v>152.64262338839225</v>
      </c>
      <c r="S117" s="9">
        <f t="shared" si="115"/>
        <v>166.60204420680446</v>
      </c>
      <c r="T117" s="9">
        <f t="shared" si="115"/>
        <v>180.94778245875085</v>
      </c>
      <c r="U117" s="9">
        <f t="shared" si="115"/>
        <v>195.68831090892664</v>
      </c>
      <c r="V117" s="9">
        <f t="shared" si="115"/>
        <v>210.83226992119145</v>
      </c>
      <c r="W117" s="9">
        <f t="shared" si="115"/>
        <v>226.38847058534577</v>
      </c>
      <c r="X117" s="9">
        <f t="shared" si="115"/>
        <v>242.36589790008608</v>
      </c>
      <c r="Y117" s="9">
        <f t="shared" si="115"/>
        <v>258.77371401312206</v>
      </c>
      <c r="Z117" s="9">
        <f t="shared" si="115"/>
        <v>275.62126151945603</v>
      </c>
      <c r="AA117" s="9">
        <f t="shared" si="115"/>
        <v>292.9180668188414</v>
      </c>
      <c r="AB117" s="9">
        <f t="shared" si="115"/>
        <v>310.67384353345625</v>
      </c>
      <c r="AC117" s="9">
        <f t="shared" si="115"/>
        <v>328.89849598684339</v>
      </c>
      <c r="AD117" s="9">
        <f t="shared" si="115"/>
        <v>347.60212274518756</v>
      </c>
      <c r="AE117" s="9">
        <f t="shared" si="115"/>
        <v>366.79502022201859</v>
      </c>
      <c r="AF117" s="9">
        <f t="shared" si="115"/>
        <v>386.48768634745193</v>
      </c>
      <c r="AG117" s="9">
        <f t="shared" si="115"/>
        <v>406.69082430308572</v>
      </c>
      <c r="AH117" s="9">
        <f t="shared" si="115"/>
        <v>427.4153463237069</v>
      </c>
      <c r="AI117" s="9">
        <f t="shared" si="115"/>
        <v>448.67237756697017</v>
      </c>
      <c r="AJ117" s="9">
        <f t="shared" si="115"/>
        <v>470.47326005223351</v>
      </c>
      <c r="AK117" s="9">
        <f t="shared" si="115"/>
        <v>492.82955666975772</v>
      </c>
      <c r="AL117" s="9">
        <f t="shared" si="115"/>
        <v>515.75305526149771</v>
      </c>
      <c r="AM117" s="9">
        <f t="shared" si="115"/>
        <v>539.25577277473042</v>
      </c>
      <c r="AN117" s="9">
        <f t="shared" si="115"/>
        <v>563.34995948978838</v>
      </c>
      <c r="AO117" s="9">
        <f t="shared" si="115"/>
        <v>588.04810332319414</v>
      </c>
      <c r="AP117" s="9">
        <f t="shared" si="115"/>
        <v>613.36293420749928</v>
      </c>
      <c r="AQ117" s="9">
        <f t="shared" si="115"/>
        <v>639.30742854917446</v>
      </c>
    </row>
    <row r="118" spans="1:43" hidden="1" outlineLevel="5">
      <c r="A118" s="2"/>
      <c r="B118" s="2"/>
      <c r="C118" s="2"/>
      <c r="D118" s="2"/>
      <c r="E118" s="2"/>
      <c r="F118" s="2" t="s">
        <v>416</v>
      </c>
      <c r="G118" s="2"/>
      <c r="H118" s="9">
        <f t="shared" ref="H118:AQ118" si="116">H115</f>
        <v>20500</v>
      </c>
      <c r="I118" s="9">
        <f t="shared" si="116"/>
        <v>20558.853423741071</v>
      </c>
      <c r="J118" s="9">
        <f t="shared" si="116"/>
        <v>20617.875809700974</v>
      </c>
      <c r="K118" s="9">
        <f t="shared" si="116"/>
        <v>20677.067642953127</v>
      </c>
      <c r="L118" s="9">
        <f t="shared" si="116"/>
        <v>20736.429409963537</v>
      </c>
      <c r="M118" s="9">
        <f t="shared" si="116"/>
        <v>20795.961598594826</v>
      </c>
      <c r="N118" s="9">
        <f t="shared" si="116"/>
        <v>20855.664698110199</v>
      </c>
      <c r="O118" s="9">
        <f t="shared" si="116"/>
        <v>20915.539199177496</v>
      </c>
      <c r="P118" s="9">
        <f t="shared" si="116"/>
        <v>20975.585593873209</v>
      </c>
      <c r="Q118" s="9">
        <f t="shared" si="116"/>
        <v>21035.804375686545</v>
      </c>
      <c r="R118" s="9">
        <f t="shared" si="116"/>
        <v>21096.196039523449</v>
      </c>
      <c r="S118" s="9">
        <f t="shared" si="116"/>
        <v>21156.761081710705</v>
      </c>
      <c r="T118" s="9">
        <f t="shared" si="116"/>
        <v>21217.5</v>
      </c>
      <c r="U118" s="9">
        <f t="shared" si="116"/>
        <v>21278.413293572008</v>
      </c>
      <c r="V118" s="9">
        <f t="shared" si="116"/>
        <v>21339.501463040506</v>
      </c>
      <c r="W118" s="9">
        <f t="shared" si="116"/>
        <v>21400.765010456478</v>
      </c>
      <c r="X118" s="9">
        <f t="shared" si="116"/>
        <v>21462.20443931226</v>
      </c>
      <c r="Y118" s="9">
        <f t="shared" si="116"/>
        <v>21523.820254545644</v>
      </c>
      <c r="Z118" s="9">
        <f t="shared" si="116"/>
        <v>21585.612962544055</v>
      </c>
      <c r="AA118" s="9">
        <f t="shared" si="116"/>
        <v>21647.583071148703</v>
      </c>
      <c r="AB118" s="9">
        <f t="shared" si="116"/>
        <v>21709.73108965877</v>
      </c>
      <c r="AC118" s="9">
        <f t="shared" si="116"/>
        <v>21772.057528835572</v>
      </c>
      <c r="AD118" s="9">
        <f t="shared" si="116"/>
        <v>21834.562900906767</v>
      </c>
      <c r="AE118" s="9">
        <f t="shared" si="116"/>
        <v>21897.24771957058</v>
      </c>
      <c r="AF118" s="9">
        <f t="shared" si="116"/>
        <v>21960.112499999996</v>
      </c>
      <c r="AG118" s="9">
        <f t="shared" si="116"/>
        <v>22023.157758847025</v>
      </c>
      <c r="AH118" s="9">
        <f t="shared" si="116"/>
        <v>22086.38401424692</v>
      </c>
      <c r="AI118" s="9">
        <f t="shared" si="116"/>
        <v>22149.791785822461</v>
      </c>
      <c r="AJ118" s="9">
        <f t="shared" si="116"/>
        <v>22213.381594688191</v>
      </c>
      <c r="AK118" s="9">
        <f t="shared" si="116"/>
        <v>22277.153963454737</v>
      </c>
      <c r="AL118" s="9">
        <f t="shared" si="116"/>
        <v>22341.109416233092</v>
      </c>
      <c r="AM118" s="9">
        <f t="shared" si="116"/>
        <v>22405.24847863891</v>
      </c>
      <c r="AN118" s="9">
        <f t="shared" si="116"/>
        <v>22469.571677796823</v>
      </c>
      <c r="AO118" s="9">
        <f t="shared" si="116"/>
        <v>22534.079542344814</v>
      </c>
      <c r="AP118" s="9">
        <f t="shared" si="116"/>
        <v>22598.772602438501</v>
      </c>
      <c r="AQ118" s="9">
        <f t="shared" si="116"/>
        <v>22663.651389755545</v>
      </c>
    </row>
    <row r="119" spans="1:43" hidden="1" outlineLevel="4" collapsed="1">
      <c r="A119" s="2"/>
      <c r="B119" s="2"/>
      <c r="C119" s="2"/>
      <c r="D119" s="2"/>
      <c r="E119" s="2" t="s">
        <v>418</v>
      </c>
      <c r="F119" s="2"/>
      <c r="G119" s="2"/>
      <c r="H119" s="9">
        <f t="shared" ref="H119:AQ119" si="117">(H120*H121)</f>
        <v>1598024.5391241333</v>
      </c>
      <c r="I119" s="9">
        <f t="shared" si="117"/>
        <v>1912063.1274724591</v>
      </c>
      <c r="J119" s="9">
        <f t="shared" si="117"/>
        <v>2237714.0620629606</v>
      </c>
      <c r="K119" s="9">
        <f t="shared" si="117"/>
        <v>2575310.3541716011</v>
      </c>
      <c r="L119" s="9">
        <f t="shared" si="117"/>
        <v>2925193.5800190554</v>
      </c>
      <c r="M119" s="9">
        <f t="shared" si="117"/>
        <v>3287714.0880885152</v>
      </c>
      <c r="N119" s="9">
        <f t="shared" si="117"/>
        <v>3663231.2112714229</v>
      </c>
      <c r="O119" s="9">
        <f t="shared" si="117"/>
        <v>4052113.4839505861</v>
      </c>
      <c r="P119" s="9">
        <f t="shared" si="117"/>
        <v>4454738.8641325897</v>
      </c>
      <c r="Q119" s="9">
        <f t="shared" si="117"/>
        <v>4871494.9607438575</v>
      </c>
      <c r="R119" s="9">
        <f t="shared" si="117"/>
        <v>5302779.2662073318</v>
      </c>
      <c r="S119" s="9">
        <f t="shared" si="117"/>
        <v>5748999.3944192892</v>
      </c>
      <c r="T119" s="9">
        <f t="shared" si="117"/>
        <v>6210573.3242484247</v>
      </c>
      <c r="U119" s="9">
        <f t="shared" si="117"/>
        <v>6687929.6486821966</v>
      </c>
      <c r="V119" s="9">
        <f t="shared" si="117"/>
        <v>7181507.8297480065</v>
      </c>
      <c r="W119" s="9">
        <f t="shared" si="117"/>
        <v>7691758.4593397379</v>
      </c>
      <c r="X119" s="9">
        <f t="shared" si="117"/>
        <v>8219143.5260830913</v>
      </c>
      <c r="Y119" s="9">
        <f t="shared" si="117"/>
        <v>8764136.6883759703</v>
      </c>
      <c r="Z119" s="9">
        <f t="shared" si="117"/>
        <v>9327223.5537434276</v>
      </c>
      <c r="AA119" s="9">
        <f t="shared" si="117"/>
        <v>9908901.9646494612</v>
      </c>
      <c r="AB119" s="9">
        <f t="shared" si="117"/>
        <v>10509682.290911483</v>
      </c>
      <c r="AC119" s="9">
        <f t="shared" si="117"/>
        <v>11130087.728866061</v>
      </c>
      <c r="AD119" s="9">
        <f t="shared" si="117"/>
        <v>11770654.607438302</v>
      </c>
      <c r="AE119" s="9">
        <f t="shared" si="117"/>
        <v>12431932.701270206</v>
      </c>
      <c r="AF119" s="9">
        <f t="shared" si="117"/>
        <v>13114485.551067069</v>
      </c>
      <c r="AG119" s="9">
        <f t="shared" si="117"/>
        <v>13818890.79132431</v>
      </c>
      <c r="AH119" s="9">
        <f t="shared" si="117"/>
        <v>14545740.485600738</v>
      </c>
      <c r="AI119" s="9">
        <f t="shared" si="117"/>
        <v>15295641.469508138</v>
      </c>
      <c r="AJ119" s="9">
        <f t="shared" si="117"/>
        <v>16069215.701590521</v>
      </c>
      <c r="AK119" s="9">
        <f t="shared" si="117"/>
        <v>16867100.622270312</v>
      </c>
      <c r="AL119" s="9">
        <f t="shared" si="117"/>
        <v>17689949.521042898</v>
      </c>
      <c r="AM119" s="9">
        <f t="shared" si="117"/>
        <v>18538431.912104569</v>
      </c>
      <c r="AN119" s="9">
        <f t="shared" si="117"/>
        <v>19413233.918603148</v>
      </c>
      <c r="AO119" s="9">
        <f t="shared" si="117"/>
        <v>20315058.665705055</v>
      </c>
      <c r="AP119" s="9">
        <f t="shared" si="117"/>
        <v>21244626.682676237</v>
      </c>
      <c r="AQ119" s="9">
        <f t="shared" si="117"/>
        <v>22202676.314179342</v>
      </c>
    </row>
    <row r="120" spans="1:43" hidden="1" outlineLevel="5">
      <c r="A120" s="2"/>
      <c r="B120" s="2"/>
      <c r="C120" s="2"/>
      <c r="D120" s="2"/>
      <c r="E120" s="2"/>
      <c r="F120" s="2" t="s">
        <v>337</v>
      </c>
      <c r="G120" s="2"/>
      <c r="H120" s="9">
        <f t="shared" ref="H120:AQ120" si="118">H21</f>
        <v>77.952416542640648</v>
      </c>
      <c r="I120" s="9">
        <f t="shared" si="118"/>
        <v>93.004365956733551</v>
      </c>
      <c r="J120" s="9">
        <f t="shared" si="118"/>
        <v>108.53271611084627</v>
      </c>
      <c r="K120" s="9">
        <f t="shared" si="118"/>
        <v>124.54910912134501</v>
      </c>
      <c r="L120" s="9">
        <f t="shared" si="118"/>
        <v>141.06544199039129</v>
      </c>
      <c r="M120" s="9">
        <f t="shared" si="118"/>
        <v>158.09387185590228</v>
      </c>
      <c r="N120" s="9">
        <f t="shared" si="118"/>
        <v>175.64682134553883</v>
      </c>
      <c r="O120" s="9">
        <f t="shared" si="118"/>
        <v>193.73698403672688</v>
      </c>
      <c r="P120" s="9">
        <f t="shared" si="118"/>
        <v>212.37733002475892</v>
      </c>
      <c r="Q120" s="9">
        <f t="shared" si="118"/>
        <v>231.58111160105645</v>
      </c>
      <c r="R120" s="9">
        <f t="shared" si="118"/>
        <v>251.36186904371974</v>
      </c>
      <c r="S120" s="9">
        <f t="shared" si="118"/>
        <v>271.73343652252623</v>
      </c>
      <c r="T120" s="9">
        <f t="shared" si="118"/>
        <v>292.70994812058086</v>
      </c>
      <c r="U120" s="9">
        <f t="shared" si="118"/>
        <v>314.3058439748678</v>
      </c>
      <c r="V120" s="9">
        <f t="shared" si="118"/>
        <v>336.53587653798763</v>
      </c>
      <c r="W120" s="9">
        <f t="shared" si="118"/>
        <v>359.41511696341331</v>
      </c>
      <c r="X120" s="9">
        <f t="shared" si="118"/>
        <v>382.95896161664126</v>
      </c>
      <c r="Y120" s="9">
        <f t="shared" si="118"/>
        <v>407.18313871465551</v>
      </c>
      <c r="Z120" s="9">
        <f t="shared" si="118"/>
        <v>432.10371509617448</v>
      </c>
      <c r="AA120" s="9">
        <f t="shared" si="118"/>
        <v>457.73710312518773</v>
      </c>
      <c r="AB120" s="9">
        <f t="shared" si="118"/>
        <v>484.10006773034945</v>
      </c>
      <c r="AC120" s="9">
        <f t="shared" si="118"/>
        <v>511.20973358282913</v>
      </c>
      <c r="AD120" s="9">
        <f t="shared" si="118"/>
        <v>539.08359241528387</v>
      </c>
      <c r="AE120" s="9">
        <f t="shared" si="118"/>
        <v>567.73951048465392</v>
      </c>
      <c r="AF120" s="9">
        <f t="shared" si="118"/>
        <v>597.19573618154607</v>
      </c>
      <c r="AG120" s="9">
        <f t="shared" si="118"/>
        <v>627.47090778900952</v>
      </c>
      <c r="AH120" s="9">
        <f t="shared" si="118"/>
        <v>658.58406139356919</v>
      </c>
      <c r="AI120" s="9">
        <f t="shared" si="118"/>
        <v>690.55463895143714</v>
      </c>
      <c r="AJ120" s="9">
        <f t="shared" si="118"/>
        <v>723.40249651287206</v>
      </c>
      <c r="AK120" s="9">
        <f t="shared" si="118"/>
        <v>757.14791260770926</v>
      </c>
      <c r="AL120" s="9">
        <f t="shared" si="118"/>
        <v>791.81159679515952</v>
      </c>
      <c r="AM120" s="9">
        <f t="shared" si="118"/>
        <v>827.41469838100875</v>
      </c>
      <c r="AN120" s="9">
        <f t="shared" si="118"/>
        <v>863.97881530542134</v>
      </c>
      <c r="AO120" s="9">
        <f t="shared" si="118"/>
        <v>901.5260032046175</v>
      </c>
      <c r="AP120" s="9">
        <f t="shared" si="118"/>
        <v>940.07878464974033</v>
      </c>
      <c r="AQ120" s="9">
        <f t="shared" si="118"/>
        <v>979.66015856630349</v>
      </c>
    </row>
    <row r="121" spans="1:43" hidden="1" outlineLevel="5">
      <c r="A121" s="2"/>
      <c r="B121" s="2"/>
      <c r="C121" s="2"/>
      <c r="D121" s="2"/>
      <c r="E121" s="2"/>
      <c r="F121" s="2" t="s">
        <v>416</v>
      </c>
      <c r="G121" s="2"/>
      <c r="H121" s="9">
        <f t="shared" ref="H121:AQ121" si="119">H115</f>
        <v>20500</v>
      </c>
      <c r="I121" s="9">
        <f t="shared" si="119"/>
        <v>20558.853423741071</v>
      </c>
      <c r="J121" s="9">
        <f t="shared" si="119"/>
        <v>20617.875809700974</v>
      </c>
      <c r="K121" s="9">
        <f t="shared" si="119"/>
        <v>20677.067642953127</v>
      </c>
      <c r="L121" s="9">
        <f t="shared" si="119"/>
        <v>20736.429409963537</v>
      </c>
      <c r="M121" s="9">
        <f t="shared" si="119"/>
        <v>20795.961598594826</v>
      </c>
      <c r="N121" s="9">
        <f t="shared" si="119"/>
        <v>20855.664698110199</v>
      </c>
      <c r="O121" s="9">
        <f t="shared" si="119"/>
        <v>20915.539199177496</v>
      </c>
      <c r="P121" s="9">
        <f t="shared" si="119"/>
        <v>20975.585593873209</v>
      </c>
      <c r="Q121" s="9">
        <f t="shared" si="119"/>
        <v>21035.804375686545</v>
      </c>
      <c r="R121" s="9">
        <f t="shared" si="119"/>
        <v>21096.196039523449</v>
      </c>
      <c r="S121" s="9">
        <f t="shared" si="119"/>
        <v>21156.761081710705</v>
      </c>
      <c r="T121" s="9">
        <f t="shared" si="119"/>
        <v>21217.5</v>
      </c>
      <c r="U121" s="9">
        <f t="shared" si="119"/>
        <v>21278.413293572008</v>
      </c>
      <c r="V121" s="9">
        <f t="shared" si="119"/>
        <v>21339.501463040506</v>
      </c>
      <c r="W121" s="9">
        <f t="shared" si="119"/>
        <v>21400.765010456478</v>
      </c>
      <c r="X121" s="9">
        <f t="shared" si="119"/>
        <v>21462.20443931226</v>
      </c>
      <c r="Y121" s="9">
        <f t="shared" si="119"/>
        <v>21523.820254545644</v>
      </c>
      <c r="Z121" s="9">
        <f t="shared" si="119"/>
        <v>21585.612962544055</v>
      </c>
      <c r="AA121" s="9">
        <f t="shared" si="119"/>
        <v>21647.583071148703</v>
      </c>
      <c r="AB121" s="9">
        <f t="shared" si="119"/>
        <v>21709.73108965877</v>
      </c>
      <c r="AC121" s="9">
        <f t="shared" si="119"/>
        <v>21772.057528835572</v>
      </c>
      <c r="AD121" s="9">
        <f t="shared" si="119"/>
        <v>21834.562900906767</v>
      </c>
      <c r="AE121" s="9">
        <f t="shared" si="119"/>
        <v>21897.24771957058</v>
      </c>
      <c r="AF121" s="9">
        <f t="shared" si="119"/>
        <v>21960.112499999996</v>
      </c>
      <c r="AG121" s="9">
        <f t="shared" si="119"/>
        <v>22023.157758847025</v>
      </c>
      <c r="AH121" s="9">
        <f t="shared" si="119"/>
        <v>22086.38401424692</v>
      </c>
      <c r="AI121" s="9">
        <f t="shared" si="119"/>
        <v>22149.791785822461</v>
      </c>
      <c r="AJ121" s="9">
        <f t="shared" si="119"/>
        <v>22213.381594688191</v>
      </c>
      <c r="AK121" s="9">
        <f t="shared" si="119"/>
        <v>22277.153963454737</v>
      </c>
      <c r="AL121" s="9">
        <f t="shared" si="119"/>
        <v>22341.109416233092</v>
      </c>
      <c r="AM121" s="9">
        <f t="shared" si="119"/>
        <v>22405.24847863891</v>
      </c>
      <c r="AN121" s="9">
        <f t="shared" si="119"/>
        <v>22469.571677796823</v>
      </c>
      <c r="AO121" s="9">
        <f t="shared" si="119"/>
        <v>22534.079542344814</v>
      </c>
      <c r="AP121" s="9">
        <f t="shared" si="119"/>
        <v>22598.772602438501</v>
      </c>
      <c r="AQ121" s="9">
        <f t="shared" si="119"/>
        <v>22663.651389755545</v>
      </c>
    </row>
    <row r="122" spans="1:43" hidden="1" outlineLevel="4" collapsed="1">
      <c r="A122" s="2"/>
      <c r="B122" s="2"/>
      <c r="C122" s="2"/>
      <c r="D122" s="2"/>
      <c r="E122" s="2" t="s">
        <v>419</v>
      </c>
      <c r="F122" s="2"/>
      <c r="G122" s="2"/>
      <c r="H122" s="9">
        <f t="shared" ref="H122:AQ122" si="120">(H123*H124)</f>
        <v>193825.05181404753</v>
      </c>
      <c r="I122" s="9">
        <f t="shared" si="120"/>
        <v>233760.01848353687</v>
      </c>
      <c r="J122" s="9">
        <f t="shared" si="120"/>
        <v>275092.92524449388</v>
      </c>
      <c r="K122" s="9">
        <f t="shared" si="120"/>
        <v>317861.49570026342</v>
      </c>
      <c r="L122" s="9">
        <f t="shared" si="120"/>
        <v>362104.36350520869</v>
      </c>
      <c r="M122" s="9">
        <f t="shared" si="120"/>
        <v>407861.09297715966</v>
      </c>
      <c r="N122" s="9">
        <f t="shared" si="120"/>
        <v>455172.20015815541</v>
      </c>
      <c r="O122" s="9">
        <f t="shared" si="120"/>
        <v>504079.17433295754</v>
      </c>
      <c r="P122" s="9">
        <f t="shared" si="120"/>
        <v>554624.50001500826</v>
      </c>
      <c r="Q122" s="9">
        <f t="shared" si="120"/>
        <v>606851.67940970638</v>
      </c>
      <c r="R122" s="9">
        <f t="shared" si="120"/>
        <v>660805.25536507694</v>
      </c>
      <c r="S122" s="9">
        <f t="shared" si="120"/>
        <v>716530.83482012514</v>
      </c>
      <c r="T122" s="9">
        <f t="shared" si="120"/>
        <v>774075.11276137107</v>
      </c>
      <c r="U122" s="9">
        <f t="shared" si="120"/>
        <v>833485.89669828</v>
      </c>
      <c r="V122" s="9">
        <f t="shared" si="120"/>
        <v>894812.13166853052</v>
      </c>
      <c r="W122" s="9">
        <f t="shared" si="120"/>
        <v>958103.92578427738</v>
      </c>
      <c r="X122" s="9">
        <f t="shared" si="120"/>
        <v>1023412.5763308081</v>
      </c>
      <c r="Y122" s="9">
        <f t="shared" si="120"/>
        <v>1090790.5964292192</v>
      </c>
      <c r="Z122" s="9">
        <f t="shared" si="120"/>
        <v>1160291.7422749884</v>
      </c>
      <c r="AA122" s="9">
        <f t="shared" si="120"/>
        <v>1231971.0409645406</v>
      </c>
      <c r="AB122" s="9">
        <f t="shared" si="120"/>
        <v>1305884.8189221963</v>
      </c>
      <c r="AC122" s="9">
        <f t="shared" si="120"/>
        <v>1382090.7309400938</v>
      </c>
      <c r="AD122" s="9">
        <f t="shared" si="120"/>
        <v>1460647.7898439872</v>
      </c>
      <c r="AE122" s="9">
        <f t="shared" si="120"/>
        <v>1541616.3967980463</v>
      </c>
      <c r="AF122" s="9">
        <f t="shared" si="120"/>
        <v>1625058.3722620921</v>
      </c>
      <c r="AG122" s="9">
        <f t="shared" si="120"/>
        <v>1711036.9876149448</v>
      </c>
      <c r="AH122" s="9">
        <f t="shared" si="120"/>
        <v>1799616.9974578565</v>
      </c>
      <c r="AI122" s="9">
        <f t="shared" si="120"/>
        <v>1890864.6726123041</v>
      </c>
      <c r="AJ122" s="9">
        <f t="shared" si="120"/>
        <v>1984847.8338266802</v>
      </c>
      <c r="AK122" s="9">
        <f t="shared" si="120"/>
        <v>2081635.8862067498</v>
      </c>
      <c r="AL122" s="9">
        <f t="shared" si="120"/>
        <v>2181299.8543850207</v>
      </c>
      <c r="AM122" s="9">
        <f t="shared" si="120"/>
        <v>2283912.4184445022</v>
      </c>
      <c r="AN122" s="9">
        <f t="shared" si="120"/>
        <v>2389547.9506126414</v>
      </c>
      <c r="AO122" s="9">
        <f t="shared" si="120"/>
        <v>2498282.5527415625</v>
      </c>
      <c r="AP122" s="9">
        <f t="shared" si="120"/>
        <v>2610194.0945910113</v>
      </c>
      <c r="AQ122" s="9">
        <f t="shared" si="120"/>
        <v>2725362.2529308521</v>
      </c>
    </row>
    <row r="123" spans="1:43" hidden="1" outlineLevel="5">
      <c r="A123" s="2"/>
      <c r="B123" s="2"/>
      <c r="C123" s="2"/>
      <c r="D123" s="2"/>
      <c r="E123" s="2"/>
      <c r="F123" s="2" t="s">
        <v>386</v>
      </c>
      <c r="G123" s="2"/>
      <c r="H123" s="9">
        <f t="shared" ref="H123:AQ123" si="121">H78</f>
        <v>9.4548805762950021</v>
      </c>
      <c r="I123" s="9">
        <f t="shared" si="121"/>
        <v>11.370284794851163</v>
      </c>
      <c r="J123" s="9">
        <f t="shared" si="121"/>
        <v>13.34244748506338</v>
      </c>
      <c r="K123" s="9">
        <f t="shared" si="121"/>
        <v>15.372658308664604</v>
      </c>
      <c r="L123" s="9">
        <f t="shared" si="121"/>
        <v>17.462233075247905</v>
      </c>
      <c r="M123" s="9">
        <f t="shared" si="121"/>
        <v>19.612514239529979</v>
      </c>
      <c r="N123" s="9">
        <f t="shared" si="121"/>
        <v>21.824871407690022</v>
      </c>
      <c r="O123" s="9">
        <f t="shared" si="121"/>
        <v>24.100701852944841</v>
      </c>
      <c r="P123" s="9">
        <f t="shared" si="121"/>
        <v>26.441431040524055</v>
      </c>
      <c r="Q123" s="9">
        <f t="shared" si="121"/>
        <v>28.848513162211827</v>
      </c>
      <c r="R123" s="9">
        <f t="shared" si="121"/>
        <v>31.323431680624644</v>
      </c>
      <c r="S123" s="9">
        <f t="shared" si="121"/>
        <v>33.867699883397627</v>
      </c>
      <c r="T123" s="9">
        <f t="shared" si="121"/>
        <v>36.482861447454745</v>
      </c>
      <c r="U123" s="9">
        <f t="shared" si="121"/>
        <v>39.170491013541294</v>
      </c>
      <c r="V123" s="9">
        <f t="shared" si="121"/>
        <v>41.932194771200408</v>
      </c>
      <c r="W123" s="9">
        <f t="shared" si="121"/>
        <v>44.769611054377961</v>
      </c>
      <c r="X123" s="9">
        <f t="shared" si="121"/>
        <v>47.684410947844022</v>
      </c>
      <c r="Y123" s="9">
        <f t="shared" si="121"/>
        <v>50.678298904621904</v>
      </c>
      <c r="Z123" s="9">
        <f t="shared" si="121"/>
        <v>53.7530133746194</v>
      </c>
      <c r="AA123" s="9">
        <f t="shared" si="121"/>
        <v>56.910327444659508</v>
      </c>
      <c r="AB123" s="9">
        <f t="shared" si="121"/>
        <v>60.152049490112873</v>
      </c>
      <c r="AC123" s="9">
        <f t="shared" si="121"/>
        <v>63.480023838335491</v>
      </c>
      <c r="AD123" s="9">
        <f t="shared" si="121"/>
        <v>66.896131444121011</v>
      </c>
      <c r="AE123" s="9">
        <f t="shared" si="121"/>
        <v>70.40229057737848</v>
      </c>
      <c r="AF123" s="9">
        <f t="shared" si="121"/>
        <v>74.000457523252322</v>
      </c>
      <c r="AG123" s="9">
        <f t="shared" si="121"/>
        <v>77.692627294902621</v>
      </c>
      <c r="AH123" s="9">
        <f t="shared" si="121"/>
        <v>81.480834359169236</v>
      </c>
      <c r="AI123" s="9">
        <f t="shared" si="121"/>
        <v>85.367153375346859</v>
      </c>
      <c r="AJ123" s="9">
        <f t="shared" si="121"/>
        <v>89.353699947301578</v>
      </c>
      <c r="AK123" s="9">
        <f t="shared" si="121"/>
        <v>93.442631389163779</v>
      </c>
      <c r="AL123" s="9">
        <f t="shared" si="121"/>
        <v>97.636147504836273</v>
      </c>
      <c r="AM123" s="9">
        <f t="shared" si="121"/>
        <v>101.93649138156074</v>
      </c>
      <c r="AN123" s="9">
        <f t="shared" si="121"/>
        <v>106.34595019778946</v>
      </c>
      <c r="AO123" s="9">
        <f t="shared" si="121"/>
        <v>110.8668560456142</v>
      </c>
      <c r="AP123" s="9">
        <f t="shared" si="121"/>
        <v>115.50158676800706</v>
      </c>
      <c r="AQ123" s="9">
        <f t="shared" si="121"/>
        <v>120.25256681113504</v>
      </c>
    </row>
    <row r="124" spans="1:43" hidden="1" outlineLevel="5">
      <c r="A124" s="2"/>
      <c r="B124" s="2"/>
      <c r="C124" s="2"/>
      <c r="D124" s="2"/>
      <c r="E124" s="2"/>
      <c r="F124" s="2" t="s">
        <v>416</v>
      </c>
      <c r="G124" s="2"/>
      <c r="H124" s="9">
        <f t="shared" ref="H124:AQ124" si="122">H115</f>
        <v>20500</v>
      </c>
      <c r="I124" s="9">
        <f t="shared" si="122"/>
        <v>20558.853423741071</v>
      </c>
      <c r="J124" s="9">
        <f t="shared" si="122"/>
        <v>20617.875809700974</v>
      </c>
      <c r="K124" s="9">
        <f t="shared" si="122"/>
        <v>20677.067642953127</v>
      </c>
      <c r="L124" s="9">
        <f t="shared" si="122"/>
        <v>20736.429409963537</v>
      </c>
      <c r="M124" s="9">
        <f t="shared" si="122"/>
        <v>20795.961598594826</v>
      </c>
      <c r="N124" s="9">
        <f t="shared" si="122"/>
        <v>20855.664698110199</v>
      </c>
      <c r="O124" s="9">
        <f t="shared" si="122"/>
        <v>20915.539199177496</v>
      </c>
      <c r="P124" s="9">
        <f t="shared" si="122"/>
        <v>20975.585593873209</v>
      </c>
      <c r="Q124" s="9">
        <f t="shared" si="122"/>
        <v>21035.804375686545</v>
      </c>
      <c r="R124" s="9">
        <f t="shared" si="122"/>
        <v>21096.196039523449</v>
      </c>
      <c r="S124" s="9">
        <f t="shared" si="122"/>
        <v>21156.761081710705</v>
      </c>
      <c r="T124" s="9">
        <f t="shared" si="122"/>
        <v>21217.5</v>
      </c>
      <c r="U124" s="9">
        <f t="shared" si="122"/>
        <v>21278.413293572008</v>
      </c>
      <c r="V124" s="9">
        <f t="shared" si="122"/>
        <v>21339.501463040506</v>
      </c>
      <c r="W124" s="9">
        <f t="shared" si="122"/>
        <v>21400.765010456478</v>
      </c>
      <c r="X124" s="9">
        <f t="shared" si="122"/>
        <v>21462.20443931226</v>
      </c>
      <c r="Y124" s="9">
        <f t="shared" si="122"/>
        <v>21523.820254545644</v>
      </c>
      <c r="Z124" s="9">
        <f t="shared" si="122"/>
        <v>21585.612962544055</v>
      </c>
      <c r="AA124" s="9">
        <f t="shared" si="122"/>
        <v>21647.583071148703</v>
      </c>
      <c r="AB124" s="9">
        <f t="shared" si="122"/>
        <v>21709.73108965877</v>
      </c>
      <c r="AC124" s="9">
        <f t="shared" si="122"/>
        <v>21772.057528835572</v>
      </c>
      <c r="AD124" s="9">
        <f t="shared" si="122"/>
        <v>21834.562900906767</v>
      </c>
      <c r="AE124" s="9">
        <f t="shared" si="122"/>
        <v>21897.24771957058</v>
      </c>
      <c r="AF124" s="9">
        <f t="shared" si="122"/>
        <v>21960.112499999996</v>
      </c>
      <c r="AG124" s="9">
        <f t="shared" si="122"/>
        <v>22023.157758847025</v>
      </c>
      <c r="AH124" s="9">
        <f t="shared" si="122"/>
        <v>22086.38401424692</v>
      </c>
      <c r="AI124" s="9">
        <f t="shared" si="122"/>
        <v>22149.791785822461</v>
      </c>
      <c r="AJ124" s="9">
        <f t="shared" si="122"/>
        <v>22213.381594688191</v>
      </c>
      <c r="AK124" s="9">
        <f t="shared" si="122"/>
        <v>22277.153963454737</v>
      </c>
      <c r="AL124" s="9">
        <f t="shared" si="122"/>
        <v>22341.109416233092</v>
      </c>
      <c r="AM124" s="9">
        <f t="shared" si="122"/>
        <v>22405.24847863891</v>
      </c>
      <c r="AN124" s="9">
        <f t="shared" si="122"/>
        <v>22469.571677796823</v>
      </c>
      <c r="AO124" s="9">
        <f t="shared" si="122"/>
        <v>22534.079542344814</v>
      </c>
      <c r="AP124" s="9">
        <f t="shared" si="122"/>
        <v>22598.772602438501</v>
      </c>
      <c r="AQ124" s="9">
        <f t="shared" si="122"/>
        <v>22663.651389755545</v>
      </c>
    </row>
    <row r="125" spans="1:43" hidden="1" outlineLevel="4" collapsed="1">
      <c r="A125" s="2"/>
      <c r="B125" s="2"/>
      <c r="C125" s="2"/>
      <c r="D125" s="2"/>
      <c r="E125" s="2" t="s">
        <v>420</v>
      </c>
      <c r="F125" s="2"/>
      <c r="G125" s="2"/>
      <c r="H125" s="9">
        <f t="shared" ref="H125:AQ125" si="123">(H126*H127)</f>
        <v>1007082.2765923919</v>
      </c>
      <c r="I125" s="9">
        <f t="shared" si="123"/>
        <v>1153612.4107159786</v>
      </c>
      <c r="J125" s="9">
        <f t="shared" si="123"/>
        <v>1305499.4234198949</v>
      </c>
      <c r="K125" s="9">
        <f t="shared" si="123"/>
        <v>1462896.9479863667</v>
      </c>
      <c r="L125" s="9">
        <f t="shared" si="123"/>
        <v>1625962.5802124208</v>
      </c>
      <c r="M125" s="9">
        <f t="shared" si="123"/>
        <v>1794857.9746747962</v>
      </c>
      <c r="N125" s="9">
        <f t="shared" si="123"/>
        <v>1969748.9432453145</v>
      </c>
      <c r="O125" s="9">
        <f t="shared" si="123"/>
        <v>2150805.5559079028</v>
      </c>
      <c r="P125" s="9">
        <f t="shared" si="123"/>
        <v>2338202.2439296832</v>
      </c>
      <c r="Q125" s="9">
        <f t="shared" si="123"/>
        <v>2532117.9054395952</v>
      </c>
      <c r="R125" s="9">
        <f t="shared" si="123"/>
        <v>2732736.0134693426</v>
      </c>
      <c r="S125" s="9">
        <f t="shared" si="123"/>
        <v>2940244.7265125634</v>
      </c>
      <c r="T125" s="9">
        <f t="shared" si="123"/>
        <v>3154837.0016594436</v>
      </c>
      <c r="U125" s="9">
        <f t="shared" si="123"/>
        <v>3376710.71036524</v>
      </c>
      <c r="V125" s="9">
        <f t="shared" si="123"/>
        <v>3606068.756912461</v>
      </c>
      <c r="W125" s="9">
        <f t="shared" si="123"/>
        <v>3843119.1996278376</v>
      </c>
      <c r="X125" s="9">
        <f t="shared" si="123"/>
        <v>4088075.3749165349</v>
      </c>
      <c r="Y125" s="9">
        <f t="shared" si="123"/>
        <v>4341156.024177419</v>
      </c>
      <c r="Z125" s="9">
        <f t="shared" si="123"/>
        <v>4602585.4236647403</v>
      </c>
      <c r="AA125" s="9">
        <f t="shared" si="123"/>
        <v>4872593.5173628526</v>
      </c>
      <c r="AB125" s="9">
        <f t="shared" si="123"/>
        <v>5151416.0529422434</v>
      </c>
      <c r="AC125" s="9">
        <f t="shared" si="123"/>
        <v>5439294.7208665824</v>
      </c>
      <c r="AD125" s="9">
        <f t="shared" si="123"/>
        <v>5736477.2967220452</v>
      </c>
      <c r="AE125" s="9">
        <f t="shared" si="123"/>
        <v>6043217.7868417809</v>
      </c>
      <c r="AF125" s="9">
        <f t="shared" si="123"/>
        <v>6359776.5773000056</v>
      </c>
      <c r="AG125" s="9">
        <f t="shared" si="123"/>
        <v>6686420.5863518436</v>
      </c>
      <c r="AH125" s="9">
        <f t="shared" si="123"/>
        <v>7023423.4203966716</v>
      </c>
      <c r="AI125" s="9">
        <f t="shared" si="123"/>
        <v>7371065.533544654</v>
      </c>
      <c r="AJ125" s="9">
        <f t="shared" si="123"/>
        <v>7729634.3908675974</v>
      </c>
      <c r="AK125" s="9">
        <f t="shared" si="123"/>
        <v>8099424.6354173627</v>
      </c>
      <c r="AL125" s="9">
        <f t="shared" si="123"/>
        <v>8480738.2590967622</v>
      </c>
      <c r="AM125" s="9">
        <f t="shared" si="123"/>
        <v>8873884.777469717</v>
      </c>
      <c r="AN125" s="9">
        <f t="shared" si="123"/>
        <v>9279181.4085994661</v>
      </c>
      <c r="AO125" s="9">
        <f t="shared" si="123"/>
        <v>9696953.2560056485</v>
      </c>
      <c r="AP125" s="9">
        <f t="shared" si="123"/>
        <v>10127533.495832743</v>
      </c>
      <c r="AQ125" s="9">
        <f t="shared" si="123"/>
        <v>10571263.568324978</v>
      </c>
    </row>
    <row r="126" spans="1:43" hidden="1" outlineLevel="5">
      <c r="A126" s="2"/>
      <c r="B126" s="2"/>
      <c r="C126" s="2"/>
      <c r="D126" s="2"/>
      <c r="E126" s="2"/>
      <c r="F126" s="2" t="s">
        <v>350</v>
      </c>
      <c r="G126" s="2"/>
      <c r="H126" s="9">
        <f t="shared" ref="H126:AQ126" si="124">H36</f>
        <v>49.125964711823997</v>
      </c>
      <c r="I126" s="9">
        <f t="shared" si="124"/>
        <v>56.112682304734143</v>
      </c>
      <c r="J126" s="9">
        <f t="shared" si="124"/>
        <v>63.318813027559358</v>
      </c>
      <c r="K126" s="9">
        <f t="shared" si="124"/>
        <v>70.749729760879859</v>
      </c>
      <c r="L126" s="9">
        <f t="shared" si="124"/>
        <v>78.410923504080728</v>
      </c>
      <c r="M126" s="9">
        <f t="shared" si="124"/>
        <v>86.308005819556527</v>
      </c>
      <c r="N126" s="9">
        <f t="shared" si="124"/>
        <v>94.446711325570945</v>
      </c>
      <c r="O126" s="9">
        <f t="shared" si="124"/>
        <v>102.83290023871263</v>
      </c>
      <c r="P126" s="9">
        <f t="shared" si="124"/>
        <v>111.47256096691062</v>
      </c>
      <c r="Q126" s="9">
        <f t="shared" si="124"/>
        <v>120.37181275398481</v>
      </c>
      <c r="R126" s="9">
        <f t="shared" si="124"/>
        <v>129.53690837673281</v>
      </c>
      <c r="S126" s="9">
        <f t="shared" si="124"/>
        <v>138.97423689556641</v>
      </c>
      <c r="T126" s="9">
        <f t="shared" si="124"/>
        <v>148.69032645973576</v>
      </c>
      <c r="U126" s="9">
        <f t="shared" si="124"/>
        <v>158.69184716819603</v>
      </c>
      <c r="V126" s="9">
        <f t="shared" si="124"/>
        <v>168.98561398719102</v>
      </c>
      <c r="W126" s="9">
        <f t="shared" si="124"/>
        <v>179.57858972565131</v>
      </c>
      <c r="X126" s="9">
        <f t="shared" si="124"/>
        <v>190.47788806952275</v>
      </c>
      <c r="Y126" s="9">
        <f t="shared" si="124"/>
        <v>201.69077667616205</v>
      </c>
      <c r="Z126" s="9">
        <f t="shared" si="124"/>
        <v>213.22468032996201</v>
      </c>
      <c r="AA126" s="9">
        <f t="shared" si="124"/>
        <v>225.08718416038371</v>
      </c>
      <c r="AB126" s="9">
        <f t="shared" si="124"/>
        <v>237.2860369236021</v>
      </c>
      <c r="AC126" s="9">
        <f t="shared" si="124"/>
        <v>249.82915434899141</v>
      </c>
      <c r="AD126" s="9">
        <f t="shared" si="124"/>
        <v>262.7246225516983</v>
      </c>
      <c r="AE126" s="9">
        <f t="shared" si="124"/>
        <v>275.9807015125777</v>
      </c>
      <c r="AF126" s="9">
        <f t="shared" si="124"/>
        <v>289.60582862678899</v>
      </c>
      <c r="AG126" s="9">
        <f t="shared" si="124"/>
        <v>303.60862232237383</v>
      </c>
      <c r="AH126" s="9">
        <f t="shared" si="124"/>
        <v>317.99788575016089</v>
      </c>
      <c r="AI126" s="9">
        <f t="shared" si="124"/>
        <v>332.78261054637511</v>
      </c>
      <c r="AJ126" s="9">
        <f t="shared" si="124"/>
        <v>347.97198066934385</v>
      </c>
      <c r="AK126" s="9">
        <f t="shared" si="124"/>
        <v>363.57537631172818</v>
      </c>
      <c r="AL126" s="9">
        <f t="shared" si="124"/>
        <v>379.60237788973194</v>
      </c>
      <c r="AM126" s="9">
        <f t="shared" si="124"/>
        <v>396.0627701107644</v>
      </c>
      <c r="AN126" s="9">
        <f t="shared" si="124"/>
        <v>412.96654612106539</v>
      </c>
      <c r="AO126" s="9">
        <f t="shared" si="124"/>
        <v>430.32391173483086</v>
      </c>
      <c r="AP126" s="9">
        <f t="shared" si="124"/>
        <v>448.14528974639717</v>
      </c>
      <c r="AQ126" s="9">
        <f t="shared" si="124"/>
        <v>466.44132432708591</v>
      </c>
    </row>
    <row r="127" spans="1:43" hidden="1" outlineLevel="5">
      <c r="A127" s="2"/>
      <c r="B127" s="2"/>
      <c r="C127" s="2"/>
      <c r="D127" s="2"/>
      <c r="E127" s="2"/>
      <c r="F127" s="2" t="s">
        <v>416</v>
      </c>
      <c r="G127" s="2"/>
      <c r="H127" s="9">
        <f t="shared" ref="H127:AQ127" si="125">H115</f>
        <v>20500</v>
      </c>
      <c r="I127" s="9">
        <f t="shared" si="125"/>
        <v>20558.853423741071</v>
      </c>
      <c r="J127" s="9">
        <f t="shared" si="125"/>
        <v>20617.875809700974</v>
      </c>
      <c r="K127" s="9">
        <f t="shared" si="125"/>
        <v>20677.067642953127</v>
      </c>
      <c r="L127" s="9">
        <f t="shared" si="125"/>
        <v>20736.429409963537</v>
      </c>
      <c r="M127" s="9">
        <f t="shared" si="125"/>
        <v>20795.961598594826</v>
      </c>
      <c r="N127" s="9">
        <f t="shared" si="125"/>
        <v>20855.664698110199</v>
      </c>
      <c r="O127" s="9">
        <f t="shared" si="125"/>
        <v>20915.539199177496</v>
      </c>
      <c r="P127" s="9">
        <f t="shared" si="125"/>
        <v>20975.585593873209</v>
      </c>
      <c r="Q127" s="9">
        <f t="shared" si="125"/>
        <v>21035.804375686545</v>
      </c>
      <c r="R127" s="9">
        <f t="shared" si="125"/>
        <v>21096.196039523449</v>
      </c>
      <c r="S127" s="9">
        <f t="shared" si="125"/>
        <v>21156.761081710705</v>
      </c>
      <c r="T127" s="9">
        <f t="shared" si="125"/>
        <v>21217.5</v>
      </c>
      <c r="U127" s="9">
        <f t="shared" si="125"/>
        <v>21278.413293572008</v>
      </c>
      <c r="V127" s="9">
        <f t="shared" si="125"/>
        <v>21339.501463040506</v>
      </c>
      <c r="W127" s="9">
        <f t="shared" si="125"/>
        <v>21400.765010456478</v>
      </c>
      <c r="X127" s="9">
        <f t="shared" si="125"/>
        <v>21462.20443931226</v>
      </c>
      <c r="Y127" s="9">
        <f t="shared" si="125"/>
        <v>21523.820254545644</v>
      </c>
      <c r="Z127" s="9">
        <f t="shared" si="125"/>
        <v>21585.612962544055</v>
      </c>
      <c r="AA127" s="9">
        <f t="shared" si="125"/>
        <v>21647.583071148703</v>
      </c>
      <c r="AB127" s="9">
        <f t="shared" si="125"/>
        <v>21709.73108965877</v>
      </c>
      <c r="AC127" s="9">
        <f t="shared" si="125"/>
        <v>21772.057528835572</v>
      </c>
      <c r="AD127" s="9">
        <f t="shared" si="125"/>
        <v>21834.562900906767</v>
      </c>
      <c r="AE127" s="9">
        <f t="shared" si="125"/>
        <v>21897.24771957058</v>
      </c>
      <c r="AF127" s="9">
        <f t="shared" si="125"/>
        <v>21960.112499999996</v>
      </c>
      <c r="AG127" s="9">
        <f t="shared" si="125"/>
        <v>22023.157758847025</v>
      </c>
      <c r="AH127" s="9">
        <f t="shared" si="125"/>
        <v>22086.38401424692</v>
      </c>
      <c r="AI127" s="9">
        <f t="shared" si="125"/>
        <v>22149.791785822461</v>
      </c>
      <c r="AJ127" s="9">
        <f t="shared" si="125"/>
        <v>22213.381594688191</v>
      </c>
      <c r="AK127" s="9">
        <f t="shared" si="125"/>
        <v>22277.153963454737</v>
      </c>
      <c r="AL127" s="9">
        <f t="shared" si="125"/>
        <v>22341.109416233092</v>
      </c>
      <c r="AM127" s="9">
        <f t="shared" si="125"/>
        <v>22405.24847863891</v>
      </c>
      <c r="AN127" s="9">
        <f t="shared" si="125"/>
        <v>22469.571677796823</v>
      </c>
      <c r="AO127" s="9">
        <f t="shared" si="125"/>
        <v>22534.079542344814</v>
      </c>
      <c r="AP127" s="9">
        <f t="shared" si="125"/>
        <v>22598.772602438501</v>
      </c>
      <c r="AQ127" s="9">
        <f t="shared" si="125"/>
        <v>22663.651389755545</v>
      </c>
    </row>
    <row r="128" spans="1:43" hidden="1" outlineLevel="4" collapsed="1">
      <c r="A128" s="2"/>
      <c r="B128" s="2"/>
      <c r="C128" s="2"/>
      <c r="D128" s="2"/>
      <c r="E128" s="2" t="s">
        <v>421</v>
      </c>
      <c r="F128" s="2"/>
      <c r="G128" s="2"/>
      <c r="H128" s="9">
        <f t="shared" ref="H128:AQ128" si="126">(H129*H130)</f>
        <v>67895.977418214738</v>
      </c>
      <c r="I128" s="9">
        <f t="shared" si="126"/>
        <v>77181.492649796128</v>
      </c>
      <c r="J128" s="9">
        <f t="shared" si="126"/>
        <v>86792.072976401629</v>
      </c>
      <c r="K128" s="9">
        <f t="shared" si="126"/>
        <v>96736.603863205033</v>
      </c>
      <c r="L128" s="9">
        <f t="shared" si="126"/>
        <v>107024.18820648959</v>
      </c>
      <c r="M128" s="9">
        <f t="shared" si="126"/>
        <v>117664.15132556812</v>
      </c>
      <c r="N128" s="9">
        <f t="shared" si="126"/>
        <v>128666.04606462076</v>
      </c>
      <c r="O128" s="9">
        <f t="shared" si="126"/>
        <v>140039.65800679935</v>
      </c>
      <c r="P128" s="9">
        <f t="shared" si="126"/>
        <v>151795.01080299841</v>
      </c>
      <c r="Q128" s="9">
        <f t="shared" si="126"/>
        <v>163942.37161774017</v>
      </c>
      <c r="R128" s="9">
        <f t="shared" si="126"/>
        <v>176492.2566946747</v>
      </c>
      <c r="S128" s="9">
        <f t="shared" si="126"/>
        <v>189455.43704424804</v>
      </c>
      <c r="T128" s="9">
        <f t="shared" si="126"/>
        <v>202842.94425614219</v>
      </c>
      <c r="U128" s="9">
        <f t="shared" si="126"/>
        <v>216666.07643914901</v>
      </c>
      <c r="V128" s="9">
        <f t="shared" si="126"/>
        <v>230936.40429119219</v>
      </c>
      <c r="W128" s="9">
        <f t="shared" si="126"/>
        <v>245665.77730226959</v>
      </c>
      <c r="X128" s="9">
        <f t="shared" si="126"/>
        <v>260866.33009314793</v>
      </c>
      <c r="Y128" s="9">
        <f t="shared" si="126"/>
        <v>276550.48889269406</v>
      </c>
      <c r="Z128" s="9">
        <f t="shared" si="126"/>
        <v>292730.97815679904</v>
      </c>
      <c r="AA128" s="9">
        <f t="shared" si="126"/>
        <v>309420.82733189821</v>
      </c>
      <c r="AB128" s="9">
        <f t="shared" si="126"/>
        <v>326633.37776616658</v>
      </c>
      <c r="AC128" s="9">
        <f t="shared" si="126"/>
        <v>344382.28977152298</v>
      </c>
      <c r="AD128" s="9">
        <f t="shared" si="126"/>
        <v>362681.54983964755</v>
      </c>
      <c r="AE128" s="9">
        <f t="shared" si="126"/>
        <v>381545.47801528079</v>
      </c>
      <c r="AF128" s="9">
        <f t="shared" si="126"/>
        <v>400988.73543014243</v>
      </c>
      <c r="AG128" s="9">
        <f t="shared" si="126"/>
        <v>421026.3320008759</v>
      </c>
      <c r="AH128" s="9">
        <f t="shared" si="126"/>
        <v>441673.63429449551</v>
      </c>
      <c r="AI128" s="9">
        <f t="shared" si="126"/>
        <v>462946.37356488669</v>
      </c>
      <c r="AJ128" s="9">
        <f t="shared" si="126"/>
        <v>484860.65396398364</v>
      </c>
      <c r="AK128" s="9">
        <f t="shared" si="126"/>
        <v>507432.96093131916</v>
      </c>
      <c r="AL128" s="9">
        <f t="shared" si="126"/>
        <v>530680.16976572853</v>
      </c>
      <c r="AM128" s="9">
        <f t="shared" si="126"/>
        <v>554619.55438305507</v>
      </c>
      <c r="AN128" s="9">
        <f t="shared" si="126"/>
        <v>579268.79626379127</v>
      </c>
      <c r="AO128" s="9">
        <f t="shared" si="126"/>
        <v>604645.99359468021</v>
      </c>
      <c r="AP128" s="9">
        <f t="shared" si="126"/>
        <v>630769.67060835927</v>
      </c>
      <c r="AQ128" s="9">
        <f t="shared" si="126"/>
        <v>657658.78712524672</v>
      </c>
    </row>
    <row r="129" spans="1:43" hidden="1" outlineLevel="5">
      <c r="A129" s="2"/>
      <c r="B129" s="2"/>
      <c r="C129" s="2"/>
      <c r="D129" s="2"/>
      <c r="E129" s="2"/>
      <c r="F129" s="2" t="s">
        <v>395</v>
      </c>
      <c r="G129" s="2"/>
      <c r="H129" s="9">
        <f t="shared" ref="H129:AQ129" si="127">H89</f>
        <v>3.3119988984494997</v>
      </c>
      <c r="I129" s="9">
        <f t="shared" si="127"/>
        <v>3.7541730104786892</v>
      </c>
      <c r="J129" s="9">
        <f t="shared" si="127"/>
        <v>4.2095545524415687</v>
      </c>
      <c r="K129" s="9">
        <f t="shared" si="127"/>
        <v>4.6784488755190328</v>
      </c>
      <c r="L129" s="9">
        <f t="shared" si="127"/>
        <v>5.1611676287464467</v>
      </c>
      <c r="M129" s="9">
        <f t="shared" si="127"/>
        <v>5.6580288806418375</v>
      </c>
      <c r="N129" s="9">
        <f t="shared" si="127"/>
        <v>6.1693572430841597</v>
      </c>
      <c r="O129" s="9">
        <f t="shared" si="127"/>
        <v>6.6954839974819498</v>
      </c>
      <c r="P129" s="9">
        <f t="shared" si="127"/>
        <v>7.2367472232735404</v>
      </c>
      <c r="Q129" s="9">
        <f t="shared" si="127"/>
        <v>7.79349192880054</v>
      </c>
      <c r="R129" s="9">
        <f t="shared" si="127"/>
        <v>8.3660701845972021</v>
      </c>
      <c r="S129" s="9">
        <f t="shared" si="127"/>
        <v>8.9548412591389415</v>
      </c>
      <c r="T129" s="9">
        <f t="shared" si="127"/>
        <v>9.560171757094011</v>
      </c>
      <c r="U129" s="9">
        <f t="shared" si="127"/>
        <v>10.182435760123225</v>
      </c>
      <c r="V129" s="9">
        <f t="shared" si="127"/>
        <v>10.822014970273246</v>
      </c>
      <c r="W129" s="9">
        <f t="shared" si="127"/>
        <v>11.479298856009892</v>
      </c>
      <c r="X129" s="9">
        <f t="shared" si="127"/>
        <v>12.154684800938705</v>
      </c>
      <c r="Y129" s="9">
        <f t="shared" si="127"/>
        <v>12.848578255260657</v>
      </c>
      <c r="Z129" s="9">
        <f t="shared" si="127"/>
        <v>13.561392890012151</v>
      </c>
      <c r="AA129" s="9">
        <f t="shared" si="127"/>
        <v>14.293550754138723</v>
      </c>
      <c r="AB129" s="9">
        <f t="shared" si="127"/>
        <v>15.045482434453341</v>
      </c>
      <c r="AC129" s="9">
        <f t="shared" si="127"/>
        <v>15.817627218530571</v>
      </c>
      <c r="AD129" s="9">
        <f t="shared" si="127"/>
        <v>16.610433260589144</v>
      </c>
      <c r="AE129" s="9">
        <f t="shared" si="127"/>
        <v>17.424357750416096</v>
      </c>
      <c r="AF129" s="9">
        <f t="shared" si="127"/>
        <v>18.259867085386858</v>
      </c>
      <c r="AG129" s="9">
        <f t="shared" si="127"/>
        <v>19.117437045636358</v>
      </c>
      <c r="AH129" s="9">
        <f t="shared" si="127"/>
        <v>19.997552972437315</v>
      </c>
      <c r="AI129" s="9">
        <f t="shared" si="127"/>
        <v>20.900709949842838</v>
      </c>
      <c r="AJ129" s="9">
        <f t="shared" si="127"/>
        <v>21.827412989651549</v>
      </c>
      <c r="AK129" s="9">
        <f t="shared" si="127"/>
        <v>22.778177219754088</v>
      </c>
      <c r="AL129" s="9">
        <f t="shared" si="127"/>
        <v>23.753528075921572</v>
      </c>
      <c r="AM129" s="9">
        <f t="shared" si="127"/>
        <v>24.754001497096873</v>
      </c>
      <c r="AN129" s="9">
        <f t="shared" si="127"/>
        <v>25.780144124251034</v>
      </c>
      <c r="AO129" s="9">
        <f t="shared" si="127"/>
        <v>26.832513502868505</v>
      </c>
      <c r="AP129" s="9">
        <f t="shared" si="127"/>
        <v>27.911678289125163</v>
      </c>
      <c r="AQ129" s="9">
        <f t="shared" si="127"/>
        <v>29.018218459825171</v>
      </c>
    </row>
    <row r="130" spans="1:43" hidden="1" outlineLevel="5">
      <c r="A130" s="2"/>
      <c r="B130" s="2"/>
      <c r="C130" s="2"/>
      <c r="D130" s="2"/>
      <c r="E130" s="2"/>
      <c r="F130" s="2" t="s">
        <v>416</v>
      </c>
      <c r="G130" s="2"/>
      <c r="H130" s="9">
        <f t="shared" ref="H130:AQ130" si="128">H115</f>
        <v>20500</v>
      </c>
      <c r="I130" s="9">
        <f t="shared" si="128"/>
        <v>20558.853423741071</v>
      </c>
      <c r="J130" s="9">
        <f t="shared" si="128"/>
        <v>20617.875809700974</v>
      </c>
      <c r="K130" s="9">
        <f t="shared" si="128"/>
        <v>20677.067642953127</v>
      </c>
      <c r="L130" s="9">
        <f t="shared" si="128"/>
        <v>20736.429409963537</v>
      </c>
      <c r="M130" s="9">
        <f t="shared" si="128"/>
        <v>20795.961598594826</v>
      </c>
      <c r="N130" s="9">
        <f t="shared" si="128"/>
        <v>20855.664698110199</v>
      </c>
      <c r="O130" s="9">
        <f t="shared" si="128"/>
        <v>20915.539199177496</v>
      </c>
      <c r="P130" s="9">
        <f t="shared" si="128"/>
        <v>20975.585593873209</v>
      </c>
      <c r="Q130" s="9">
        <f t="shared" si="128"/>
        <v>21035.804375686545</v>
      </c>
      <c r="R130" s="9">
        <f t="shared" si="128"/>
        <v>21096.196039523449</v>
      </c>
      <c r="S130" s="9">
        <f t="shared" si="128"/>
        <v>21156.761081710705</v>
      </c>
      <c r="T130" s="9">
        <f t="shared" si="128"/>
        <v>21217.5</v>
      </c>
      <c r="U130" s="9">
        <f t="shared" si="128"/>
        <v>21278.413293572008</v>
      </c>
      <c r="V130" s="9">
        <f t="shared" si="128"/>
        <v>21339.501463040506</v>
      </c>
      <c r="W130" s="9">
        <f t="shared" si="128"/>
        <v>21400.765010456478</v>
      </c>
      <c r="X130" s="9">
        <f t="shared" si="128"/>
        <v>21462.20443931226</v>
      </c>
      <c r="Y130" s="9">
        <f t="shared" si="128"/>
        <v>21523.820254545644</v>
      </c>
      <c r="Z130" s="9">
        <f t="shared" si="128"/>
        <v>21585.612962544055</v>
      </c>
      <c r="AA130" s="9">
        <f t="shared" si="128"/>
        <v>21647.583071148703</v>
      </c>
      <c r="AB130" s="9">
        <f t="shared" si="128"/>
        <v>21709.73108965877</v>
      </c>
      <c r="AC130" s="9">
        <f t="shared" si="128"/>
        <v>21772.057528835572</v>
      </c>
      <c r="AD130" s="9">
        <f t="shared" si="128"/>
        <v>21834.562900906767</v>
      </c>
      <c r="AE130" s="9">
        <f t="shared" si="128"/>
        <v>21897.24771957058</v>
      </c>
      <c r="AF130" s="9">
        <f t="shared" si="128"/>
        <v>21960.112499999996</v>
      </c>
      <c r="AG130" s="9">
        <f t="shared" si="128"/>
        <v>22023.157758847025</v>
      </c>
      <c r="AH130" s="9">
        <f t="shared" si="128"/>
        <v>22086.38401424692</v>
      </c>
      <c r="AI130" s="9">
        <f t="shared" si="128"/>
        <v>22149.791785822461</v>
      </c>
      <c r="AJ130" s="9">
        <f t="shared" si="128"/>
        <v>22213.381594688191</v>
      </c>
      <c r="AK130" s="9">
        <f t="shared" si="128"/>
        <v>22277.153963454737</v>
      </c>
      <c r="AL130" s="9">
        <f t="shared" si="128"/>
        <v>22341.109416233092</v>
      </c>
      <c r="AM130" s="9">
        <f t="shared" si="128"/>
        <v>22405.24847863891</v>
      </c>
      <c r="AN130" s="9">
        <f t="shared" si="128"/>
        <v>22469.571677796823</v>
      </c>
      <c r="AO130" s="9">
        <f t="shared" si="128"/>
        <v>22534.079542344814</v>
      </c>
      <c r="AP130" s="9">
        <f t="shared" si="128"/>
        <v>22598.772602438501</v>
      </c>
      <c r="AQ130" s="9">
        <f t="shared" si="128"/>
        <v>22663.651389755545</v>
      </c>
    </row>
    <row r="131" spans="1:43" hidden="1" outlineLevel="4" collapsed="1">
      <c r="A131" s="2"/>
      <c r="B131" s="2"/>
      <c r="C131" s="2"/>
      <c r="D131" s="2"/>
      <c r="E131" s="2" t="s">
        <v>422</v>
      </c>
      <c r="F131" s="2"/>
      <c r="G131" s="2"/>
      <c r="H131" s="9">
        <f t="shared" ref="H131:AQ131" si="129">(H132*H133)</f>
        <v>553943.63935421605</v>
      </c>
      <c r="I131" s="9">
        <f t="shared" si="129"/>
        <v>613346.81138120277</v>
      </c>
      <c r="J131" s="9">
        <f t="shared" si="129"/>
        <v>674887.42763208691</v>
      </c>
      <c r="K131" s="9">
        <f t="shared" si="129"/>
        <v>738626.79609756905</v>
      </c>
      <c r="L131" s="9">
        <f t="shared" si="129"/>
        <v>804627.81228995579</v>
      </c>
      <c r="M131" s="9">
        <f t="shared" si="129"/>
        <v>872954.99800732348</v>
      </c>
      <c r="N131" s="9">
        <f t="shared" si="129"/>
        <v>943674.54100874835</v>
      </c>
      <c r="O131" s="9">
        <f t="shared" si="129"/>
        <v>1016854.3356214615</v>
      </c>
      <c r="P131" s="9">
        <f t="shared" si="129"/>
        <v>1092564.0243012435</v>
      </c>
      <c r="Q131" s="9">
        <f t="shared" si="129"/>
        <v>1170875.0401678314</v>
      </c>
      <c r="R131" s="9">
        <f t="shared" si="129"/>
        <v>1251860.6505376431</v>
      </c>
      <c r="S131" s="9">
        <f t="shared" si="129"/>
        <v>1335596.0014765735</v>
      </c>
      <c r="T131" s="9">
        <f t="shared" si="129"/>
        <v>1422158.1633961715</v>
      </c>
      <c r="U131" s="9">
        <f t="shared" si="129"/>
        <v>1511626.1777169958</v>
      </c>
      <c r="V131" s="9">
        <f t="shared" si="129"/>
        <v>1604081.1046234933</v>
      </c>
      <c r="W131" s="9">
        <f t="shared" si="129"/>
        <v>1699606.0719352968</v>
      </c>
      <c r="X131" s="9">
        <f t="shared" si="129"/>
        <v>1798286.3251203764</v>
      </c>
      <c r="Y131" s="9">
        <f t="shared" si="129"/>
        <v>1900209.2784760646</v>
      </c>
      <c r="Z131" s="9">
        <f t="shared" si="129"/>
        <v>2005464.5675045522</v>
      </c>
      <c r="AA131" s="9">
        <f t="shared" si="129"/>
        <v>2114144.102510036</v>
      </c>
      <c r="AB131" s="9">
        <f t="shared" si="129"/>
        <v>2226342.1234453325</v>
      </c>
      <c r="AC131" s="9">
        <f t="shared" si="129"/>
        <v>2342155.2560363454</v>
      </c>
      <c r="AD131" s="9">
        <f t="shared" si="129"/>
        <v>2461682.5692134821</v>
      </c>
      <c r="AE131" s="9">
        <f t="shared" si="129"/>
        <v>2585025.6338796713</v>
      </c>
      <c r="AF131" s="9">
        <f t="shared" si="129"/>
        <v>2712288.5830454049</v>
      </c>
      <c r="AG131" s="9">
        <f t="shared" si="129"/>
        <v>2843578.1733617792</v>
      </c>
      <c r="AH131" s="9">
        <f t="shared" si="129"/>
        <v>2979003.8480833136</v>
      </c>
      <c r="AI131" s="9">
        <f t="shared" si="129"/>
        <v>3118677.8014929891</v>
      </c>
      <c r="AJ131" s="9">
        <f t="shared" si="129"/>
        <v>3262715.0448226309</v>
      </c>
      <c r="AK131" s="9">
        <f t="shared" si="129"/>
        <v>3411233.4737025904</v>
      </c>
      <c r="AL131" s="9">
        <f t="shared" si="129"/>
        <v>3564353.9371753405</v>
      </c>
      <c r="AM131" s="9">
        <f t="shared" si="129"/>
        <v>3722200.308308444</v>
      </c>
      <c r="AN131" s="9">
        <f t="shared" si="129"/>
        <v>3884899.5564430831</v>
      </c>
      <c r="AO131" s="9">
        <f t="shared" si="129"/>
        <v>4052581.8211152181</v>
      </c>
      <c r="AP131" s="9">
        <f t="shared" si="129"/>
        <v>4225380.4876871733</v>
      </c>
      <c r="AQ131" s="9">
        <f t="shared" si="129"/>
        <v>4403432.2647283804</v>
      </c>
    </row>
    <row r="132" spans="1:43" hidden="1" outlineLevel="5">
      <c r="A132" s="2"/>
      <c r="B132" s="2"/>
      <c r="C132" s="2"/>
      <c r="D132" s="2"/>
      <c r="E132" s="2"/>
      <c r="F132" s="2" t="s">
        <v>363</v>
      </c>
      <c r="G132" s="2"/>
      <c r="H132" s="9">
        <f t="shared" ref="H132:AQ132" si="130">H51</f>
        <v>27.0216409441081</v>
      </c>
      <c r="I132" s="9">
        <f t="shared" si="130"/>
        <v>29.833707101239344</v>
      </c>
      <c r="J132" s="9">
        <f t="shared" si="130"/>
        <v>32.733121193529733</v>
      </c>
      <c r="K132" s="9">
        <f t="shared" si="130"/>
        <v>35.722028328775025</v>
      </c>
      <c r="L132" s="9">
        <f t="shared" si="130"/>
        <v>38.802621048315309</v>
      </c>
      <c r="M132" s="9">
        <f t="shared" si="130"/>
        <v>41.977140314892132</v>
      </c>
      <c r="N132" s="9">
        <f t="shared" si="130"/>
        <v>45.247876520294163</v>
      </c>
      <c r="O132" s="9">
        <f t="shared" si="130"/>
        <v>48.617170513177555</v>
      </c>
      <c r="P132" s="9">
        <f t="shared" si="130"/>
        <v>52.087414647454331</v>
      </c>
      <c r="Q132" s="9">
        <f t="shared" si="130"/>
        <v>55.661053851648475</v>
      </c>
      <c r="R132" s="9">
        <f t="shared" si="130"/>
        <v>59.340586719629385</v>
      </c>
      <c r="S132" s="9">
        <f t="shared" si="130"/>
        <v>63.128566623137338</v>
      </c>
      <c r="T132" s="9">
        <f t="shared" si="130"/>
        <v>67.027602846526293</v>
      </c>
      <c r="U132" s="9">
        <f t="shared" si="130"/>
        <v>71.040361744155177</v>
      </c>
      <c r="V132" s="9">
        <f t="shared" si="130"/>
        <v>75.169567920868374</v>
      </c>
      <c r="W132" s="9">
        <f t="shared" si="130"/>
        <v>79.418005436014283</v>
      </c>
      <c r="X132" s="9">
        <f t="shared" si="130"/>
        <v>83.788519031458875</v>
      </c>
      <c r="Y132" s="9">
        <f t="shared" si="130"/>
        <v>88.28401538406068</v>
      </c>
      <c r="Z132" s="9">
        <f t="shared" si="130"/>
        <v>92.907464383081873</v>
      </c>
      <c r="AA132" s="9">
        <f t="shared" si="130"/>
        <v>97.66190043301917</v>
      </c>
      <c r="AB132" s="9">
        <f t="shared" si="130"/>
        <v>102.55042378234846</v>
      </c>
      <c r="AC132" s="9">
        <f t="shared" si="130"/>
        <v>107.57620187868437</v>
      </c>
      <c r="AD132" s="9">
        <f t="shared" si="130"/>
        <v>112.74247075086861</v>
      </c>
      <c r="AE132" s="9">
        <f t="shared" si="130"/>
        <v>118.05253641850682</v>
      </c>
      <c r="AF132" s="9">
        <f t="shared" si="130"/>
        <v>123.50977632948855</v>
      </c>
      <c r="AG132" s="9">
        <f t="shared" si="130"/>
        <v>129.11764082602878</v>
      </c>
      <c r="AH132" s="9">
        <f t="shared" si="130"/>
        <v>134.87965463978594</v>
      </c>
      <c r="AI132" s="9">
        <f t="shared" si="130"/>
        <v>140.79941841661818</v>
      </c>
      <c r="AJ132" s="9">
        <f t="shared" si="130"/>
        <v>146.88061027155058</v>
      </c>
      <c r="AK132" s="9">
        <f t="shared" si="130"/>
        <v>153.1269873745388</v>
      </c>
      <c r="AL132" s="9">
        <f t="shared" si="130"/>
        <v>159.54238756762339</v>
      </c>
      <c r="AM132" s="9">
        <f t="shared" si="130"/>
        <v>166.13073101408258</v>
      </c>
      <c r="AN132" s="9">
        <f t="shared" si="130"/>
        <v>172.89602188020007</v>
      </c>
      <c r="AO132" s="9">
        <f t="shared" si="130"/>
        <v>179.84235005027949</v>
      </c>
      <c r="AP132" s="9">
        <f t="shared" si="130"/>
        <v>186.9738928755466</v>
      </c>
      <c r="AQ132" s="9">
        <f t="shared" si="130"/>
        <v>194.29491695759253</v>
      </c>
    </row>
    <row r="133" spans="1:43" hidden="1" outlineLevel="5">
      <c r="A133" s="2"/>
      <c r="B133" s="2"/>
      <c r="C133" s="2"/>
      <c r="D133" s="2"/>
      <c r="E133" s="2"/>
      <c r="F133" s="2" t="s">
        <v>416</v>
      </c>
      <c r="G133" s="2"/>
      <c r="H133" s="9">
        <f t="shared" ref="H133:AQ133" si="131">H115</f>
        <v>20500</v>
      </c>
      <c r="I133" s="9">
        <f t="shared" si="131"/>
        <v>20558.853423741071</v>
      </c>
      <c r="J133" s="9">
        <f t="shared" si="131"/>
        <v>20617.875809700974</v>
      </c>
      <c r="K133" s="9">
        <f t="shared" si="131"/>
        <v>20677.067642953127</v>
      </c>
      <c r="L133" s="9">
        <f t="shared" si="131"/>
        <v>20736.429409963537</v>
      </c>
      <c r="M133" s="9">
        <f t="shared" si="131"/>
        <v>20795.961598594826</v>
      </c>
      <c r="N133" s="9">
        <f t="shared" si="131"/>
        <v>20855.664698110199</v>
      </c>
      <c r="O133" s="9">
        <f t="shared" si="131"/>
        <v>20915.539199177496</v>
      </c>
      <c r="P133" s="9">
        <f t="shared" si="131"/>
        <v>20975.585593873209</v>
      </c>
      <c r="Q133" s="9">
        <f t="shared" si="131"/>
        <v>21035.804375686545</v>
      </c>
      <c r="R133" s="9">
        <f t="shared" si="131"/>
        <v>21096.196039523449</v>
      </c>
      <c r="S133" s="9">
        <f t="shared" si="131"/>
        <v>21156.761081710705</v>
      </c>
      <c r="T133" s="9">
        <f t="shared" si="131"/>
        <v>21217.5</v>
      </c>
      <c r="U133" s="9">
        <f t="shared" si="131"/>
        <v>21278.413293572008</v>
      </c>
      <c r="V133" s="9">
        <f t="shared" si="131"/>
        <v>21339.501463040506</v>
      </c>
      <c r="W133" s="9">
        <f t="shared" si="131"/>
        <v>21400.765010456478</v>
      </c>
      <c r="X133" s="9">
        <f t="shared" si="131"/>
        <v>21462.20443931226</v>
      </c>
      <c r="Y133" s="9">
        <f t="shared" si="131"/>
        <v>21523.820254545644</v>
      </c>
      <c r="Z133" s="9">
        <f t="shared" si="131"/>
        <v>21585.612962544055</v>
      </c>
      <c r="AA133" s="9">
        <f t="shared" si="131"/>
        <v>21647.583071148703</v>
      </c>
      <c r="AB133" s="9">
        <f t="shared" si="131"/>
        <v>21709.73108965877</v>
      </c>
      <c r="AC133" s="9">
        <f t="shared" si="131"/>
        <v>21772.057528835572</v>
      </c>
      <c r="AD133" s="9">
        <f t="shared" si="131"/>
        <v>21834.562900906767</v>
      </c>
      <c r="AE133" s="9">
        <f t="shared" si="131"/>
        <v>21897.24771957058</v>
      </c>
      <c r="AF133" s="9">
        <f t="shared" si="131"/>
        <v>21960.112499999996</v>
      </c>
      <c r="AG133" s="9">
        <f t="shared" si="131"/>
        <v>22023.157758847025</v>
      </c>
      <c r="AH133" s="9">
        <f t="shared" si="131"/>
        <v>22086.38401424692</v>
      </c>
      <c r="AI133" s="9">
        <f t="shared" si="131"/>
        <v>22149.791785822461</v>
      </c>
      <c r="AJ133" s="9">
        <f t="shared" si="131"/>
        <v>22213.381594688191</v>
      </c>
      <c r="AK133" s="9">
        <f t="shared" si="131"/>
        <v>22277.153963454737</v>
      </c>
      <c r="AL133" s="9">
        <f t="shared" si="131"/>
        <v>22341.109416233092</v>
      </c>
      <c r="AM133" s="9">
        <f t="shared" si="131"/>
        <v>22405.24847863891</v>
      </c>
      <c r="AN133" s="9">
        <f t="shared" si="131"/>
        <v>22469.571677796823</v>
      </c>
      <c r="AO133" s="9">
        <f t="shared" si="131"/>
        <v>22534.079542344814</v>
      </c>
      <c r="AP133" s="9">
        <f t="shared" si="131"/>
        <v>22598.772602438501</v>
      </c>
      <c r="AQ133" s="9">
        <f t="shared" si="131"/>
        <v>22663.651389755545</v>
      </c>
    </row>
    <row r="134" spans="1:43" hidden="1" outlineLevel="4" collapsed="1">
      <c r="A134" s="2"/>
      <c r="B134" s="2"/>
      <c r="C134" s="2"/>
      <c r="D134" s="2"/>
      <c r="E134" s="2" t="s">
        <v>423</v>
      </c>
      <c r="F134" s="2"/>
      <c r="G134" s="2"/>
      <c r="H134" s="9">
        <f t="shared" ref="H134:AQ134" si="132">(H135*H136)</f>
        <v>21663.335784940744</v>
      </c>
      <c r="I134" s="9">
        <f t="shared" si="132"/>
        <v>23500.483539047618</v>
      </c>
      <c r="J134" s="9">
        <f t="shared" si="132"/>
        <v>25401.953573547638</v>
      </c>
      <c r="K134" s="9">
        <f t="shared" si="132"/>
        <v>27369.545030518093</v>
      </c>
      <c r="L134" s="9">
        <f t="shared" si="132"/>
        <v>29405.10217270322</v>
      </c>
      <c r="M134" s="9">
        <f t="shared" si="132"/>
        <v>31510.515442984186</v>
      </c>
      <c r="N134" s="9">
        <f t="shared" si="132"/>
        <v>33687.722547644713</v>
      </c>
      <c r="O134" s="9">
        <f t="shared" si="132"/>
        <v>35938.709563949888</v>
      </c>
      <c r="P134" s="9">
        <f t="shared" si="132"/>
        <v>38265.512072566926</v>
      </c>
      <c r="Q134" s="9">
        <f t="shared" si="132"/>
        <v>40670.21631536731</v>
      </c>
      <c r="R134" s="9">
        <f t="shared" si="132"/>
        <v>43154.960379161734</v>
      </c>
      <c r="S134" s="9">
        <f t="shared" si="132"/>
        <v>45721.93540593065</v>
      </c>
      <c r="T134" s="9">
        <f t="shared" si="132"/>
        <v>48373.386830125346</v>
      </c>
      <c r="U134" s="9">
        <f t="shared" si="132"/>
        <v>51111.615643626355</v>
      </c>
      <c r="V134" s="9">
        <f t="shared" si="132"/>
        <v>53938.97968895868</v>
      </c>
      <c r="W134" s="9">
        <f t="shared" si="132"/>
        <v>56857.894981376252</v>
      </c>
      <c r="X134" s="9">
        <f t="shared" si="132"/>
        <v>59870.837060440062</v>
      </c>
      <c r="Y134" s="9">
        <f t="shared" si="132"/>
        <v>62980.342371729006</v>
      </c>
      <c r="Z134" s="9">
        <f t="shared" si="132"/>
        <v>66189.009679334602</v>
      </c>
      <c r="AA134" s="9">
        <f t="shared" si="132"/>
        <v>69499.501509805428</v>
      </c>
      <c r="AB134" s="9">
        <f t="shared" si="132"/>
        <v>72914.545628221254</v>
      </c>
      <c r="AC134" s="9">
        <f t="shared" si="132"/>
        <v>76436.936547089659</v>
      </c>
      <c r="AD134" s="9">
        <f t="shared" si="132"/>
        <v>80069.537068775622</v>
      </c>
      <c r="AE134" s="9">
        <f t="shared" si="132"/>
        <v>83815.27986218562</v>
      </c>
      <c r="AF134" s="9">
        <f t="shared" si="132"/>
        <v>87677.169074447331</v>
      </c>
      <c r="AG134" s="9">
        <f t="shared" si="132"/>
        <v>91658.281978336978</v>
      </c>
      <c r="AH134" s="9">
        <f t="shared" si="132"/>
        <v>95761.770656226494</v>
      </c>
      <c r="AI134" s="9">
        <f t="shared" si="132"/>
        <v>99990.863721336616</v>
      </c>
      <c r="AJ134" s="9">
        <f t="shared" si="132"/>
        <v>104348.86807709832</v>
      </c>
      <c r="AK134" s="9">
        <f t="shared" si="132"/>
        <v>108839.17071544417</v>
      </c>
      <c r="AL134" s="9">
        <f t="shared" si="132"/>
        <v>113465.24055486511</v>
      </c>
      <c r="AM134" s="9">
        <f t="shared" si="132"/>
        <v>118230.63031908935</v>
      </c>
      <c r="AN134" s="9">
        <f t="shared" si="132"/>
        <v>123138.97845725477</v>
      </c>
      <c r="AO134" s="9">
        <f t="shared" si="132"/>
        <v>128194.01110646783</v>
      </c>
      <c r="AP134" s="9">
        <f t="shared" si="132"/>
        <v>133399.54409765717</v>
      </c>
      <c r="AQ134" s="9">
        <f t="shared" si="132"/>
        <v>138759.48500565265</v>
      </c>
    </row>
    <row r="135" spans="1:43" hidden="1" outlineLevel="5">
      <c r="A135" s="2"/>
      <c r="B135" s="2"/>
      <c r="C135" s="2"/>
      <c r="D135" s="2"/>
      <c r="E135" s="2"/>
      <c r="F135" s="2" t="s">
        <v>404</v>
      </c>
      <c r="G135" s="2"/>
      <c r="H135" s="9">
        <f t="shared" ref="H135:AQ135" si="133">H100</f>
        <v>1.0567480870702801</v>
      </c>
      <c r="I135" s="9">
        <f t="shared" si="133"/>
        <v>1.1430833740907747</v>
      </c>
      <c r="J135" s="9">
        <f t="shared" si="133"/>
        <v>1.2320354341059565</v>
      </c>
      <c r="K135" s="9">
        <f t="shared" si="133"/>
        <v>1.3236666583061552</v>
      </c>
      <c r="L135" s="9">
        <f t="shared" si="133"/>
        <v>1.4180407625323634</v>
      </c>
      <c r="M135" s="9">
        <f t="shared" si="133"/>
        <v>1.5152228135059327</v>
      </c>
      <c r="N135" s="9">
        <f t="shared" si="133"/>
        <v>1.6152792555538771</v>
      </c>
      <c r="O135" s="9">
        <f t="shared" si="133"/>
        <v>1.7182779378388282</v>
      </c>
      <c r="P135" s="9">
        <f t="shared" si="133"/>
        <v>1.8242881421028816</v>
      </c>
      <c r="Q135" s="9">
        <f t="shared" si="133"/>
        <v>1.9333806109346821</v>
      </c>
      <c r="R135" s="9">
        <f t="shared" si="133"/>
        <v>2.0456275765693244</v>
      </c>
      <c r="S135" s="9">
        <f t="shared" si="133"/>
        <v>2.1611027902307645</v>
      </c>
      <c r="T135" s="9">
        <f t="shared" si="133"/>
        <v>2.2798815520266453</v>
      </c>
      <c r="U135" s="9">
        <f t="shared" si="133"/>
        <v>2.4020407414055942</v>
      </c>
      <c r="V135" s="9">
        <f t="shared" si="133"/>
        <v>2.5276588481872304</v>
      </c>
      <c r="W135" s="9">
        <f t="shared" si="133"/>
        <v>2.6568160041753326</v>
      </c>
      <c r="X135" s="9">
        <f t="shared" si="133"/>
        <v>2.7895940153647412</v>
      </c>
      <c r="Y135" s="9">
        <f t="shared" si="133"/>
        <v>2.9260763947528368</v>
      </c>
      <c r="Z135" s="9">
        <f t="shared" si="133"/>
        <v>3.0663483957665494</v>
      </c>
      <c r="AA135" s="9">
        <f t="shared" si="133"/>
        <v>3.2104970463161049</v>
      </c>
      <c r="AB135" s="9">
        <f t="shared" si="133"/>
        <v>3.3586111834869032</v>
      </c>
      <c r="AC135" s="9">
        <f t="shared" si="133"/>
        <v>3.51078148888107</v>
      </c>
      <c r="AD135" s="9">
        <f t="shared" si="133"/>
        <v>3.6671005246205506</v>
      </c>
      <c r="AE135" s="9">
        <f t="shared" si="133"/>
        <v>3.8276627700236516</v>
      </c>
      <c r="AF135" s="9">
        <f t="shared" si="133"/>
        <v>3.9925646589673596</v>
      </c>
      <c r="AG135" s="9">
        <f t="shared" si="133"/>
        <v>4.1619046179477373</v>
      </c>
      <c r="AH135" s="9">
        <f t="shared" si="133"/>
        <v>4.3357831048511581</v>
      </c>
      <c r="AI135" s="9">
        <f t="shared" si="133"/>
        <v>4.5143026484491973</v>
      </c>
      <c r="AJ135" s="9">
        <f t="shared" si="133"/>
        <v>4.6975678886302887</v>
      </c>
      <c r="AK135" s="9">
        <f t="shared" si="133"/>
        <v>4.8856856173815038</v>
      </c>
      <c r="AL135" s="9">
        <f t="shared" si="133"/>
        <v>5.0787648205339817</v>
      </c>
      <c r="AM135" s="9">
        <f t="shared" si="133"/>
        <v>5.2769167202858762</v>
      </c>
      <c r="AN135" s="9">
        <f t="shared" si="133"/>
        <v>5.480254818516805</v>
      </c>
      <c r="AO135" s="9">
        <f t="shared" si="133"/>
        <v>5.6888949409081757</v>
      </c>
      <c r="AP135" s="9">
        <f t="shared" si="133"/>
        <v>5.9029552818838846</v>
      </c>
      <c r="AQ135" s="9">
        <f t="shared" si="133"/>
        <v>6.12255645038623</v>
      </c>
    </row>
    <row r="136" spans="1:43" hidden="1" outlineLevel="5">
      <c r="A136" s="2"/>
      <c r="B136" s="2"/>
      <c r="C136" s="2"/>
      <c r="D136" s="2"/>
      <c r="E136" s="2"/>
      <c r="F136" s="2" t="s">
        <v>416</v>
      </c>
      <c r="G136" s="2"/>
      <c r="H136" s="9">
        <f t="shared" ref="H136:AQ136" si="134">H115</f>
        <v>20500</v>
      </c>
      <c r="I136" s="9">
        <f t="shared" si="134"/>
        <v>20558.853423741071</v>
      </c>
      <c r="J136" s="9">
        <f t="shared" si="134"/>
        <v>20617.875809700974</v>
      </c>
      <c r="K136" s="9">
        <f t="shared" si="134"/>
        <v>20677.067642953127</v>
      </c>
      <c r="L136" s="9">
        <f t="shared" si="134"/>
        <v>20736.429409963537</v>
      </c>
      <c r="M136" s="9">
        <f t="shared" si="134"/>
        <v>20795.961598594826</v>
      </c>
      <c r="N136" s="9">
        <f t="shared" si="134"/>
        <v>20855.664698110199</v>
      </c>
      <c r="O136" s="9">
        <f t="shared" si="134"/>
        <v>20915.539199177496</v>
      </c>
      <c r="P136" s="9">
        <f t="shared" si="134"/>
        <v>20975.585593873209</v>
      </c>
      <c r="Q136" s="9">
        <f t="shared" si="134"/>
        <v>21035.804375686545</v>
      </c>
      <c r="R136" s="9">
        <f t="shared" si="134"/>
        <v>21096.196039523449</v>
      </c>
      <c r="S136" s="9">
        <f t="shared" si="134"/>
        <v>21156.761081710705</v>
      </c>
      <c r="T136" s="9">
        <f t="shared" si="134"/>
        <v>21217.5</v>
      </c>
      <c r="U136" s="9">
        <f t="shared" si="134"/>
        <v>21278.413293572008</v>
      </c>
      <c r="V136" s="9">
        <f t="shared" si="134"/>
        <v>21339.501463040506</v>
      </c>
      <c r="W136" s="9">
        <f t="shared" si="134"/>
        <v>21400.765010456478</v>
      </c>
      <c r="X136" s="9">
        <f t="shared" si="134"/>
        <v>21462.20443931226</v>
      </c>
      <c r="Y136" s="9">
        <f t="shared" si="134"/>
        <v>21523.820254545644</v>
      </c>
      <c r="Z136" s="9">
        <f t="shared" si="134"/>
        <v>21585.612962544055</v>
      </c>
      <c r="AA136" s="9">
        <f t="shared" si="134"/>
        <v>21647.583071148703</v>
      </c>
      <c r="AB136" s="9">
        <f t="shared" si="134"/>
        <v>21709.73108965877</v>
      </c>
      <c r="AC136" s="9">
        <f t="shared" si="134"/>
        <v>21772.057528835572</v>
      </c>
      <c r="AD136" s="9">
        <f t="shared" si="134"/>
        <v>21834.562900906767</v>
      </c>
      <c r="AE136" s="9">
        <f t="shared" si="134"/>
        <v>21897.24771957058</v>
      </c>
      <c r="AF136" s="9">
        <f t="shared" si="134"/>
        <v>21960.112499999996</v>
      </c>
      <c r="AG136" s="9">
        <f t="shared" si="134"/>
        <v>22023.157758847025</v>
      </c>
      <c r="AH136" s="9">
        <f t="shared" si="134"/>
        <v>22086.38401424692</v>
      </c>
      <c r="AI136" s="9">
        <f t="shared" si="134"/>
        <v>22149.791785822461</v>
      </c>
      <c r="AJ136" s="9">
        <f t="shared" si="134"/>
        <v>22213.381594688191</v>
      </c>
      <c r="AK136" s="9">
        <f t="shared" si="134"/>
        <v>22277.153963454737</v>
      </c>
      <c r="AL136" s="9">
        <f t="shared" si="134"/>
        <v>22341.109416233092</v>
      </c>
      <c r="AM136" s="9">
        <f t="shared" si="134"/>
        <v>22405.24847863891</v>
      </c>
      <c r="AN136" s="9">
        <f t="shared" si="134"/>
        <v>22469.571677796823</v>
      </c>
      <c r="AO136" s="9">
        <f t="shared" si="134"/>
        <v>22534.079542344814</v>
      </c>
      <c r="AP136" s="9">
        <f t="shared" si="134"/>
        <v>22598.772602438501</v>
      </c>
      <c r="AQ136" s="9">
        <f t="shared" si="134"/>
        <v>22663.651389755545</v>
      </c>
    </row>
    <row r="137" spans="1:43" hidden="1" outlineLevel="3" collapsed="1">
      <c r="A137" s="2"/>
      <c r="B137" s="2"/>
      <c r="C137" s="2"/>
      <c r="D137" s="2" t="s">
        <v>424</v>
      </c>
      <c r="E137" s="2"/>
      <c r="F137" s="2"/>
      <c r="G137" s="2"/>
      <c r="H137" s="9">
        <f t="shared" ref="H137:AQ137" si="135">(((((((H138+H141)+H144)+H147)+H150)+H153)+H156)+H159)</f>
        <v>306835.31120908028</v>
      </c>
      <c r="I137" s="9">
        <f t="shared" si="135"/>
        <v>378710.74954857177</v>
      </c>
      <c r="J137" s="9">
        <f t="shared" si="135"/>
        <v>453285.67277209624</v>
      </c>
      <c r="K137" s="9">
        <f t="shared" si="135"/>
        <v>530638.35106726713</v>
      </c>
      <c r="L137" s="9">
        <f t="shared" si="135"/>
        <v>610849.08839827066</v>
      </c>
      <c r="M137" s="9">
        <f t="shared" si="135"/>
        <v>694000.27224243339</v>
      </c>
      <c r="N137" s="9">
        <f t="shared" si="135"/>
        <v>780176.42449736258</v>
      </c>
      <c r="O137" s="9">
        <f t="shared" si="135"/>
        <v>869464.25358548877</v>
      </c>
      <c r="P137" s="9">
        <f t="shared" si="135"/>
        <v>961952.70778345829</v>
      </c>
      <c r="Q137" s="9">
        <f t="shared" si="135"/>
        <v>1057733.0298044148</v>
      </c>
      <c r="R137" s="9">
        <f t="shared" si="135"/>
        <v>1156898.812661879</v>
      </c>
      <c r="S137" s="9">
        <f t="shared" si="135"/>
        <v>1259546.0568445309</v>
      </c>
      <c r="T137" s="9">
        <f t="shared" si="135"/>
        <v>1365773.2288319098</v>
      </c>
      <c r="U137" s="9">
        <f t="shared" si="135"/>
        <v>1475681.320981676</v>
      </c>
      <c r="V137" s="9">
        <f t="shared" si="135"/>
        <v>1589373.9128197981</v>
      </c>
      <c r="W137" s="9">
        <f t="shared" si="135"/>
        <v>1706957.233765708</v>
      </c>
      <c r="X137" s="9">
        <f t="shared" si="135"/>
        <v>1828540.2273252183</v>
      </c>
      <c r="Y137" s="9">
        <f t="shared" si="135"/>
        <v>1954234.6167846867</v>
      </c>
      <c r="Z137" s="9">
        <f t="shared" si="135"/>
        <v>2084154.9724407115</v>
      </c>
      <c r="AA137" s="9">
        <f t="shared" si="135"/>
        <v>2218418.7804003702</v>
      </c>
      <c r="AB137" s="9">
        <f t="shared" si="135"/>
        <v>2357146.5129878293</v>
      </c>
      <c r="AC137" s="9">
        <f t="shared" si="135"/>
        <v>2500461.7007939257</v>
      </c>
      <c r="AD137" s="9">
        <f t="shared" si="135"/>
        <v>2648491.006406174</v>
      </c>
      <c r="AE137" s="9">
        <f t="shared" si="135"/>
        <v>2801364.2998574493</v>
      </c>
      <c r="AF137" s="9">
        <f t="shared" si="135"/>
        <v>2959214.7358325236</v>
      </c>
      <c r="AG137" s="9">
        <f t="shared" si="135"/>
        <v>3122178.8326724055</v>
      </c>
      <c r="AH137" s="9">
        <f t="shared" si="135"/>
        <v>3290396.5532174157</v>
      </c>
      <c r="AI137" s="9">
        <f t="shared" si="135"/>
        <v>3464011.3875308274</v>
      </c>
      <c r="AJ137" s="9">
        <f t="shared" si="135"/>
        <v>3643170.4375457973</v>
      </c>
      <c r="AK137" s="9">
        <f t="shared" si="135"/>
        <v>3828024.5036793048</v>
      </c>
      <c r="AL137" s="9">
        <f t="shared" si="135"/>
        <v>4018728.1734577892</v>
      </c>
      <c r="AM137" s="9">
        <f t="shared" si="135"/>
        <v>4215439.9122001743</v>
      </c>
      <c r="AN137" s="9">
        <f t="shared" si="135"/>
        <v>4418322.1558049452</v>
      </c>
      <c r="AO137" s="9">
        <f t="shared" si="135"/>
        <v>4627541.4056890784</v>
      </c>
      <c r="AP137" s="9">
        <f t="shared" si="135"/>
        <v>4843268.3259275854</v>
      </c>
      <c r="AQ137" s="9">
        <f t="shared" si="135"/>
        <v>5065677.8426436158</v>
      </c>
    </row>
    <row r="138" spans="1:43" hidden="1" outlineLevel="4" collapsed="1">
      <c r="A138" s="2"/>
      <c r="B138" s="2"/>
      <c r="C138" s="2"/>
      <c r="D138" s="2"/>
      <c r="E138" s="2" t="s">
        <v>425</v>
      </c>
      <c r="F138" s="2"/>
      <c r="G138" s="2"/>
      <c r="H138" s="9">
        <f t="shared" ref="H138:AQ138" si="136">(H139*H140)</f>
        <v>136436.35563916006</v>
      </c>
      <c r="I138" s="9">
        <f t="shared" si="136"/>
        <v>175499.87653461852</v>
      </c>
      <c r="J138" s="9">
        <f t="shared" si="136"/>
        <v>216052.35667963885</v>
      </c>
      <c r="K138" s="9">
        <f t="shared" si="136"/>
        <v>258137.38541402074</v>
      </c>
      <c r="L138" s="9">
        <f t="shared" si="136"/>
        <v>301799.69391746324</v>
      </c>
      <c r="M138" s="9">
        <f t="shared" si="136"/>
        <v>347085.18333867565</v>
      </c>
      <c r="N138" s="9">
        <f t="shared" si="136"/>
        <v>394040.95359102299</v>
      </c>
      <c r="O138" s="9">
        <f t="shared" si="136"/>
        <v>442715.33283008292</v>
      </c>
      <c r="P138" s="9">
        <f t="shared" si="136"/>
        <v>493157.90762884053</v>
      </c>
      <c r="Q138" s="9">
        <f t="shared" si="136"/>
        <v>545419.55386659701</v>
      </c>
      <c r="R138" s="9">
        <f t="shared" si="136"/>
        <v>599552.46834804572</v>
      </c>
      <c r="S138" s="9">
        <f t="shared" si="136"/>
        <v>655610.20116932213</v>
      </c>
      <c r="T138" s="9">
        <f t="shared" si="136"/>
        <v>713647.68884823192</v>
      </c>
      <c r="U138" s="9">
        <f t="shared" si="136"/>
        <v>773721.28823623701</v>
      </c>
      <c r="V138" s="9">
        <f t="shared" si="136"/>
        <v>835888.81123018486</v>
      </c>
      <c r="W138" s="9">
        <f t="shared" si="136"/>
        <v>900209.56030216417</v>
      </c>
      <c r="X138" s="9">
        <f t="shared" si="136"/>
        <v>966744.36486629921</v>
      </c>
      <c r="Y138" s="9">
        <f t="shared" si="136"/>
        <v>1035555.618501695</v>
      </c>
      <c r="Z138" s="9">
        <f t="shared" si="136"/>
        <v>1106707.3170512128</v>
      </c>
      <c r="AA138" s="9">
        <f t="shared" si="136"/>
        <v>1180265.0976161628</v>
      </c>
      <c r="AB138" s="9">
        <f t="shared" si="136"/>
        <v>1256296.2784674841</v>
      </c>
      <c r="AC138" s="9">
        <f t="shared" si="136"/>
        <v>1334869.8998944247</v>
      </c>
      <c r="AD138" s="9">
        <f t="shared" si="136"/>
        <v>1416056.7660122192</v>
      </c>
      <c r="AE138" s="9">
        <f t="shared" si="136"/>
        <v>1499929.4875507369</v>
      </c>
      <c r="AF138" s="9">
        <f t="shared" si="136"/>
        <v>1586562.5256465941</v>
      </c>
      <c r="AG138" s="9">
        <f t="shared" si="136"/>
        <v>1676032.2366616733</v>
      </c>
      <c r="AH138" s="9">
        <f t="shared" si="136"/>
        <v>1768416.9180515788</v>
      </c>
      <c r="AI138" s="9">
        <f t="shared" si="136"/>
        <v>1863796.855308037</v>
      </c>
      <c r="AJ138" s="9">
        <f t="shared" si="136"/>
        <v>1962254.3699998101</v>
      </c>
      <c r="AK138" s="9">
        <f t="shared" si="136"/>
        <v>2063873.868937233</v>
      </c>
      <c r="AL138" s="9">
        <f t="shared" si="136"/>
        <v>2168741.8944860753</v>
      </c>
      <c r="AM138" s="9">
        <f t="shared" si="136"/>
        <v>2276947.1760569625</v>
      </c>
      <c r="AN138" s="9">
        <f t="shared" si="136"/>
        <v>2388580.6827972159</v>
      </c>
      <c r="AO138" s="9">
        <f t="shared" si="136"/>
        <v>2503735.6775125707</v>
      </c>
      <c r="AP138" s="9">
        <f t="shared" si="136"/>
        <v>2622507.7718468183</v>
      </c>
      <c r="AQ138" s="9">
        <f t="shared" si="136"/>
        <v>2744994.9827481015</v>
      </c>
    </row>
    <row r="139" spans="1:43" hidden="1" outlineLevel="5">
      <c r="A139" s="2"/>
      <c r="B139" s="2"/>
      <c r="C139" s="2"/>
      <c r="D139" s="2"/>
      <c r="E139" s="2"/>
      <c r="F139" s="2" t="s">
        <v>324</v>
      </c>
      <c r="G139" s="2"/>
      <c r="H139" s="9">
        <f t="shared" ref="H139:AQ139" si="137">H6</f>
        <v>160.51335957548241</v>
      </c>
      <c r="I139" s="9">
        <f t="shared" si="137"/>
        <v>205.79671807888334</v>
      </c>
      <c r="J139" s="9">
        <f t="shared" si="137"/>
        <v>252.52314662590396</v>
      </c>
      <c r="K139" s="9">
        <f t="shared" si="137"/>
        <v>300.72784791742691</v>
      </c>
      <c r="L139" s="9">
        <f t="shared" si="137"/>
        <v>350.4467925713771</v>
      </c>
      <c r="M139" s="9">
        <f t="shared" si="137"/>
        <v>401.71673487527056</v>
      </c>
      <c r="N139" s="9">
        <f t="shared" si="137"/>
        <v>454.57522884962327</v>
      </c>
      <c r="O139" s="9">
        <f t="shared" si="137"/>
        <v>509.06064462819165</v>
      </c>
      <c r="P139" s="9">
        <f t="shared" si="137"/>
        <v>565.21218516113368</v>
      </c>
      <c r="Q139" s="9">
        <f t="shared" si="137"/>
        <v>623.06990324728713</v>
      </c>
      <c r="R139" s="9">
        <f t="shared" si="137"/>
        <v>682.67471890189177</v>
      </c>
      <c r="S139" s="9">
        <f t="shared" si="137"/>
        <v>744.06843706618258</v>
      </c>
      <c r="T139" s="9">
        <f t="shared" si="137"/>
        <v>807.29376566542078</v>
      </c>
      <c r="U139" s="9">
        <f t="shared" si="137"/>
        <v>872.39433402203872</v>
      </c>
      <c r="V139" s="9">
        <f t="shared" si="137"/>
        <v>939.41471163071344</v>
      </c>
      <c r="W139" s="9">
        <f t="shared" si="137"/>
        <v>1008.4004273022929</v>
      </c>
      <c r="X139" s="9">
        <f t="shared" si="137"/>
        <v>1079.397988683658</v>
      </c>
      <c r="Y139" s="9">
        <f t="shared" si="137"/>
        <v>1152.4549021607002</v>
      </c>
      <c r="Z139" s="9">
        <f t="shared" si="137"/>
        <v>1227.6196931517686</v>
      </c>
      <c r="AA139" s="9">
        <f t="shared" si="137"/>
        <v>1304.9419267990445</v>
      </c>
      <c r="AB139" s="9">
        <f t="shared" si="137"/>
        <v>1384.4722290654624</v>
      </c>
      <c r="AC139" s="9">
        <f t="shared" si="137"/>
        <v>1466.2623082449377</v>
      </c>
      <c r="AD139" s="9">
        <f t="shared" si="137"/>
        <v>1550.3649768937896</v>
      </c>
      <c r="AE139" s="9">
        <f t="shared" si="137"/>
        <v>1636.8341741914207</v>
      </c>
      <c r="AF139" s="9">
        <f t="shared" si="137"/>
        <v>1725.7249887384635</v>
      </c>
      <c r="AG139" s="9">
        <f t="shared" si="137"/>
        <v>1817.0936818007167</v>
      </c>
      <c r="AH139" s="9">
        <f t="shared" si="137"/>
        <v>1910.997711007418</v>
      </c>
      <c r="AI139" s="9">
        <f t="shared" si="137"/>
        <v>2007.4957545125096</v>
      </c>
      <c r="AJ139" s="9">
        <f t="shared" si="137"/>
        <v>2106.6477356277283</v>
      </c>
      <c r="AK139" s="9">
        <f t="shared" si="137"/>
        <v>2208.5148479365212</v>
      </c>
      <c r="AL139" s="9">
        <f t="shared" si="137"/>
        <v>2313.1595808979741</v>
      </c>
      <c r="AM139" s="9">
        <f t="shared" si="137"/>
        <v>2420.6457459500621</v>
      </c>
      <c r="AN139" s="9">
        <f t="shared" si="137"/>
        <v>2531.038503121757</v>
      </c>
      <c r="AO139" s="9">
        <f t="shared" si="137"/>
        <v>2644.4043881636935</v>
      </c>
      <c r="AP139" s="9">
        <f t="shared" si="137"/>
        <v>2760.8113402072418</v>
      </c>
      <c r="AQ139" s="9">
        <f t="shared" si="137"/>
        <v>2880.3287299620847</v>
      </c>
    </row>
    <row r="140" spans="1:43" hidden="1" outlineLevel="5">
      <c r="A140" s="2"/>
      <c r="B140" s="2"/>
      <c r="C140" s="2"/>
      <c r="D140" s="2"/>
      <c r="E140" s="2"/>
      <c r="F140" s="2" t="s">
        <v>426</v>
      </c>
      <c r="G140" s="2"/>
      <c r="H140" s="9">
        <f t="shared" ref="H140:AQ140" si="138">import_clearance_cost_per_dose*(1+import_clearance_cost_per_dose_growth)^((COLUMN()-8)/12)</f>
        <v>850</v>
      </c>
      <c r="I140" s="9">
        <f t="shared" si="138"/>
        <v>852.78267881486909</v>
      </c>
      <c r="J140" s="9">
        <f t="shared" si="138"/>
        <v>855.57446739607542</v>
      </c>
      <c r="K140" s="9">
        <f t="shared" si="138"/>
        <v>858.37539556662352</v>
      </c>
      <c r="L140" s="9">
        <f t="shared" si="138"/>
        <v>861.18549324715059</v>
      </c>
      <c r="M140" s="9">
        <f t="shared" si="138"/>
        <v>864.00479045624638</v>
      </c>
      <c r="N140" s="9">
        <f t="shared" si="138"/>
        <v>866.83331731077351</v>
      </c>
      <c r="O140" s="9">
        <f t="shared" si="138"/>
        <v>869.67110402618903</v>
      </c>
      <c r="P140" s="9">
        <f t="shared" si="138"/>
        <v>872.51818091686835</v>
      </c>
      <c r="Q140" s="9">
        <f t="shared" si="138"/>
        <v>875.37457839642775</v>
      </c>
      <c r="R140" s="9">
        <f t="shared" si="138"/>
        <v>878.24032697804989</v>
      </c>
      <c r="S140" s="9">
        <f t="shared" si="138"/>
        <v>881.11545727480927</v>
      </c>
      <c r="T140" s="9">
        <f t="shared" si="138"/>
        <v>884</v>
      </c>
      <c r="U140" s="9">
        <f t="shared" si="138"/>
        <v>886.89398596746389</v>
      </c>
      <c r="V140" s="9">
        <f t="shared" si="138"/>
        <v>889.79744609191846</v>
      </c>
      <c r="W140" s="9">
        <f t="shared" si="138"/>
        <v>892.71041138928854</v>
      </c>
      <c r="X140" s="9">
        <f t="shared" si="138"/>
        <v>895.63291297703677</v>
      </c>
      <c r="Y140" s="9">
        <f t="shared" si="138"/>
        <v>898.56498207449636</v>
      </c>
      <c r="Z140" s="9">
        <f t="shared" si="138"/>
        <v>901.50665000320441</v>
      </c>
      <c r="AA140" s="9">
        <f t="shared" si="138"/>
        <v>904.45794818723664</v>
      </c>
      <c r="AB140" s="9">
        <f t="shared" si="138"/>
        <v>907.41890815354316</v>
      </c>
      <c r="AC140" s="9">
        <f t="shared" si="138"/>
        <v>910.38956153228492</v>
      </c>
      <c r="AD140" s="9">
        <f t="shared" si="138"/>
        <v>913.3699400571719</v>
      </c>
      <c r="AE140" s="9">
        <f t="shared" si="138"/>
        <v>916.36007556580159</v>
      </c>
      <c r="AF140" s="9">
        <f t="shared" si="138"/>
        <v>919.36000000000013</v>
      </c>
      <c r="AG140" s="9">
        <f t="shared" si="138"/>
        <v>922.36974540616234</v>
      </c>
      <c r="AH140" s="9">
        <f t="shared" si="138"/>
        <v>925.38934393559521</v>
      </c>
      <c r="AI140" s="9">
        <f t="shared" si="138"/>
        <v>928.41882784486006</v>
      </c>
      <c r="AJ140" s="9">
        <f t="shared" si="138"/>
        <v>931.45822949611818</v>
      </c>
      <c r="AK140" s="9">
        <f t="shared" si="138"/>
        <v>934.50758135747628</v>
      </c>
      <c r="AL140" s="9">
        <f t="shared" si="138"/>
        <v>937.56691600333272</v>
      </c>
      <c r="AM140" s="9">
        <f t="shared" si="138"/>
        <v>940.63626611472625</v>
      </c>
      <c r="AN140" s="9">
        <f t="shared" si="138"/>
        <v>943.71566447968496</v>
      </c>
      <c r="AO140" s="9">
        <f t="shared" si="138"/>
        <v>946.80514399357628</v>
      </c>
      <c r="AP140" s="9">
        <f t="shared" si="138"/>
        <v>949.90473765945865</v>
      </c>
      <c r="AQ140" s="9">
        <f t="shared" si="138"/>
        <v>953.01447858843369</v>
      </c>
    </row>
    <row r="141" spans="1:43" hidden="1" outlineLevel="4" collapsed="1">
      <c r="A141" s="2"/>
      <c r="B141" s="2"/>
      <c r="C141" s="2"/>
      <c r="D141" s="2"/>
      <c r="E141" s="2" t="s">
        <v>427</v>
      </c>
      <c r="F141" s="2"/>
      <c r="G141" s="2"/>
      <c r="H141" s="9">
        <f t="shared" ref="H141:AQ141" si="139">(H142*H143)</f>
        <v>27663.853273590848</v>
      </c>
      <c r="I141" s="9">
        <f t="shared" si="139"/>
        <v>36732.091135082126</v>
      </c>
      <c r="J141" s="9">
        <f t="shared" si="139"/>
        <v>46124.769991978064</v>
      </c>
      <c r="K141" s="9">
        <f t="shared" si="139"/>
        <v>55850.757424665673</v>
      </c>
      <c r="L141" s="9">
        <f t="shared" si="139"/>
        <v>65919.137431859635</v>
      </c>
      <c r="M141" s="9">
        <f t="shared" si="139"/>
        <v>76339.215391201753</v>
      </c>
      <c r="N141" s="9">
        <f t="shared" si="139"/>
        <v>87120.523129119014</v>
      </c>
      <c r="O141" s="9">
        <f t="shared" si="139"/>
        <v>98272.824102280152</v>
      </c>
      <c r="P141" s="9">
        <f t="shared" si="139"/>
        <v>109806.11869304205</v>
      </c>
      <c r="Q141" s="9">
        <f t="shared" si="139"/>
        <v>121730.64962132482</v>
      </c>
      <c r="R141" s="9">
        <f t="shared" si="139"/>
        <v>134056.90747540892</v>
      </c>
      <c r="S141" s="9">
        <f t="shared" si="139"/>
        <v>146795.63636419651</v>
      </c>
      <c r="T141" s="9">
        <f t="shared" si="139"/>
        <v>159957.83969353576</v>
      </c>
      <c r="U141" s="9">
        <f t="shared" si="139"/>
        <v>173554.78606925829</v>
      </c>
      <c r="V141" s="9">
        <f t="shared" si="139"/>
        <v>187598.01532963815</v>
      </c>
      <c r="W141" s="9">
        <f t="shared" si="139"/>
        <v>202099.34471003586</v>
      </c>
      <c r="X141" s="9">
        <f t="shared" si="139"/>
        <v>217070.87514254916</v>
      </c>
      <c r="Y141" s="9">
        <f t="shared" si="139"/>
        <v>232524.99769355188</v>
      </c>
      <c r="Z141" s="9">
        <f t="shared" si="139"/>
        <v>248474.40014206193</v>
      </c>
      <c r="AA141" s="9">
        <f t="shared" si="139"/>
        <v>264932.07370194118</v>
      </c>
      <c r="AB141" s="9">
        <f t="shared" si="139"/>
        <v>281911.31989099359</v>
      </c>
      <c r="AC141" s="9">
        <f t="shared" si="139"/>
        <v>299425.75755009032</v>
      </c>
      <c r="AD141" s="9">
        <f t="shared" si="139"/>
        <v>317489.33001551765</v>
      </c>
      <c r="AE141" s="9">
        <f t="shared" si="139"/>
        <v>336116.31244780868</v>
      </c>
      <c r="AF141" s="9">
        <f t="shared" si="139"/>
        <v>355321.31932039344</v>
      </c>
      <c r="AG141" s="9">
        <f t="shared" si="139"/>
        <v>375119.31207145948</v>
      </c>
      <c r="AH141" s="9">
        <f t="shared" si="139"/>
        <v>395525.60692250036</v>
      </c>
      <c r="AI141" s="9">
        <f t="shared" si="139"/>
        <v>416555.88286709291</v>
      </c>
      <c r="AJ141" s="9">
        <f t="shared" si="139"/>
        <v>438226.18983352021</v>
      </c>
      <c r="AK141" s="9">
        <f t="shared" si="139"/>
        <v>460552.95702493261</v>
      </c>
      <c r="AL141" s="9">
        <f t="shared" si="139"/>
        <v>483553.00144081883</v>
      </c>
      <c r="AM141" s="9">
        <f t="shared" si="139"/>
        <v>507243.53658363369</v>
      </c>
      <c r="AN141" s="9">
        <f t="shared" si="139"/>
        <v>531642.1813545092</v>
      </c>
      <c r="AO141" s="9">
        <f t="shared" si="139"/>
        <v>556766.9691420662</v>
      </c>
      <c r="AP141" s="9">
        <f t="shared" si="139"/>
        <v>582636.35710841045</v>
      </c>
      <c r="AQ141" s="9">
        <f t="shared" si="139"/>
        <v>609269.23567650386</v>
      </c>
    </row>
    <row r="142" spans="1:43" hidden="1" outlineLevel="5">
      <c r="A142" s="2"/>
      <c r="B142" s="2"/>
      <c r="C142" s="2"/>
      <c r="D142" s="2"/>
      <c r="E142" s="2"/>
      <c r="F142" s="2" t="s">
        <v>377</v>
      </c>
      <c r="G142" s="2"/>
      <c r="H142" s="9">
        <f t="shared" ref="H142:AQ142" si="140">H67</f>
        <v>32.545709733636293</v>
      </c>
      <c r="I142" s="9">
        <f t="shared" si="140"/>
        <v>43.073214369374298</v>
      </c>
      <c r="J142" s="9">
        <f t="shared" si="140"/>
        <v>53.910877135403446</v>
      </c>
      <c r="K142" s="9">
        <f t="shared" si="140"/>
        <v>65.065655088818033</v>
      </c>
      <c r="L142" s="9">
        <f t="shared" si="140"/>
        <v>76.54464450313445</v>
      </c>
      <c r="M142" s="9">
        <f t="shared" si="140"/>
        <v>88.355083483842805</v>
      </c>
      <c r="N142" s="9">
        <f t="shared" si="140"/>
        <v>100.50435463117405</v>
      </c>
      <c r="O142" s="9">
        <f t="shared" si="140"/>
        <v>112.99998775091048</v>
      </c>
      <c r="P142" s="9">
        <f t="shared" si="140"/>
        <v>125.84966261408384</v>
      </c>
      <c r="Q142" s="9">
        <f t="shared" si="140"/>
        <v>139.06121176641835</v>
      </c>
      <c r="R142" s="9">
        <f t="shared" si="140"/>
        <v>152.64262338839225</v>
      </c>
      <c r="S142" s="9">
        <f t="shared" si="140"/>
        <v>166.60204420680446</v>
      </c>
      <c r="T142" s="9">
        <f t="shared" si="140"/>
        <v>180.94778245875085</v>
      </c>
      <c r="U142" s="9">
        <f t="shared" si="140"/>
        <v>195.68831090892664</v>
      </c>
      <c r="V142" s="9">
        <f t="shared" si="140"/>
        <v>210.83226992119145</v>
      </c>
      <c r="W142" s="9">
        <f t="shared" si="140"/>
        <v>226.38847058534577</v>
      </c>
      <c r="X142" s="9">
        <f t="shared" si="140"/>
        <v>242.36589790008608</v>
      </c>
      <c r="Y142" s="9">
        <f t="shared" si="140"/>
        <v>258.77371401312206</v>
      </c>
      <c r="Z142" s="9">
        <f t="shared" si="140"/>
        <v>275.62126151945603</v>
      </c>
      <c r="AA142" s="9">
        <f t="shared" si="140"/>
        <v>292.9180668188414</v>
      </c>
      <c r="AB142" s="9">
        <f t="shared" si="140"/>
        <v>310.67384353345625</v>
      </c>
      <c r="AC142" s="9">
        <f t="shared" si="140"/>
        <v>328.89849598684339</v>
      </c>
      <c r="AD142" s="9">
        <f t="shared" si="140"/>
        <v>347.60212274518756</v>
      </c>
      <c r="AE142" s="9">
        <f t="shared" si="140"/>
        <v>366.79502022201859</v>
      </c>
      <c r="AF142" s="9">
        <f t="shared" si="140"/>
        <v>386.48768634745193</v>
      </c>
      <c r="AG142" s="9">
        <f t="shared" si="140"/>
        <v>406.69082430308572</v>
      </c>
      <c r="AH142" s="9">
        <f t="shared" si="140"/>
        <v>427.4153463237069</v>
      </c>
      <c r="AI142" s="9">
        <f t="shared" si="140"/>
        <v>448.67237756697017</v>
      </c>
      <c r="AJ142" s="9">
        <f t="shared" si="140"/>
        <v>470.47326005223351</v>
      </c>
      <c r="AK142" s="9">
        <f t="shared" si="140"/>
        <v>492.82955666975772</v>
      </c>
      <c r="AL142" s="9">
        <f t="shared" si="140"/>
        <v>515.75305526149771</v>
      </c>
      <c r="AM142" s="9">
        <f t="shared" si="140"/>
        <v>539.25577277473042</v>
      </c>
      <c r="AN142" s="9">
        <f t="shared" si="140"/>
        <v>563.34995948978838</v>
      </c>
      <c r="AO142" s="9">
        <f t="shared" si="140"/>
        <v>588.04810332319414</v>
      </c>
      <c r="AP142" s="9">
        <f t="shared" si="140"/>
        <v>613.36293420749928</v>
      </c>
      <c r="AQ142" s="9">
        <f t="shared" si="140"/>
        <v>639.30742854917446</v>
      </c>
    </row>
    <row r="143" spans="1:43" hidden="1" outlineLevel="5">
      <c r="A143" s="2"/>
      <c r="B143" s="2"/>
      <c r="C143" s="2"/>
      <c r="D143" s="2"/>
      <c r="E143" s="2"/>
      <c r="F143" s="2" t="s">
        <v>426</v>
      </c>
      <c r="G143" s="2"/>
      <c r="H143" s="9">
        <f t="shared" ref="H143:AQ143" si="141">H140</f>
        <v>850</v>
      </c>
      <c r="I143" s="9">
        <f t="shared" si="141"/>
        <v>852.78267881486909</v>
      </c>
      <c r="J143" s="9">
        <f t="shared" si="141"/>
        <v>855.57446739607542</v>
      </c>
      <c r="K143" s="9">
        <f t="shared" si="141"/>
        <v>858.37539556662352</v>
      </c>
      <c r="L143" s="9">
        <f t="shared" si="141"/>
        <v>861.18549324715059</v>
      </c>
      <c r="M143" s="9">
        <f t="shared" si="141"/>
        <v>864.00479045624638</v>
      </c>
      <c r="N143" s="9">
        <f t="shared" si="141"/>
        <v>866.83331731077351</v>
      </c>
      <c r="O143" s="9">
        <f t="shared" si="141"/>
        <v>869.67110402618903</v>
      </c>
      <c r="P143" s="9">
        <f t="shared" si="141"/>
        <v>872.51818091686835</v>
      </c>
      <c r="Q143" s="9">
        <f t="shared" si="141"/>
        <v>875.37457839642775</v>
      </c>
      <c r="R143" s="9">
        <f t="shared" si="141"/>
        <v>878.24032697804989</v>
      </c>
      <c r="S143" s="9">
        <f t="shared" si="141"/>
        <v>881.11545727480927</v>
      </c>
      <c r="T143" s="9">
        <f t="shared" si="141"/>
        <v>884</v>
      </c>
      <c r="U143" s="9">
        <f t="shared" si="141"/>
        <v>886.89398596746389</v>
      </c>
      <c r="V143" s="9">
        <f t="shared" si="141"/>
        <v>889.79744609191846</v>
      </c>
      <c r="W143" s="9">
        <f t="shared" si="141"/>
        <v>892.71041138928854</v>
      </c>
      <c r="X143" s="9">
        <f t="shared" si="141"/>
        <v>895.63291297703677</v>
      </c>
      <c r="Y143" s="9">
        <f t="shared" si="141"/>
        <v>898.56498207449636</v>
      </c>
      <c r="Z143" s="9">
        <f t="shared" si="141"/>
        <v>901.50665000320441</v>
      </c>
      <c r="AA143" s="9">
        <f t="shared" si="141"/>
        <v>904.45794818723664</v>
      </c>
      <c r="AB143" s="9">
        <f t="shared" si="141"/>
        <v>907.41890815354316</v>
      </c>
      <c r="AC143" s="9">
        <f t="shared" si="141"/>
        <v>910.38956153228492</v>
      </c>
      <c r="AD143" s="9">
        <f t="shared" si="141"/>
        <v>913.3699400571719</v>
      </c>
      <c r="AE143" s="9">
        <f t="shared" si="141"/>
        <v>916.36007556580159</v>
      </c>
      <c r="AF143" s="9">
        <f t="shared" si="141"/>
        <v>919.36000000000013</v>
      </c>
      <c r="AG143" s="9">
        <f t="shared" si="141"/>
        <v>922.36974540616234</v>
      </c>
      <c r="AH143" s="9">
        <f t="shared" si="141"/>
        <v>925.38934393559521</v>
      </c>
      <c r="AI143" s="9">
        <f t="shared" si="141"/>
        <v>928.41882784486006</v>
      </c>
      <c r="AJ143" s="9">
        <f t="shared" si="141"/>
        <v>931.45822949611818</v>
      </c>
      <c r="AK143" s="9">
        <f t="shared" si="141"/>
        <v>934.50758135747628</v>
      </c>
      <c r="AL143" s="9">
        <f t="shared" si="141"/>
        <v>937.56691600333272</v>
      </c>
      <c r="AM143" s="9">
        <f t="shared" si="141"/>
        <v>940.63626611472625</v>
      </c>
      <c r="AN143" s="9">
        <f t="shared" si="141"/>
        <v>943.71566447968496</v>
      </c>
      <c r="AO143" s="9">
        <f t="shared" si="141"/>
        <v>946.80514399357628</v>
      </c>
      <c r="AP143" s="9">
        <f t="shared" si="141"/>
        <v>949.90473765945865</v>
      </c>
      <c r="AQ143" s="9">
        <f t="shared" si="141"/>
        <v>953.01447858843369</v>
      </c>
    </row>
    <row r="144" spans="1:43" hidden="1" outlineLevel="4" collapsed="1">
      <c r="A144" s="2"/>
      <c r="B144" s="2"/>
      <c r="C144" s="2"/>
      <c r="D144" s="2"/>
      <c r="E144" s="2" t="s">
        <v>428</v>
      </c>
      <c r="F144" s="2"/>
      <c r="G144" s="2"/>
      <c r="H144" s="9">
        <f t="shared" ref="H144:AQ144" si="142">(H145*H146)</f>
        <v>66259.554061244547</v>
      </c>
      <c r="I144" s="9">
        <f t="shared" si="142"/>
        <v>79312.512342061658</v>
      </c>
      <c r="J144" s="9">
        <f t="shared" si="142"/>
        <v>92857.82078158675</v>
      </c>
      <c r="K144" s="9">
        <f t="shared" si="142"/>
        <v>106909.89080950509</v>
      </c>
      <c r="L144" s="9">
        <f t="shared" si="142"/>
        <v>121483.51224062244</v>
      </c>
      <c r="M144" s="9">
        <f t="shared" si="142"/>
        <v>136593.86262527551</v>
      </c>
      <c r="N144" s="9">
        <f t="shared" si="142"/>
        <v>152256.51682204619</v>
      </c>
      <c r="O144" s="9">
        <f t="shared" si="142"/>
        <v>168487.45679792442</v>
      </c>
      <c r="P144" s="9">
        <f t="shared" si="142"/>
        <v>185303.08166118406</v>
      </c>
      <c r="Q144" s="9">
        <f t="shared" si="142"/>
        <v>202720.21793235088</v>
      </c>
      <c r="R144" s="9">
        <f t="shared" si="142"/>
        <v>220756.13005877018</v>
      </c>
      <c r="S144" s="9">
        <f t="shared" si="142"/>
        <v>239428.53117840106</v>
      </c>
      <c r="T144" s="9">
        <f t="shared" si="142"/>
        <v>258755.59413859347</v>
      </c>
      <c r="U144" s="9">
        <f t="shared" si="142"/>
        <v>278755.96277573827</v>
      </c>
      <c r="V144" s="9">
        <f t="shared" si="142"/>
        <v>299448.76346180658</v>
      </c>
      <c r="W144" s="9">
        <f t="shared" si="142"/>
        <v>320853.61692393798</v>
      </c>
      <c r="X144" s="9">
        <f t="shared" si="142"/>
        <v>342990.65034337365</v>
      </c>
      <c r="Y144" s="9">
        <f t="shared" si="142"/>
        <v>365880.5097401716</v>
      </c>
      <c r="Z144" s="9">
        <f t="shared" si="142"/>
        <v>389544.37265029131</v>
      </c>
      <c r="AA144" s="9">
        <f t="shared" si="142"/>
        <v>414003.96110177686</v>
      </c>
      <c r="AB144" s="9">
        <f t="shared" si="142"/>
        <v>439281.55489693</v>
      </c>
      <c r="AC144" s="9">
        <f t="shared" si="142"/>
        <v>465400.00520750799</v>
      </c>
      <c r="AD144" s="9">
        <f t="shared" si="142"/>
        <v>492382.74849015271</v>
      </c>
      <c r="AE144" s="9">
        <f t="shared" si="142"/>
        <v>520253.82072940865</v>
      </c>
      <c r="AF144" s="9">
        <f t="shared" si="142"/>
        <v>549037.87201586622</v>
      </c>
      <c r="AG144" s="9">
        <f t="shared" si="142"/>
        <v>578760.18146712228</v>
      </c>
      <c r="AH144" s="9">
        <f t="shared" si="142"/>
        <v>609446.67249943479</v>
      </c>
      <c r="AI144" s="9">
        <f t="shared" si="142"/>
        <v>641123.92845812382</v>
      </c>
      <c r="AJ144" s="9">
        <f t="shared" si="142"/>
        <v>673819.20861495158</v>
      </c>
      <c r="AK144" s="9">
        <f t="shared" si="142"/>
        <v>707560.46454089216</v>
      </c>
      <c r="AL144" s="9">
        <f t="shared" si="142"/>
        <v>742376.35686291207</v>
      </c>
      <c r="AM144" s="9">
        <f t="shared" si="142"/>
        <v>778296.27241355448</v>
      </c>
      <c r="AN144" s="9">
        <f t="shared" si="142"/>
        <v>815350.34178232669</v>
      </c>
      <c r="AO144" s="9">
        <f t="shared" si="142"/>
        <v>853569.45727810112</v>
      </c>
      <c r="AP144" s="9">
        <f t="shared" si="142"/>
        <v>892985.29131193436</v>
      </c>
      <c r="AQ144" s="9">
        <f t="shared" si="142"/>
        <v>933630.31520992797</v>
      </c>
    </row>
    <row r="145" spans="1:43" hidden="1" outlineLevel="5">
      <c r="A145" s="2"/>
      <c r="B145" s="2"/>
      <c r="C145" s="2"/>
      <c r="D145" s="2"/>
      <c r="E145" s="2"/>
      <c r="F145" s="2" t="s">
        <v>337</v>
      </c>
      <c r="G145" s="2"/>
      <c r="H145" s="9">
        <f t="shared" ref="H145:AQ145" si="143">H21</f>
        <v>77.952416542640648</v>
      </c>
      <c r="I145" s="9">
        <f t="shared" si="143"/>
        <v>93.004365956733551</v>
      </c>
      <c r="J145" s="9">
        <f t="shared" si="143"/>
        <v>108.53271611084627</v>
      </c>
      <c r="K145" s="9">
        <f t="shared" si="143"/>
        <v>124.54910912134501</v>
      </c>
      <c r="L145" s="9">
        <f t="shared" si="143"/>
        <v>141.06544199039129</v>
      </c>
      <c r="M145" s="9">
        <f t="shared" si="143"/>
        <v>158.09387185590228</v>
      </c>
      <c r="N145" s="9">
        <f t="shared" si="143"/>
        <v>175.64682134553883</v>
      </c>
      <c r="O145" s="9">
        <f t="shared" si="143"/>
        <v>193.73698403672688</v>
      </c>
      <c r="P145" s="9">
        <f t="shared" si="143"/>
        <v>212.37733002475892</v>
      </c>
      <c r="Q145" s="9">
        <f t="shared" si="143"/>
        <v>231.58111160105645</v>
      </c>
      <c r="R145" s="9">
        <f t="shared" si="143"/>
        <v>251.36186904371974</v>
      </c>
      <c r="S145" s="9">
        <f t="shared" si="143"/>
        <v>271.73343652252623</v>
      </c>
      <c r="T145" s="9">
        <f t="shared" si="143"/>
        <v>292.70994812058086</v>
      </c>
      <c r="U145" s="9">
        <f t="shared" si="143"/>
        <v>314.3058439748678</v>
      </c>
      <c r="V145" s="9">
        <f t="shared" si="143"/>
        <v>336.53587653798763</v>
      </c>
      <c r="W145" s="9">
        <f t="shared" si="143"/>
        <v>359.41511696341331</v>
      </c>
      <c r="X145" s="9">
        <f t="shared" si="143"/>
        <v>382.95896161664126</v>
      </c>
      <c r="Y145" s="9">
        <f t="shared" si="143"/>
        <v>407.18313871465551</v>
      </c>
      <c r="Z145" s="9">
        <f t="shared" si="143"/>
        <v>432.10371509617448</v>
      </c>
      <c r="AA145" s="9">
        <f t="shared" si="143"/>
        <v>457.73710312518773</v>
      </c>
      <c r="AB145" s="9">
        <f t="shared" si="143"/>
        <v>484.10006773034945</v>
      </c>
      <c r="AC145" s="9">
        <f t="shared" si="143"/>
        <v>511.20973358282913</v>
      </c>
      <c r="AD145" s="9">
        <f t="shared" si="143"/>
        <v>539.08359241528387</v>
      </c>
      <c r="AE145" s="9">
        <f t="shared" si="143"/>
        <v>567.73951048465392</v>
      </c>
      <c r="AF145" s="9">
        <f t="shared" si="143"/>
        <v>597.19573618154607</v>
      </c>
      <c r="AG145" s="9">
        <f t="shared" si="143"/>
        <v>627.47090778900952</v>
      </c>
      <c r="AH145" s="9">
        <f t="shared" si="143"/>
        <v>658.58406139356919</v>
      </c>
      <c r="AI145" s="9">
        <f t="shared" si="143"/>
        <v>690.55463895143714</v>
      </c>
      <c r="AJ145" s="9">
        <f t="shared" si="143"/>
        <v>723.40249651287206</v>
      </c>
      <c r="AK145" s="9">
        <f t="shared" si="143"/>
        <v>757.14791260770926</v>
      </c>
      <c r="AL145" s="9">
        <f t="shared" si="143"/>
        <v>791.81159679515952</v>
      </c>
      <c r="AM145" s="9">
        <f t="shared" si="143"/>
        <v>827.41469838100875</v>
      </c>
      <c r="AN145" s="9">
        <f t="shared" si="143"/>
        <v>863.97881530542134</v>
      </c>
      <c r="AO145" s="9">
        <f t="shared" si="143"/>
        <v>901.5260032046175</v>
      </c>
      <c r="AP145" s="9">
        <f t="shared" si="143"/>
        <v>940.07878464974033</v>
      </c>
      <c r="AQ145" s="9">
        <f t="shared" si="143"/>
        <v>979.66015856630349</v>
      </c>
    </row>
    <row r="146" spans="1:43" hidden="1" outlineLevel="5">
      <c r="A146" s="2"/>
      <c r="B146" s="2"/>
      <c r="C146" s="2"/>
      <c r="D146" s="2"/>
      <c r="E146" s="2"/>
      <c r="F146" s="2" t="s">
        <v>426</v>
      </c>
      <c r="G146" s="2"/>
      <c r="H146" s="9">
        <f t="shared" ref="H146:AQ146" si="144">H140</f>
        <v>850</v>
      </c>
      <c r="I146" s="9">
        <f t="shared" si="144"/>
        <v>852.78267881486909</v>
      </c>
      <c r="J146" s="9">
        <f t="shared" si="144"/>
        <v>855.57446739607542</v>
      </c>
      <c r="K146" s="9">
        <f t="shared" si="144"/>
        <v>858.37539556662352</v>
      </c>
      <c r="L146" s="9">
        <f t="shared" si="144"/>
        <v>861.18549324715059</v>
      </c>
      <c r="M146" s="9">
        <f t="shared" si="144"/>
        <v>864.00479045624638</v>
      </c>
      <c r="N146" s="9">
        <f t="shared" si="144"/>
        <v>866.83331731077351</v>
      </c>
      <c r="O146" s="9">
        <f t="shared" si="144"/>
        <v>869.67110402618903</v>
      </c>
      <c r="P146" s="9">
        <f t="shared" si="144"/>
        <v>872.51818091686835</v>
      </c>
      <c r="Q146" s="9">
        <f t="shared" si="144"/>
        <v>875.37457839642775</v>
      </c>
      <c r="R146" s="9">
        <f t="shared" si="144"/>
        <v>878.24032697804989</v>
      </c>
      <c r="S146" s="9">
        <f t="shared" si="144"/>
        <v>881.11545727480927</v>
      </c>
      <c r="T146" s="9">
        <f t="shared" si="144"/>
        <v>884</v>
      </c>
      <c r="U146" s="9">
        <f t="shared" si="144"/>
        <v>886.89398596746389</v>
      </c>
      <c r="V146" s="9">
        <f t="shared" si="144"/>
        <v>889.79744609191846</v>
      </c>
      <c r="W146" s="9">
        <f t="shared" si="144"/>
        <v>892.71041138928854</v>
      </c>
      <c r="X146" s="9">
        <f t="shared" si="144"/>
        <v>895.63291297703677</v>
      </c>
      <c r="Y146" s="9">
        <f t="shared" si="144"/>
        <v>898.56498207449636</v>
      </c>
      <c r="Z146" s="9">
        <f t="shared" si="144"/>
        <v>901.50665000320441</v>
      </c>
      <c r="AA146" s="9">
        <f t="shared" si="144"/>
        <v>904.45794818723664</v>
      </c>
      <c r="AB146" s="9">
        <f t="shared" si="144"/>
        <v>907.41890815354316</v>
      </c>
      <c r="AC146" s="9">
        <f t="shared" si="144"/>
        <v>910.38956153228492</v>
      </c>
      <c r="AD146" s="9">
        <f t="shared" si="144"/>
        <v>913.3699400571719</v>
      </c>
      <c r="AE146" s="9">
        <f t="shared" si="144"/>
        <v>916.36007556580159</v>
      </c>
      <c r="AF146" s="9">
        <f t="shared" si="144"/>
        <v>919.36000000000013</v>
      </c>
      <c r="AG146" s="9">
        <f t="shared" si="144"/>
        <v>922.36974540616234</v>
      </c>
      <c r="AH146" s="9">
        <f t="shared" si="144"/>
        <v>925.38934393559521</v>
      </c>
      <c r="AI146" s="9">
        <f t="shared" si="144"/>
        <v>928.41882784486006</v>
      </c>
      <c r="AJ146" s="9">
        <f t="shared" si="144"/>
        <v>931.45822949611818</v>
      </c>
      <c r="AK146" s="9">
        <f t="shared" si="144"/>
        <v>934.50758135747628</v>
      </c>
      <c r="AL146" s="9">
        <f t="shared" si="144"/>
        <v>937.56691600333272</v>
      </c>
      <c r="AM146" s="9">
        <f t="shared" si="144"/>
        <v>940.63626611472625</v>
      </c>
      <c r="AN146" s="9">
        <f t="shared" si="144"/>
        <v>943.71566447968496</v>
      </c>
      <c r="AO146" s="9">
        <f t="shared" si="144"/>
        <v>946.80514399357628</v>
      </c>
      <c r="AP146" s="9">
        <f t="shared" si="144"/>
        <v>949.90473765945865</v>
      </c>
      <c r="AQ146" s="9">
        <f t="shared" si="144"/>
        <v>953.01447858843369</v>
      </c>
    </row>
    <row r="147" spans="1:43" hidden="1" outlineLevel="4" collapsed="1">
      <c r="A147" s="2"/>
      <c r="B147" s="2"/>
      <c r="C147" s="2"/>
      <c r="D147" s="2"/>
      <c r="E147" s="2" t="s">
        <v>429</v>
      </c>
      <c r="F147" s="2"/>
      <c r="G147" s="2"/>
      <c r="H147" s="9">
        <f t="shared" ref="H147:AQ147" si="145">(H148*H149)</f>
        <v>8036.6484898507515</v>
      </c>
      <c r="I147" s="9">
        <f t="shared" si="145"/>
        <v>9696.3819262411489</v>
      </c>
      <c r="J147" s="9">
        <f t="shared" si="145"/>
        <v>11415.457400793208</v>
      </c>
      <c r="K147" s="9">
        <f t="shared" si="145"/>
        <v>13195.511656610521</v>
      </c>
      <c r="L147" s="9">
        <f t="shared" si="145"/>
        <v>15038.221804104074</v>
      </c>
      <c r="M147" s="9">
        <f t="shared" si="145"/>
        <v>16945.306255845248</v>
      </c>
      <c r="N147" s="9">
        <f t="shared" si="145"/>
        <v>18918.525682208994</v>
      </c>
      <c r="O147" s="9">
        <f t="shared" si="145"/>
        <v>20959.683988256558</v>
      </c>
      <c r="P147" s="9">
        <f t="shared" si="145"/>
        <v>23070.629312316865</v>
      </c>
      <c r="Q147" s="9">
        <f t="shared" si="145"/>
        <v>25253.255046734976</v>
      </c>
      <c r="R147" s="9">
        <f t="shared" si="145"/>
        <v>27509.500881266395</v>
      </c>
      <c r="S147" s="9">
        <f t="shared" si="145"/>
        <v>29841.353869605904</v>
      </c>
      <c r="T147" s="9">
        <f t="shared" si="145"/>
        <v>32250.849519549996</v>
      </c>
      <c r="U147" s="9">
        <f t="shared" si="145"/>
        <v>34740.072907302361</v>
      </c>
      <c r="V147" s="9">
        <f t="shared" si="145"/>
        <v>37311.159816443018</v>
      </c>
      <c r="W147" s="9">
        <f t="shared" si="145"/>
        <v>39966.297902092192</v>
      </c>
      <c r="X147" s="9">
        <f t="shared" si="145"/>
        <v>42707.727880811646</v>
      </c>
      <c r="Y147" s="9">
        <f t="shared" si="145"/>
        <v>45537.744746797551</v>
      </c>
      <c r="Z147" s="9">
        <f t="shared" si="145"/>
        <v>48458.699014930578</v>
      </c>
      <c r="AA147" s="9">
        <f t="shared" si="145"/>
        <v>51472.997991260519</v>
      </c>
      <c r="AB147" s="9">
        <f t="shared" si="145"/>
        <v>54583.107071516119</v>
      </c>
      <c r="AC147" s="9">
        <f t="shared" si="145"/>
        <v>57791.551068241242</v>
      </c>
      <c r="AD147" s="9">
        <f t="shared" si="145"/>
        <v>61100.915567173499</v>
      </c>
      <c r="AE147" s="9">
        <f t="shared" si="145"/>
        <v>64513.848313492068</v>
      </c>
      <c r="AF147" s="9">
        <f t="shared" si="145"/>
        <v>68033.060628577266</v>
      </c>
      <c r="AG147" s="9">
        <f t="shared" si="145"/>
        <v>71661.328857935194</v>
      </c>
      <c r="AH147" s="9">
        <f t="shared" si="145"/>
        <v>75401.495850956519</v>
      </c>
      <c r="AI147" s="9">
        <f t="shared" si="145"/>
        <v>79256.472473191927</v>
      </c>
      <c r="AJ147" s="9">
        <f t="shared" si="145"/>
        <v>83229.239151840913</v>
      </c>
      <c r="AK147" s="9">
        <f t="shared" si="145"/>
        <v>87322.84745516564</v>
      </c>
      <c r="AL147" s="9">
        <f t="shared" si="145"/>
        <v>91540.421706555833</v>
      </c>
      <c r="AM147" s="9">
        <f t="shared" si="145"/>
        <v>95885.160633987267</v>
      </c>
      <c r="AN147" s="9">
        <f t="shared" si="145"/>
        <v>100360.33905563036</v>
      </c>
      <c r="AO147" s="9">
        <f t="shared" si="145"/>
        <v>104969.30960238284</v>
      </c>
      <c r="AP147" s="9">
        <f t="shared" si="145"/>
        <v>109715.50447811495</v>
      </c>
      <c r="AQ147" s="9">
        <f t="shared" si="145"/>
        <v>114602.43725843464</v>
      </c>
    </row>
    <row r="148" spans="1:43" hidden="1" outlineLevel="5">
      <c r="A148" s="2"/>
      <c r="B148" s="2"/>
      <c r="C148" s="2"/>
      <c r="D148" s="2"/>
      <c r="E148" s="2"/>
      <c r="F148" s="2" t="s">
        <v>386</v>
      </c>
      <c r="G148" s="2"/>
      <c r="H148" s="9">
        <f t="shared" ref="H148:AQ148" si="146">H78</f>
        <v>9.4548805762950021</v>
      </c>
      <c r="I148" s="9">
        <f t="shared" si="146"/>
        <v>11.370284794851163</v>
      </c>
      <c r="J148" s="9">
        <f t="shared" si="146"/>
        <v>13.34244748506338</v>
      </c>
      <c r="K148" s="9">
        <f t="shared" si="146"/>
        <v>15.372658308664604</v>
      </c>
      <c r="L148" s="9">
        <f t="shared" si="146"/>
        <v>17.462233075247905</v>
      </c>
      <c r="M148" s="9">
        <f t="shared" si="146"/>
        <v>19.612514239529979</v>
      </c>
      <c r="N148" s="9">
        <f t="shared" si="146"/>
        <v>21.824871407690022</v>
      </c>
      <c r="O148" s="9">
        <f t="shared" si="146"/>
        <v>24.100701852944841</v>
      </c>
      <c r="P148" s="9">
        <f t="shared" si="146"/>
        <v>26.441431040524055</v>
      </c>
      <c r="Q148" s="9">
        <f t="shared" si="146"/>
        <v>28.848513162211827</v>
      </c>
      <c r="R148" s="9">
        <f t="shared" si="146"/>
        <v>31.323431680624644</v>
      </c>
      <c r="S148" s="9">
        <f t="shared" si="146"/>
        <v>33.867699883397627</v>
      </c>
      <c r="T148" s="9">
        <f t="shared" si="146"/>
        <v>36.482861447454745</v>
      </c>
      <c r="U148" s="9">
        <f t="shared" si="146"/>
        <v>39.170491013541294</v>
      </c>
      <c r="V148" s="9">
        <f t="shared" si="146"/>
        <v>41.932194771200408</v>
      </c>
      <c r="W148" s="9">
        <f t="shared" si="146"/>
        <v>44.769611054377961</v>
      </c>
      <c r="X148" s="9">
        <f t="shared" si="146"/>
        <v>47.684410947844022</v>
      </c>
      <c r="Y148" s="9">
        <f t="shared" si="146"/>
        <v>50.678298904621904</v>
      </c>
      <c r="Z148" s="9">
        <f t="shared" si="146"/>
        <v>53.7530133746194</v>
      </c>
      <c r="AA148" s="9">
        <f t="shared" si="146"/>
        <v>56.910327444659508</v>
      </c>
      <c r="AB148" s="9">
        <f t="shared" si="146"/>
        <v>60.152049490112873</v>
      </c>
      <c r="AC148" s="9">
        <f t="shared" si="146"/>
        <v>63.480023838335491</v>
      </c>
      <c r="AD148" s="9">
        <f t="shared" si="146"/>
        <v>66.896131444121011</v>
      </c>
      <c r="AE148" s="9">
        <f t="shared" si="146"/>
        <v>70.40229057737848</v>
      </c>
      <c r="AF148" s="9">
        <f t="shared" si="146"/>
        <v>74.000457523252322</v>
      </c>
      <c r="AG148" s="9">
        <f t="shared" si="146"/>
        <v>77.692627294902621</v>
      </c>
      <c r="AH148" s="9">
        <f t="shared" si="146"/>
        <v>81.480834359169236</v>
      </c>
      <c r="AI148" s="9">
        <f t="shared" si="146"/>
        <v>85.367153375346859</v>
      </c>
      <c r="AJ148" s="9">
        <f t="shared" si="146"/>
        <v>89.353699947301578</v>
      </c>
      <c r="AK148" s="9">
        <f t="shared" si="146"/>
        <v>93.442631389163779</v>
      </c>
      <c r="AL148" s="9">
        <f t="shared" si="146"/>
        <v>97.636147504836273</v>
      </c>
      <c r="AM148" s="9">
        <f t="shared" si="146"/>
        <v>101.93649138156074</v>
      </c>
      <c r="AN148" s="9">
        <f t="shared" si="146"/>
        <v>106.34595019778946</v>
      </c>
      <c r="AO148" s="9">
        <f t="shared" si="146"/>
        <v>110.8668560456142</v>
      </c>
      <c r="AP148" s="9">
        <f t="shared" si="146"/>
        <v>115.50158676800706</v>
      </c>
      <c r="AQ148" s="9">
        <f t="shared" si="146"/>
        <v>120.25256681113504</v>
      </c>
    </row>
    <row r="149" spans="1:43" hidden="1" outlineLevel="5">
      <c r="A149" s="2"/>
      <c r="B149" s="2"/>
      <c r="C149" s="2"/>
      <c r="D149" s="2"/>
      <c r="E149" s="2"/>
      <c r="F149" s="2" t="s">
        <v>426</v>
      </c>
      <c r="G149" s="2"/>
      <c r="H149" s="9">
        <f t="shared" ref="H149:AQ149" si="147">H140</f>
        <v>850</v>
      </c>
      <c r="I149" s="9">
        <f t="shared" si="147"/>
        <v>852.78267881486909</v>
      </c>
      <c r="J149" s="9">
        <f t="shared" si="147"/>
        <v>855.57446739607542</v>
      </c>
      <c r="K149" s="9">
        <f t="shared" si="147"/>
        <v>858.37539556662352</v>
      </c>
      <c r="L149" s="9">
        <f t="shared" si="147"/>
        <v>861.18549324715059</v>
      </c>
      <c r="M149" s="9">
        <f t="shared" si="147"/>
        <v>864.00479045624638</v>
      </c>
      <c r="N149" s="9">
        <f t="shared" si="147"/>
        <v>866.83331731077351</v>
      </c>
      <c r="O149" s="9">
        <f t="shared" si="147"/>
        <v>869.67110402618903</v>
      </c>
      <c r="P149" s="9">
        <f t="shared" si="147"/>
        <v>872.51818091686835</v>
      </c>
      <c r="Q149" s="9">
        <f t="shared" si="147"/>
        <v>875.37457839642775</v>
      </c>
      <c r="R149" s="9">
        <f t="shared" si="147"/>
        <v>878.24032697804989</v>
      </c>
      <c r="S149" s="9">
        <f t="shared" si="147"/>
        <v>881.11545727480927</v>
      </c>
      <c r="T149" s="9">
        <f t="shared" si="147"/>
        <v>884</v>
      </c>
      <c r="U149" s="9">
        <f t="shared" si="147"/>
        <v>886.89398596746389</v>
      </c>
      <c r="V149" s="9">
        <f t="shared" si="147"/>
        <v>889.79744609191846</v>
      </c>
      <c r="W149" s="9">
        <f t="shared" si="147"/>
        <v>892.71041138928854</v>
      </c>
      <c r="X149" s="9">
        <f t="shared" si="147"/>
        <v>895.63291297703677</v>
      </c>
      <c r="Y149" s="9">
        <f t="shared" si="147"/>
        <v>898.56498207449636</v>
      </c>
      <c r="Z149" s="9">
        <f t="shared" si="147"/>
        <v>901.50665000320441</v>
      </c>
      <c r="AA149" s="9">
        <f t="shared" si="147"/>
        <v>904.45794818723664</v>
      </c>
      <c r="AB149" s="9">
        <f t="shared" si="147"/>
        <v>907.41890815354316</v>
      </c>
      <c r="AC149" s="9">
        <f t="shared" si="147"/>
        <v>910.38956153228492</v>
      </c>
      <c r="AD149" s="9">
        <f t="shared" si="147"/>
        <v>913.3699400571719</v>
      </c>
      <c r="AE149" s="9">
        <f t="shared" si="147"/>
        <v>916.36007556580159</v>
      </c>
      <c r="AF149" s="9">
        <f t="shared" si="147"/>
        <v>919.36000000000013</v>
      </c>
      <c r="AG149" s="9">
        <f t="shared" si="147"/>
        <v>922.36974540616234</v>
      </c>
      <c r="AH149" s="9">
        <f t="shared" si="147"/>
        <v>925.38934393559521</v>
      </c>
      <c r="AI149" s="9">
        <f t="shared" si="147"/>
        <v>928.41882784486006</v>
      </c>
      <c r="AJ149" s="9">
        <f t="shared" si="147"/>
        <v>931.45822949611818</v>
      </c>
      <c r="AK149" s="9">
        <f t="shared" si="147"/>
        <v>934.50758135747628</v>
      </c>
      <c r="AL149" s="9">
        <f t="shared" si="147"/>
        <v>937.56691600333272</v>
      </c>
      <c r="AM149" s="9">
        <f t="shared" si="147"/>
        <v>940.63626611472625</v>
      </c>
      <c r="AN149" s="9">
        <f t="shared" si="147"/>
        <v>943.71566447968496</v>
      </c>
      <c r="AO149" s="9">
        <f t="shared" si="147"/>
        <v>946.80514399357628</v>
      </c>
      <c r="AP149" s="9">
        <f t="shared" si="147"/>
        <v>949.90473765945865</v>
      </c>
      <c r="AQ149" s="9">
        <f t="shared" si="147"/>
        <v>953.01447858843369</v>
      </c>
    </row>
    <row r="150" spans="1:43" hidden="1" outlineLevel="4" collapsed="1">
      <c r="A150" s="2"/>
      <c r="B150" s="2"/>
      <c r="C150" s="2"/>
      <c r="D150" s="2"/>
      <c r="E150" s="2" t="s">
        <v>430</v>
      </c>
      <c r="F150" s="2"/>
      <c r="G150" s="2"/>
      <c r="H150" s="9">
        <f t="shared" ref="H150:AQ150" si="148">(H151*H152)</f>
        <v>41757.070005050395</v>
      </c>
      <c r="I150" s="9">
        <f t="shared" si="148"/>
        <v>47851.923531318884</v>
      </c>
      <c r="J150" s="9">
        <f t="shared" si="148"/>
        <v>54173.959732205782</v>
      </c>
      <c r="K150" s="9">
        <f t="shared" si="148"/>
        <v>60729.827269726964</v>
      </c>
      <c r="L150" s="9">
        <f t="shared" si="148"/>
        <v>67526.34983382636</v>
      </c>
      <c r="M150" s="9">
        <f t="shared" si="148"/>
        <v>74570.530482822433</v>
      </c>
      <c r="N150" s="9">
        <f t="shared" si="148"/>
        <v>81869.556087437668</v>
      </c>
      <c r="O150" s="9">
        <f t="shared" si="148"/>
        <v>89430.801880816172</v>
      </c>
      <c r="P150" s="9">
        <f t="shared" si="148"/>
        <v>97261.836116993552</v>
      </c>
      <c r="Q150" s="9">
        <f t="shared" si="148"/>
        <v>105370.4248403332</v>
      </c>
      <c r="R150" s="9">
        <f t="shared" si="148"/>
        <v>113764.53676850752</v>
      </c>
      <c r="S150" s="9">
        <f t="shared" si="148"/>
        <v>122452.34829165466</v>
      </c>
      <c r="T150" s="9">
        <f t="shared" si="148"/>
        <v>131442.24859040641</v>
      </c>
      <c r="U150" s="9">
        <f t="shared" si="148"/>
        <v>140742.84487554099</v>
      </c>
      <c r="V150" s="9">
        <f t="shared" si="148"/>
        <v>150362.96775207733</v>
      </c>
      <c r="W150" s="9">
        <f t="shared" si="148"/>
        <v>160311.67671069445</v>
      </c>
      <c r="X150" s="9">
        <f t="shared" si="148"/>
        <v>170598.26574942062</v>
      </c>
      <c r="Y150" s="9">
        <f t="shared" si="148"/>
        <v>181232.2691286068</v>
      </c>
      <c r="Z150" s="9">
        <f t="shared" si="148"/>
        <v>192223.46726226821</v>
      </c>
      <c r="AA150" s="9">
        <f t="shared" si="148"/>
        <v>203581.89274894333</v>
      </c>
      <c r="AB150" s="9">
        <f t="shared" si="148"/>
        <v>215317.83654529633</v>
      </c>
      <c r="AC150" s="9">
        <f t="shared" si="148"/>
        <v>227441.85428575982</v>
      </c>
      <c r="AD150" s="9">
        <f t="shared" si="148"/>
        <v>239964.77275158779</v>
      </c>
      <c r="AE150" s="9">
        <f t="shared" si="148"/>
        <v>252897.69649276862</v>
      </c>
      <c r="AF150" s="9">
        <f t="shared" si="148"/>
        <v>266252.01460632478</v>
      </c>
      <c r="AG150" s="9">
        <f t="shared" si="148"/>
        <v>280039.40767460363</v>
      </c>
      <c r="AH150" s="9">
        <f t="shared" si="148"/>
        <v>294271.85486724775</v>
      </c>
      <c r="AI150" s="9">
        <f t="shared" si="148"/>
        <v>308961.64121061814</v>
      </c>
      <c r="AJ150" s="9">
        <f t="shared" si="148"/>
        <v>324121.36502852448</v>
      </c>
      <c r="AK150" s="9">
        <f t="shared" si="148"/>
        <v>339763.9455582074</v>
      </c>
      <c r="AL150" s="9">
        <f t="shared" si="148"/>
        <v>355902.63074560766</v>
      </c>
      <c r="AM150" s="9">
        <f t="shared" si="148"/>
        <v>372551.00522404461</v>
      </c>
      <c r="AN150" s="9">
        <f t="shared" si="148"/>
        <v>389722.99848052167</v>
      </c>
      <c r="AO150" s="9">
        <f t="shared" si="148"/>
        <v>407432.89321397553</v>
      </c>
      <c r="AP150" s="9">
        <f t="shared" si="148"/>
        <v>425695.33388987347</v>
      </c>
      <c r="AQ150" s="9">
        <f t="shared" si="148"/>
        <v>444525.33549567626</v>
      </c>
    </row>
    <row r="151" spans="1:43" hidden="1" outlineLevel="5">
      <c r="A151" s="2"/>
      <c r="B151" s="2"/>
      <c r="C151" s="2"/>
      <c r="D151" s="2"/>
      <c r="E151" s="2"/>
      <c r="F151" s="2" t="s">
        <v>350</v>
      </c>
      <c r="G151" s="2"/>
      <c r="H151" s="9">
        <f t="shared" ref="H151:AQ151" si="149">H36</f>
        <v>49.125964711823997</v>
      </c>
      <c r="I151" s="9">
        <f t="shared" si="149"/>
        <v>56.112682304734143</v>
      </c>
      <c r="J151" s="9">
        <f t="shared" si="149"/>
        <v>63.318813027559358</v>
      </c>
      <c r="K151" s="9">
        <f t="shared" si="149"/>
        <v>70.749729760879859</v>
      </c>
      <c r="L151" s="9">
        <f t="shared" si="149"/>
        <v>78.410923504080728</v>
      </c>
      <c r="M151" s="9">
        <f t="shared" si="149"/>
        <v>86.308005819556527</v>
      </c>
      <c r="N151" s="9">
        <f t="shared" si="149"/>
        <v>94.446711325570945</v>
      </c>
      <c r="O151" s="9">
        <f t="shared" si="149"/>
        <v>102.83290023871263</v>
      </c>
      <c r="P151" s="9">
        <f t="shared" si="149"/>
        <v>111.47256096691062</v>
      </c>
      <c r="Q151" s="9">
        <f t="shared" si="149"/>
        <v>120.37181275398481</v>
      </c>
      <c r="R151" s="9">
        <f t="shared" si="149"/>
        <v>129.53690837673281</v>
      </c>
      <c r="S151" s="9">
        <f t="shared" si="149"/>
        <v>138.97423689556641</v>
      </c>
      <c r="T151" s="9">
        <f t="shared" si="149"/>
        <v>148.69032645973576</v>
      </c>
      <c r="U151" s="9">
        <f t="shared" si="149"/>
        <v>158.69184716819603</v>
      </c>
      <c r="V151" s="9">
        <f t="shared" si="149"/>
        <v>168.98561398719102</v>
      </c>
      <c r="W151" s="9">
        <f t="shared" si="149"/>
        <v>179.57858972565131</v>
      </c>
      <c r="X151" s="9">
        <f t="shared" si="149"/>
        <v>190.47788806952275</v>
      </c>
      <c r="Y151" s="9">
        <f t="shared" si="149"/>
        <v>201.69077667616205</v>
      </c>
      <c r="Z151" s="9">
        <f t="shared" si="149"/>
        <v>213.22468032996201</v>
      </c>
      <c r="AA151" s="9">
        <f t="shared" si="149"/>
        <v>225.08718416038371</v>
      </c>
      <c r="AB151" s="9">
        <f t="shared" si="149"/>
        <v>237.2860369236021</v>
      </c>
      <c r="AC151" s="9">
        <f t="shared" si="149"/>
        <v>249.82915434899141</v>
      </c>
      <c r="AD151" s="9">
        <f t="shared" si="149"/>
        <v>262.7246225516983</v>
      </c>
      <c r="AE151" s="9">
        <f t="shared" si="149"/>
        <v>275.9807015125777</v>
      </c>
      <c r="AF151" s="9">
        <f t="shared" si="149"/>
        <v>289.60582862678899</v>
      </c>
      <c r="AG151" s="9">
        <f t="shared" si="149"/>
        <v>303.60862232237383</v>
      </c>
      <c r="AH151" s="9">
        <f t="shared" si="149"/>
        <v>317.99788575016089</v>
      </c>
      <c r="AI151" s="9">
        <f t="shared" si="149"/>
        <v>332.78261054637511</v>
      </c>
      <c r="AJ151" s="9">
        <f t="shared" si="149"/>
        <v>347.97198066934385</v>
      </c>
      <c r="AK151" s="9">
        <f t="shared" si="149"/>
        <v>363.57537631172818</v>
      </c>
      <c r="AL151" s="9">
        <f t="shared" si="149"/>
        <v>379.60237788973194</v>
      </c>
      <c r="AM151" s="9">
        <f t="shared" si="149"/>
        <v>396.0627701107644</v>
      </c>
      <c r="AN151" s="9">
        <f t="shared" si="149"/>
        <v>412.96654612106539</v>
      </c>
      <c r="AO151" s="9">
        <f t="shared" si="149"/>
        <v>430.32391173483086</v>
      </c>
      <c r="AP151" s="9">
        <f t="shared" si="149"/>
        <v>448.14528974639717</v>
      </c>
      <c r="AQ151" s="9">
        <f t="shared" si="149"/>
        <v>466.44132432708591</v>
      </c>
    </row>
    <row r="152" spans="1:43" hidden="1" outlineLevel="5">
      <c r="A152" s="2"/>
      <c r="B152" s="2"/>
      <c r="C152" s="2"/>
      <c r="D152" s="2"/>
      <c r="E152" s="2"/>
      <c r="F152" s="2" t="s">
        <v>426</v>
      </c>
      <c r="G152" s="2"/>
      <c r="H152" s="9">
        <f t="shared" ref="H152:AQ152" si="150">H140</f>
        <v>850</v>
      </c>
      <c r="I152" s="9">
        <f t="shared" si="150"/>
        <v>852.78267881486909</v>
      </c>
      <c r="J152" s="9">
        <f t="shared" si="150"/>
        <v>855.57446739607542</v>
      </c>
      <c r="K152" s="9">
        <f t="shared" si="150"/>
        <v>858.37539556662352</v>
      </c>
      <c r="L152" s="9">
        <f t="shared" si="150"/>
        <v>861.18549324715059</v>
      </c>
      <c r="M152" s="9">
        <f t="shared" si="150"/>
        <v>864.00479045624638</v>
      </c>
      <c r="N152" s="9">
        <f t="shared" si="150"/>
        <v>866.83331731077351</v>
      </c>
      <c r="O152" s="9">
        <f t="shared" si="150"/>
        <v>869.67110402618903</v>
      </c>
      <c r="P152" s="9">
        <f t="shared" si="150"/>
        <v>872.51818091686835</v>
      </c>
      <c r="Q152" s="9">
        <f t="shared" si="150"/>
        <v>875.37457839642775</v>
      </c>
      <c r="R152" s="9">
        <f t="shared" si="150"/>
        <v>878.24032697804989</v>
      </c>
      <c r="S152" s="9">
        <f t="shared" si="150"/>
        <v>881.11545727480927</v>
      </c>
      <c r="T152" s="9">
        <f t="shared" si="150"/>
        <v>884</v>
      </c>
      <c r="U152" s="9">
        <f t="shared" si="150"/>
        <v>886.89398596746389</v>
      </c>
      <c r="V152" s="9">
        <f t="shared" si="150"/>
        <v>889.79744609191846</v>
      </c>
      <c r="W152" s="9">
        <f t="shared" si="150"/>
        <v>892.71041138928854</v>
      </c>
      <c r="X152" s="9">
        <f t="shared" si="150"/>
        <v>895.63291297703677</v>
      </c>
      <c r="Y152" s="9">
        <f t="shared" si="150"/>
        <v>898.56498207449636</v>
      </c>
      <c r="Z152" s="9">
        <f t="shared" si="150"/>
        <v>901.50665000320441</v>
      </c>
      <c r="AA152" s="9">
        <f t="shared" si="150"/>
        <v>904.45794818723664</v>
      </c>
      <c r="AB152" s="9">
        <f t="shared" si="150"/>
        <v>907.41890815354316</v>
      </c>
      <c r="AC152" s="9">
        <f t="shared" si="150"/>
        <v>910.38956153228492</v>
      </c>
      <c r="AD152" s="9">
        <f t="shared" si="150"/>
        <v>913.3699400571719</v>
      </c>
      <c r="AE152" s="9">
        <f t="shared" si="150"/>
        <v>916.36007556580159</v>
      </c>
      <c r="AF152" s="9">
        <f t="shared" si="150"/>
        <v>919.36000000000013</v>
      </c>
      <c r="AG152" s="9">
        <f t="shared" si="150"/>
        <v>922.36974540616234</v>
      </c>
      <c r="AH152" s="9">
        <f t="shared" si="150"/>
        <v>925.38934393559521</v>
      </c>
      <c r="AI152" s="9">
        <f t="shared" si="150"/>
        <v>928.41882784486006</v>
      </c>
      <c r="AJ152" s="9">
        <f t="shared" si="150"/>
        <v>931.45822949611818</v>
      </c>
      <c r="AK152" s="9">
        <f t="shared" si="150"/>
        <v>934.50758135747628</v>
      </c>
      <c r="AL152" s="9">
        <f t="shared" si="150"/>
        <v>937.56691600333272</v>
      </c>
      <c r="AM152" s="9">
        <f t="shared" si="150"/>
        <v>940.63626611472625</v>
      </c>
      <c r="AN152" s="9">
        <f t="shared" si="150"/>
        <v>943.71566447968496</v>
      </c>
      <c r="AO152" s="9">
        <f t="shared" si="150"/>
        <v>946.80514399357628</v>
      </c>
      <c r="AP152" s="9">
        <f t="shared" si="150"/>
        <v>949.90473765945865</v>
      </c>
      <c r="AQ152" s="9">
        <f t="shared" si="150"/>
        <v>953.01447858843369</v>
      </c>
    </row>
    <row r="153" spans="1:43" hidden="1" outlineLevel="4" collapsed="1">
      <c r="A153" s="2"/>
      <c r="B153" s="2"/>
      <c r="C153" s="2"/>
      <c r="D153" s="2"/>
      <c r="E153" s="2" t="s">
        <v>431</v>
      </c>
      <c r="F153" s="2"/>
      <c r="G153" s="2"/>
      <c r="H153" s="9">
        <f t="shared" ref="H153:AQ153" si="151">(H154*H155)</f>
        <v>2815.1990636820747</v>
      </c>
      <c r="I153" s="9">
        <f t="shared" si="151"/>
        <v>3201.4937166104983</v>
      </c>
      <c r="J153" s="9">
        <f t="shared" si="151"/>
        <v>3601.58739417992</v>
      </c>
      <c r="K153" s="9">
        <f t="shared" si="151"/>
        <v>4015.8654041618747</v>
      </c>
      <c r="L153" s="9">
        <f t="shared" si="151"/>
        <v>4444.7226900932355</v>
      </c>
      <c r="M153" s="9">
        <f t="shared" si="151"/>
        <v>4888.5640574143408</v>
      </c>
      <c r="N153" s="9">
        <f t="shared" si="151"/>
        <v>5347.8044046978903</v>
      </c>
      <c r="O153" s="9">
        <f t="shared" si="151"/>
        <v>5822.8689600798089</v>
      </c>
      <c r="P153" s="9">
        <f t="shared" si="151"/>
        <v>6314.193523005828</v>
      </c>
      <c r="Q153" s="9">
        <f t="shared" si="151"/>
        <v>6822.2247114097354</v>
      </c>
      <c r="R153" s="9">
        <f t="shared" si="151"/>
        <v>7347.4202144419614</v>
      </c>
      <c r="S153" s="9">
        <f t="shared" si="151"/>
        <v>7890.2490508695373</v>
      </c>
      <c r="T153" s="9">
        <f t="shared" si="151"/>
        <v>8451.1918332711066</v>
      </c>
      <c r="U153" s="9">
        <f t="shared" si="151"/>
        <v>9030.74103815333</v>
      </c>
      <c r="V153" s="9">
        <f t="shared" si="151"/>
        <v>9629.4012821176439</v>
      </c>
      <c r="W153" s="9">
        <f t="shared" si="151"/>
        <v>10247.689604209179</v>
      </c>
      <c r="X153" s="9">
        <f t="shared" si="151"/>
        <v>10886.135754582447</v>
      </c>
      <c r="Y153" s="9">
        <f t="shared" si="151"/>
        <v>11545.282489621055</v>
      </c>
      <c r="Z153" s="9">
        <f t="shared" si="151"/>
        <v>12225.685873652128</v>
      </c>
      <c r="AA153" s="9">
        <f t="shared" si="151"/>
        <v>12927.915587398438</v>
      </c>
      <c r="AB153" s="9">
        <f t="shared" si="151"/>
        <v>13652.555243314962</v>
      </c>
      <c r="AC153" s="9">
        <f t="shared" si="151"/>
        <v>14400.202707959183</v>
      </c>
      <c r="AD153" s="9">
        <f t="shared" si="151"/>
        <v>15171.470431547961</v>
      </c>
      <c r="AE153" s="9">
        <f t="shared" si="151"/>
        <v>15966.985784856854</v>
      </c>
      <c r="AF153" s="9">
        <f t="shared" si="151"/>
        <v>16787.391403621263</v>
      </c>
      <c r="AG153" s="9">
        <f t="shared" si="151"/>
        <v>17633.345540601942</v>
      </c>
      <c r="AH153" s="9">
        <f t="shared" si="151"/>
        <v>18505.522425481078</v>
      </c>
      <c r="AI153" s="9">
        <f t="shared" si="151"/>
        <v>19404.612632758493</v>
      </c>
      <c r="AJ153" s="9">
        <f t="shared" si="151"/>
        <v>20331.323457821403</v>
      </c>
      <c r="AK153" s="9">
        <f t="shared" si="151"/>
        <v>21286.379301364355</v>
      </c>
      <c r="AL153" s="9">
        <f t="shared" si="151"/>
        <v>22270.522062340366</v>
      </c>
      <c r="AM153" s="9">
        <f t="shared" si="151"/>
        <v>23284.511539627547</v>
      </c>
      <c r="AN153" s="9">
        <f t="shared" si="151"/>
        <v>24329.125842599609</v>
      </c>
      <c r="AO153" s="9">
        <f t="shared" si="151"/>
        <v>25405.161810792993</v>
      </c>
      <c r="AP153" s="9">
        <f t="shared" si="151"/>
        <v>26513.435442866645</v>
      </c>
      <c r="AQ153" s="9">
        <f t="shared" si="151"/>
        <v>27654.782335055548</v>
      </c>
    </row>
    <row r="154" spans="1:43" hidden="1" outlineLevel="5">
      <c r="A154" s="2"/>
      <c r="B154" s="2"/>
      <c r="C154" s="2"/>
      <c r="D154" s="2"/>
      <c r="E154" s="2"/>
      <c r="F154" s="2" t="s">
        <v>395</v>
      </c>
      <c r="G154" s="2"/>
      <c r="H154" s="9">
        <f t="shared" ref="H154:AQ154" si="152">H89</f>
        <v>3.3119988984494997</v>
      </c>
      <c r="I154" s="9">
        <f t="shared" si="152"/>
        <v>3.7541730104786892</v>
      </c>
      <c r="J154" s="9">
        <f t="shared" si="152"/>
        <v>4.2095545524415687</v>
      </c>
      <c r="K154" s="9">
        <f t="shared" si="152"/>
        <v>4.6784488755190328</v>
      </c>
      <c r="L154" s="9">
        <f t="shared" si="152"/>
        <v>5.1611676287464467</v>
      </c>
      <c r="M154" s="9">
        <f t="shared" si="152"/>
        <v>5.6580288806418375</v>
      </c>
      <c r="N154" s="9">
        <f t="shared" si="152"/>
        <v>6.1693572430841597</v>
      </c>
      <c r="O154" s="9">
        <f t="shared" si="152"/>
        <v>6.6954839974819498</v>
      </c>
      <c r="P154" s="9">
        <f t="shared" si="152"/>
        <v>7.2367472232735404</v>
      </c>
      <c r="Q154" s="9">
        <f t="shared" si="152"/>
        <v>7.79349192880054</v>
      </c>
      <c r="R154" s="9">
        <f t="shared" si="152"/>
        <v>8.3660701845972021</v>
      </c>
      <c r="S154" s="9">
        <f t="shared" si="152"/>
        <v>8.9548412591389415</v>
      </c>
      <c r="T154" s="9">
        <f t="shared" si="152"/>
        <v>9.560171757094011</v>
      </c>
      <c r="U154" s="9">
        <f t="shared" si="152"/>
        <v>10.182435760123225</v>
      </c>
      <c r="V154" s="9">
        <f t="shared" si="152"/>
        <v>10.822014970273246</v>
      </c>
      <c r="W154" s="9">
        <f t="shared" si="152"/>
        <v>11.479298856009892</v>
      </c>
      <c r="X154" s="9">
        <f t="shared" si="152"/>
        <v>12.154684800938705</v>
      </c>
      <c r="Y154" s="9">
        <f t="shared" si="152"/>
        <v>12.848578255260657</v>
      </c>
      <c r="Z154" s="9">
        <f t="shared" si="152"/>
        <v>13.561392890012151</v>
      </c>
      <c r="AA154" s="9">
        <f t="shared" si="152"/>
        <v>14.293550754138723</v>
      </c>
      <c r="AB154" s="9">
        <f t="shared" si="152"/>
        <v>15.045482434453341</v>
      </c>
      <c r="AC154" s="9">
        <f t="shared" si="152"/>
        <v>15.817627218530571</v>
      </c>
      <c r="AD154" s="9">
        <f t="shared" si="152"/>
        <v>16.610433260589144</v>
      </c>
      <c r="AE154" s="9">
        <f t="shared" si="152"/>
        <v>17.424357750416096</v>
      </c>
      <c r="AF154" s="9">
        <f t="shared" si="152"/>
        <v>18.259867085386858</v>
      </c>
      <c r="AG154" s="9">
        <f t="shared" si="152"/>
        <v>19.117437045636358</v>
      </c>
      <c r="AH154" s="9">
        <f t="shared" si="152"/>
        <v>19.997552972437315</v>
      </c>
      <c r="AI154" s="9">
        <f t="shared" si="152"/>
        <v>20.900709949842838</v>
      </c>
      <c r="AJ154" s="9">
        <f t="shared" si="152"/>
        <v>21.827412989651549</v>
      </c>
      <c r="AK154" s="9">
        <f t="shared" si="152"/>
        <v>22.778177219754088</v>
      </c>
      <c r="AL154" s="9">
        <f t="shared" si="152"/>
        <v>23.753528075921572</v>
      </c>
      <c r="AM154" s="9">
        <f t="shared" si="152"/>
        <v>24.754001497096873</v>
      </c>
      <c r="AN154" s="9">
        <f t="shared" si="152"/>
        <v>25.780144124251034</v>
      </c>
      <c r="AO154" s="9">
        <f t="shared" si="152"/>
        <v>26.832513502868505</v>
      </c>
      <c r="AP154" s="9">
        <f t="shared" si="152"/>
        <v>27.911678289125163</v>
      </c>
      <c r="AQ154" s="9">
        <f t="shared" si="152"/>
        <v>29.018218459825171</v>
      </c>
    </row>
    <row r="155" spans="1:43" hidden="1" outlineLevel="5">
      <c r="A155" s="2"/>
      <c r="B155" s="2"/>
      <c r="C155" s="2"/>
      <c r="D155" s="2"/>
      <c r="E155" s="2"/>
      <c r="F155" s="2" t="s">
        <v>426</v>
      </c>
      <c r="G155" s="2"/>
      <c r="H155" s="9">
        <f t="shared" ref="H155:AQ155" si="153">H140</f>
        <v>850</v>
      </c>
      <c r="I155" s="9">
        <f t="shared" si="153"/>
        <v>852.78267881486909</v>
      </c>
      <c r="J155" s="9">
        <f t="shared" si="153"/>
        <v>855.57446739607542</v>
      </c>
      <c r="K155" s="9">
        <f t="shared" si="153"/>
        <v>858.37539556662352</v>
      </c>
      <c r="L155" s="9">
        <f t="shared" si="153"/>
        <v>861.18549324715059</v>
      </c>
      <c r="M155" s="9">
        <f t="shared" si="153"/>
        <v>864.00479045624638</v>
      </c>
      <c r="N155" s="9">
        <f t="shared" si="153"/>
        <v>866.83331731077351</v>
      </c>
      <c r="O155" s="9">
        <f t="shared" si="153"/>
        <v>869.67110402618903</v>
      </c>
      <c r="P155" s="9">
        <f t="shared" si="153"/>
        <v>872.51818091686835</v>
      </c>
      <c r="Q155" s="9">
        <f t="shared" si="153"/>
        <v>875.37457839642775</v>
      </c>
      <c r="R155" s="9">
        <f t="shared" si="153"/>
        <v>878.24032697804989</v>
      </c>
      <c r="S155" s="9">
        <f t="shared" si="153"/>
        <v>881.11545727480927</v>
      </c>
      <c r="T155" s="9">
        <f t="shared" si="153"/>
        <v>884</v>
      </c>
      <c r="U155" s="9">
        <f t="shared" si="153"/>
        <v>886.89398596746389</v>
      </c>
      <c r="V155" s="9">
        <f t="shared" si="153"/>
        <v>889.79744609191846</v>
      </c>
      <c r="W155" s="9">
        <f t="shared" si="153"/>
        <v>892.71041138928854</v>
      </c>
      <c r="X155" s="9">
        <f t="shared" si="153"/>
        <v>895.63291297703677</v>
      </c>
      <c r="Y155" s="9">
        <f t="shared" si="153"/>
        <v>898.56498207449636</v>
      </c>
      <c r="Z155" s="9">
        <f t="shared" si="153"/>
        <v>901.50665000320441</v>
      </c>
      <c r="AA155" s="9">
        <f t="shared" si="153"/>
        <v>904.45794818723664</v>
      </c>
      <c r="AB155" s="9">
        <f t="shared" si="153"/>
        <v>907.41890815354316</v>
      </c>
      <c r="AC155" s="9">
        <f t="shared" si="153"/>
        <v>910.38956153228492</v>
      </c>
      <c r="AD155" s="9">
        <f t="shared" si="153"/>
        <v>913.3699400571719</v>
      </c>
      <c r="AE155" s="9">
        <f t="shared" si="153"/>
        <v>916.36007556580159</v>
      </c>
      <c r="AF155" s="9">
        <f t="shared" si="153"/>
        <v>919.36000000000013</v>
      </c>
      <c r="AG155" s="9">
        <f t="shared" si="153"/>
        <v>922.36974540616234</v>
      </c>
      <c r="AH155" s="9">
        <f t="shared" si="153"/>
        <v>925.38934393559521</v>
      </c>
      <c r="AI155" s="9">
        <f t="shared" si="153"/>
        <v>928.41882784486006</v>
      </c>
      <c r="AJ155" s="9">
        <f t="shared" si="153"/>
        <v>931.45822949611818</v>
      </c>
      <c r="AK155" s="9">
        <f t="shared" si="153"/>
        <v>934.50758135747628</v>
      </c>
      <c r="AL155" s="9">
        <f t="shared" si="153"/>
        <v>937.56691600333272</v>
      </c>
      <c r="AM155" s="9">
        <f t="shared" si="153"/>
        <v>940.63626611472625</v>
      </c>
      <c r="AN155" s="9">
        <f t="shared" si="153"/>
        <v>943.71566447968496</v>
      </c>
      <c r="AO155" s="9">
        <f t="shared" si="153"/>
        <v>946.80514399357628</v>
      </c>
      <c r="AP155" s="9">
        <f t="shared" si="153"/>
        <v>949.90473765945865</v>
      </c>
      <c r="AQ155" s="9">
        <f t="shared" si="153"/>
        <v>953.01447858843369</v>
      </c>
    </row>
    <row r="156" spans="1:43" hidden="1" outlineLevel="4" collapsed="1">
      <c r="A156" s="2"/>
      <c r="B156" s="2"/>
      <c r="C156" s="2"/>
      <c r="D156" s="2"/>
      <c r="E156" s="2" t="s">
        <v>432</v>
      </c>
      <c r="F156" s="2"/>
      <c r="G156" s="2"/>
      <c r="H156" s="9">
        <f t="shared" ref="H156:AQ156" si="154">(H157*H158)</f>
        <v>22968.394802491886</v>
      </c>
      <c r="I156" s="9">
        <f t="shared" si="154"/>
        <v>25441.66866077307</v>
      </c>
      <c r="J156" s="9">
        <f t="shared" si="154"/>
        <v>28005.622731365391</v>
      </c>
      <c r="K156" s="9">
        <f t="shared" si="154"/>
        <v>30662.910197154393</v>
      </c>
      <c r="L156" s="9">
        <f t="shared" si="154"/>
        <v>33416.254346775684</v>
      </c>
      <c r="M156" s="9">
        <f t="shared" si="154"/>
        <v>36268.450321720826</v>
      </c>
      <c r="N156" s="9">
        <f t="shared" si="154"/>
        <v>39222.366905354851</v>
      </c>
      <c r="O156" s="9">
        <f t="shared" si="154"/>
        <v>42280.948354824606</v>
      </c>
      <c r="P156" s="9">
        <f t="shared" si="154"/>
        <v>45447.216276859494</v>
      </c>
      <c r="Q156" s="9">
        <f t="shared" si="154"/>
        <v>48724.271548487646</v>
      </c>
      <c r="R156" s="9">
        <f t="shared" si="154"/>
        <v>52115.296283716634</v>
      </c>
      <c r="S156" s="9">
        <f t="shared" si="154"/>
        <v>55623.555847248921</v>
      </c>
      <c r="T156" s="9">
        <f t="shared" si="154"/>
        <v>59252.400916329243</v>
      </c>
      <c r="U156" s="9">
        <f t="shared" si="154"/>
        <v>63005.269591844321</v>
      </c>
      <c r="V156" s="9">
        <f t="shared" si="154"/>
        <v>66885.68955982168</v>
      </c>
      <c r="W156" s="9">
        <f t="shared" si="154"/>
        <v>70897.280304501066</v>
      </c>
      <c r="X156" s="9">
        <f t="shared" si="154"/>
        <v>75043.755374177403</v>
      </c>
      <c r="Y156" s="9">
        <f t="shared" si="154"/>
        <v>79328.924701043041</v>
      </c>
      <c r="Z156" s="9">
        <f t="shared" si="154"/>
        <v>83756.696976284176</v>
      </c>
      <c r="AA156" s="9">
        <f t="shared" si="154"/>
        <v>88331.082081714718</v>
      </c>
      <c r="AB156" s="9">
        <f t="shared" si="154"/>
        <v>93056.193579261788</v>
      </c>
      <c r="AC156" s="9">
        <f t="shared" si="154"/>
        <v>97936.251259644036</v>
      </c>
      <c r="AD156" s="9">
        <f t="shared" si="154"/>
        <v>102975.58375161831</v>
      </c>
      <c r="AE156" s="9">
        <f t="shared" si="154"/>
        <v>108178.63119319745</v>
      </c>
      <c r="AF156" s="9">
        <f t="shared" si="154"/>
        <v>113549.9479662786</v>
      </c>
      <c r="AG156" s="9">
        <f t="shared" si="154"/>
        <v>119094.20549614847</v>
      </c>
      <c r="AH156" s="9">
        <f t="shared" si="154"/>
        <v>124816.19511737117</v>
      </c>
      <c r="AI156" s="9">
        <f t="shared" si="154"/>
        <v>130720.83100759465</v>
      </c>
      <c r="AJ156" s="9">
        <f t="shared" si="154"/>
        <v>136813.15319084786</v>
      </c>
      <c r="AK156" s="9">
        <f t="shared" si="154"/>
        <v>143098.33061193707</v>
      </c>
      <c r="AL156" s="9">
        <f t="shared" si="154"/>
        <v>149581.66428358512</v>
      </c>
      <c r="AM156" s="9">
        <f t="shared" si="154"/>
        <v>156268.59050799659</v>
      </c>
      <c r="AN156" s="9">
        <f t="shared" si="154"/>
        <v>163164.68417456717</v>
      </c>
      <c r="AO156" s="9">
        <f t="shared" si="154"/>
        <v>170275.66213549802</v>
      </c>
      <c r="AP156" s="9">
        <f t="shared" si="154"/>
        <v>177607.38666111382</v>
      </c>
      <c r="AQ156" s="9">
        <f t="shared" si="154"/>
        <v>185165.86897672308</v>
      </c>
    </row>
    <row r="157" spans="1:43" hidden="1" outlineLevel="5">
      <c r="A157" s="2"/>
      <c r="B157" s="2"/>
      <c r="C157" s="2"/>
      <c r="D157" s="2"/>
      <c r="E157" s="2"/>
      <c r="F157" s="2" t="s">
        <v>363</v>
      </c>
      <c r="G157" s="2"/>
      <c r="H157" s="9">
        <f t="shared" ref="H157:AQ157" si="155">H51</f>
        <v>27.0216409441081</v>
      </c>
      <c r="I157" s="9">
        <f t="shared" si="155"/>
        <v>29.833707101239344</v>
      </c>
      <c r="J157" s="9">
        <f t="shared" si="155"/>
        <v>32.733121193529733</v>
      </c>
      <c r="K157" s="9">
        <f t="shared" si="155"/>
        <v>35.722028328775025</v>
      </c>
      <c r="L157" s="9">
        <f t="shared" si="155"/>
        <v>38.802621048315309</v>
      </c>
      <c r="M157" s="9">
        <f t="shared" si="155"/>
        <v>41.977140314892132</v>
      </c>
      <c r="N157" s="9">
        <f t="shared" si="155"/>
        <v>45.247876520294163</v>
      </c>
      <c r="O157" s="9">
        <f t="shared" si="155"/>
        <v>48.617170513177555</v>
      </c>
      <c r="P157" s="9">
        <f t="shared" si="155"/>
        <v>52.087414647454331</v>
      </c>
      <c r="Q157" s="9">
        <f t="shared" si="155"/>
        <v>55.661053851648475</v>
      </c>
      <c r="R157" s="9">
        <f t="shared" si="155"/>
        <v>59.340586719629385</v>
      </c>
      <c r="S157" s="9">
        <f t="shared" si="155"/>
        <v>63.128566623137338</v>
      </c>
      <c r="T157" s="9">
        <f t="shared" si="155"/>
        <v>67.027602846526293</v>
      </c>
      <c r="U157" s="9">
        <f t="shared" si="155"/>
        <v>71.040361744155177</v>
      </c>
      <c r="V157" s="9">
        <f t="shared" si="155"/>
        <v>75.169567920868374</v>
      </c>
      <c r="W157" s="9">
        <f t="shared" si="155"/>
        <v>79.418005436014283</v>
      </c>
      <c r="X157" s="9">
        <f t="shared" si="155"/>
        <v>83.788519031458875</v>
      </c>
      <c r="Y157" s="9">
        <f t="shared" si="155"/>
        <v>88.28401538406068</v>
      </c>
      <c r="Z157" s="9">
        <f t="shared" si="155"/>
        <v>92.907464383081873</v>
      </c>
      <c r="AA157" s="9">
        <f t="shared" si="155"/>
        <v>97.66190043301917</v>
      </c>
      <c r="AB157" s="9">
        <f t="shared" si="155"/>
        <v>102.55042378234846</v>
      </c>
      <c r="AC157" s="9">
        <f t="shared" si="155"/>
        <v>107.57620187868437</v>
      </c>
      <c r="AD157" s="9">
        <f t="shared" si="155"/>
        <v>112.74247075086861</v>
      </c>
      <c r="AE157" s="9">
        <f t="shared" si="155"/>
        <v>118.05253641850682</v>
      </c>
      <c r="AF157" s="9">
        <f t="shared" si="155"/>
        <v>123.50977632948855</v>
      </c>
      <c r="AG157" s="9">
        <f t="shared" si="155"/>
        <v>129.11764082602878</v>
      </c>
      <c r="AH157" s="9">
        <f t="shared" si="155"/>
        <v>134.87965463978594</v>
      </c>
      <c r="AI157" s="9">
        <f t="shared" si="155"/>
        <v>140.79941841661818</v>
      </c>
      <c r="AJ157" s="9">
        <f t="shared" si="155"/>
        <v>146.88061027155058</v>
      </c>
      <c r="AK157" s="9">
        <f t="shared" si="155"/>
        <v>153.1269873745388</v>
      </c>
      <c r="AL157" s="9">
        <f t="shared" si="155"/>
        <v>159.54238756762339</v>
      </c>
      <c r="AM157" s="9">
        <f t="shared" si="155"/>
        <v>166.13073101408258</v>
      </c>
      <c r="AN157" s="9">
        <f t="shared" si="155"/>
        <v>172.89602188020007</v>
      </c>
      <c r="AO157" s="9">
        <f t="shared" si="155"/>
        <v>179.84235005027949</v>
      </c>
      <c r="AP157" s="9">
        <f t="shared" si="155"/>
        <v>186.9738928755466</v>
      </c>
      <c r="AQ157" s="9">
        <f t="shared" si="155"/>
        <v>194.29491695759253</v>
      </c>
    </row>
    <row r="158" spans="1:43" hidden="1" outlineLevel="5">
      <c r="A158" s="2"/>
      <c r="B158" s="2"/>
      <c r="C158" s="2"/>
      <c r="D158" s="2"/>
      <c r="E158" s="2"/>
      <c r="F158" s="2" t="s">
        <v>426</v>
      </c>
      <c r="G158" s="2"/>
      <c r="H158" s="9">
        <f t="shared" ref="H158:AQ158" si="156">H140</f>
        <v>850</v>
      </c>
      <c r="I158" s="9">
        <f t="shared" si="156"/>
        <v>852.78267881486909</v>
      </c>
      <c r="J158" s="9">
        <f t="shared" si="156"/>
        <v>855.57446739607542</v>
      </c>
      <c r="K158" s="9">
        <f t="shared" si="156"/>
        <v>858.37539556662352</v>
      </c>
      <c r="L158" s="9">
        <f t="shared" si="156"/>
        <v>861.18549324715059</v>
      </c>
      <c r="M158" s="9">
        <f t="shared" si="156"/>
        <v>864.00479045624638</v>
      </c>
      <c r="N158" s="9">
        <f t="shared" si="156"/>
        <v>866.83331731077351</v>
      </c>
      <c r="O158" s="9">
        <f t="shared" si="156"/>
        <v>869.67110402618903</v>
      </c>
      <c r="P158" s="9">
        <f t="shared" si="156"/>
        <v>872.51818091686835</v>
      </c>
      <c r="Q158" s="9">
        <f t="shared" si="156"/>
        <v>875.37457839642775</v>
      </c>
      <c r="R158" s="9">
        <f t="shared" si="156"/>
        <v>878.24032697804989</v>
      </c>
      <c r="S158" s="9">
        <f t="shared" si="156"/>
        <v>881.11545727480927</v>
      </c>
      <c r="T158" s="9">
        <f t="shared" si="156"/>
        <v>884</v>
      </c>
      <c r="U158" s="9">
        <f t="shared" si="156"/>
        <v>886.89398596746389</v>
      </c>
      <c r="V158" s="9">
        <f t="shared" si="156"/>
        <v>889.79744609191846</v>
      </c>
      <c r="W158" s="9">
        <f t="shared" si="156"/>
        <v>892.71041138928854</v>
      </c>
      <c r="X158" s="9">
        <f t="shared" si="156"/>
        <v>895.63291297703677</v>
      </c>
      <c r="Y158" s="9">
        <f t="shared" si="156"/>
        <v>898.56498207449636</v>
      </c>
      <c r="Z158" s="9">
        <f t="shared" si="156"/>
        <v>901.50665000320441</v>
      </c>
      <c r="AA158" s="9">
        <f t="shared" si="156"/>
        <v>904.45794818723664</v>
      </c>
      <c r="AB158" s="9">
        <f t="shared" si="156"/>
        <v>907.41890815354316</v>
      </c>
      <c r="AC158" s="9">
        <f t="shared" si="156"/>
        <v>910.38956153228492</v>
      </c>
      <c r="AD158" s="9">
        <f t="shared" si="156"/>
        <v>913.3699400571719</v>
      </c>
      <c r="AE158" s="9">
        <f t="shared" si="156"/>
        <v>916.36007556580159</v>
      </c>
      <c r="AF158" s="9">
        <f t="shared" si="156"/>
        <v>919.36000000000013</v>
      </c>
      <c r="AG158" s="9">
        <f t="shared" si="156"/>
        <v>922.36974540616234</v>
      </c>
      <c r="AH158" s="9">
        <f t="shared" si="156"/>
        <v>925.38934393559521</v>
      </c>
      <c r="AI158" s="9">
        <f t="shared" si="156"/>
        <v>928.41882784486006</v>
      </c>
      <c r="AJ158" s="9">
        <f t="shared" si="156"/>
        <v>931.45822949611818</v>
      </c>
      <c r="AK158" s="9">
        <f t="shared" si="156"/>
        <v>934.50758135747628</v>
      </c>
      <c r="AL158" s="9">
        <f t="shared" si="156"/>
        <v>937.56691600333272</v>
      </c>
      <c r="AM158" s="9">
        <f t="shared" si="156"/>
        <v>940.63626611472625</v>
      </c>
      <c r="AN158" s="9">
        <f t="shared" si="156"/>
        <v>943.71566447968496</v>
      </c>
      <c r="AO158" s="9">
        <f t="shared" si="156"/>
        <v>946.80514399357628</v>
      </c>
      <c r="AP158" s="9">
        <f t="shared" si="156"/>
        <v>949.90473765945865</v>
      </c>
      <c r="AQ158" s="9">
        <f t="shared" si="156"/>
        <v>953.01447858843369</v>
      </c>
    </row>
    <row r="159" spans="1:43" hidden="1" outlineLevel="4" collapsed="1">
      <c r="A159" s="2"/>
      <c r="B159" s="2"/>
      <c r="C159" s="2"/>
      <c r="D159" s="2"/>
      <c r="E159" s="2" t="s">
        <v>433</v>
      </c>
      <c r="F159" s="2"/>
      <c r="G159" s="2"/>
      <c r="H159" s="9">
        <f t="shared" ref="H159:AQ159" si="157">(H160*H161)</f>
        <v>898.23587400973815</v>
      </c>
      <c r="I159" s="9">
        <f t="shared" si="157"/>
        <v>974.80170186586997</v>
      </c>
      <c r="J159" s="9">
        <f t="shared" si="157"/>
        <v>1054.0980603482963</v>
      </c>
      <c r="K159" s="9">
        <f t="shared" si="157"/>
        <v>1136.2028914218965</v>
      </c>
      <c r="L159" s="9">
        <f t="shared" si="157"/>
        <v>1221.1961335259989</v>
      </c>
      <c r="M159" s="9">
        <f t="shared" si="157"/>
        <v>1309.1597694777174</v>
      </c>
      <c r="N159" s="9">
        <f t="shared" si="157"/>
        <v>1400.1778754750439</v>
      </c>
      <c r="O159" s="9">
        <f t="shared" si="157"/>
        <v>1494.336671224137</v>
      </c>
      <c r="P159" s="9">
        <f t="shared" si="157"/>
        <v>1591.7245712158197</v>
      </c>
      <c r="Q159" s="9">
        <f t="shared" si="157"/>
        <v>1692.4322371767753</v>
      </c>
      <c r="R159" s="9">
        <f t="shared" si="157"/>
        <v>1796.5526317215592</v>
      </c>
      <c r="S159" s="9">
        <f t="shared" si="157"/>
        <v>1904.1810732320462</v>
      </c>
      <c r="T159" s="9">
        <f t="shared" si="157"/>
        <v>2015.4152919915546</v>
      </c>
      <c r="U159" s="9">
        <f t="shared" si="157"/>
        <v>2130.3554876014496</v>
      </c>
      <c r="V159" s="9">
        <f t="shared" si="157"/>
        <v>2249.1043877086377</v>
      </c>
      <c r="W159" s="9">
        <f t="shared" si="157"/>
        <v>2371.7673080730069</v>
      </c>
      <c r="X159" s="9">
        <f t="shared" si="157"/>
        <v>2498.4522140044319</v>
      </c>
      <c r="Y159" s="9">
        <f t="shared" si="157"/>
        <v>2629.2697831996898</v>
      </c>
      <c r="Z159" s="9">
        <f t="shared" si="157"/>
        <v>2764.3334700102018</v>
      </c>
      <c r="AA159" s="9">
        <f t="shared" si="157"/>
        <v>2903.7595711722479</v>
      </c>
      <c r="AB159" s="9">
        <f t="shared" si="157"/>
        <v>3047.6672930319651</v>
      </c>
      <c r="AC159" s="9">
        <f t="shared" si="157"/>
        <v>3196.1788202980997</v>
      </c>
      <c r="AD159" s="9">
        <f t="shared" si="157"/>
        <v>3349.4193863562959</v>
      </c>
      <c r="AE159" s="9">
        <f t="shared" si="157"/>
        <v>3507.5173451792789</v>
      </c>
      <c r="AF159" s="9">
        <f t="shared" si="157"/>
        <v>3670.6042448682324</v>
      </c>
      <c r="AG159" s="9">
        <f t="shared" si="157"/>
        <v>3838.8149028611856</v>
      </c>
      <c r="AH159" s="9">
        <f t="shared" si="157"/>
        <v>4012.2874828452514</v>
      </c>
      <c r="AI159" s="9">
        <f t="shared" si="157"/>
        <v>4191.163573410151</v>
      </c>
      <c r="AJ159" s="9">
        <f t="shared" si="157"/>
        <v>4375.5882684813869</v>
      </c>
      <c r="AK159" s="9">
        <f t="shared" si="157"/>
        <v>4565.7102495721974</v>
      </c>
      <c r="AL159" s="9">
        <f t="shared" si="157"/>
        <v>4761.6818698942652</v>
      </c>
      <c r="AM159" s="9">
        <f t="shared" si="157"/>
        <v>4963.6592403680743</v>
      </c>
      <c r="AN159" s="9">
        <f t="shared" si="157"/>
        <v>5171.802317574582</v>
      </c>
      <c r="AO159" s="9">
        <f t="shared" si="157"/>
        <v>5386.2749936908931</v>
      </c>
      <c r="AP159" s="9">
        <f t="shared" si="157"/>
        <v>5607.2451884534275</v>
      </c>
      <c r="AQ159" s="9">
        <f t="shared" si="157"/>
        <v>5834.8849431930839</v>
      </c>
    </row>
    <row r="160" spans="1:43" hidden="1" outlineLevel="5">
      <c r="A160" s="2"/>
      <c r="B160" s="2"/>
      <c r="C160" s="2"/>
      <c r="D160" s="2"/>
      <c r="E160" s="2"/>
      <c r="F160" s="2" t="s">
        <v>404</v>
      </c>
      <c r="G160" s="2"/>
      <c r="H160" s="9">
        <f t="shared" ref="H160:AQ160" si="158">H100</f>
        <v>1.0567480870702801</v>
      </c>
      <c r="I160" s="9">
        <f t="shared" si="158"/>
        <v>1.1430833740907747</v>
      </c>
      <c r="J160" s="9">
        <f t="shared" si="158"/>
        <v>1.2320354341059565</v>
      </c>
      <c r="K160" s="9">
        <f t="shared" si="158"/>
        <v>1.3236666583061552</v>
      </c>
      <c r="L160" s="9">
        <f t="shared" si="158"/>
        <v>1.4180407625323634</v>
      </c>
      <c r="M160" s="9">
        <f t="shared" si="158"/>
        <v>1.5152228135059327</v>
      </c>
      <c r="N160" s="9">
        <f t="shared" si="158"/>
        <v>1.6152792555538771</v>
      </c>
      <c r="O160" s="9">
        <f t="shared" si="158"/>
        <v>1.7182779378388282</v>
      </c>
      <c r="P160" s="9">
        <f t="shared" si="158"/>
        <v>1.8242881421028816</v>
      </c>
      <c r="Q160" s="9">
        <f t="shared" si="158"/>
        <v>1.9333806109346821</v>
      </c>
      <c r="R160" s="9">
        <f t="shared" si="158"/>
        <v>2.0456275765693244</v>
      </c>
      <c r="S160" s="9">
        <f t="shared" si="158"/>
        <v>2.1611027902307645</v>
      </c>
      <c r="T160" s="9">
        <f t="shared" si="158"/>
        <v>2.2798815520266453</v>
      </c>
      <c r="U160" s="9">
        <f t="shared" si="158"/>
        <v>2.4020407414055942</v>
      </c>
      <c r="V160" s="9">
        <f t="shared" si="158"/>
        <v>2.5276588481872304</v>
      </c>
      <c r="W160" s="9">
        <f t="shared" si="158"/>
        <v>2.6568160041753326</v>
      </c>
      <c r="X160" s="9">
        <f t="shared" si="158"/>
        <v>2.7895940153647412</v>
      </c>
      <c r="Y160" s="9">
        <f t="shared" si="158"/>
        <v>2.9260763947528368</v>
      </c>
      <c r="Z160" s="9">
        <f t="shared" si="158"/>
        <v>3.0663483957665494</v>
      </c>
      <c r="AA160" s="9">
        <f t="shared" si="158"/>
        <v>3.2104970463161049</v>
      </c>
      <c r="AB160" s="9">
        <f t="shared" si="158"/>
        <v>3.3586111834869032</v>
      </c>
      <c r="AC160" s="9">
        <f t="shared" si="158"/>
        <v>3.51078148888107</v>
      </c>
      <c r="AD160" s="9">
        <f t="shared" si="158"/>
        <v>3.6671005246205506</v>
      </c>
      <c r="AE160" s="9">
        <f t="shared" si="158"/>
        <v>3.8276627700236516</v>
      </c>
      <c r="AF160" s="9">
        <f t="shared" si="158"/>
        <v>3.9925646589673596</v>
      </c>
      <c r="AG160" s="9">
        <f t="shared" si="158"/>
        <v>4.1619046179477373</v>
      </c>
      <c r="AH160" s="9">
        <f t="shared" si="158"/>
        <v>4.3357831048511581</v>
      </c>
      <c r="AI160" s="9">
        <f t="shared" si="158"/>
        <v>4.5143026484491973</v>
      </c>
      <c r="AJ160" s="9">
        <f t="shared" si="158"/>
        <v>4.6975678886302887</v>
      </c>
      <c r="AK160" s="9">
        <f t="shared" si="158"/>
        <v>4.8856856173815038</v>
      </c>
      <c r="AL160" s="9">
        <f t="shared" si="158"/>
        <v>5.0787648205339817</v>
      </c>
      <c r="AM160" s="9">
        <f t="shared" si="158"/>
        <v>5.2769167202858762</v>
      </c>
      <c r="AN160" s="9">
        <f t="shared" si="158"/>
        <v>5.480254818516805</v>
      </c>
      <c r="AO160" s="9">
        <f t="shared" si="158"/>
        <v>5.6888949409081757</v>
      </c>
      <c r="AP160" s="9">
        <f t="shared" si="158"/>
        <v>5.9029552818838846</v>
      </c>
      <c r="AQ160" s="9">
        <f t="shared" si="158"/>
        <v>6.12255645038623</v>
      </c>
    </row>
    <row r="161" spans="1:43" hidden="1" outlineLevel="5">
      <c r="A161" s="2"/>
      <c r="B161" s="2"/>
      <c r="C161" s="2"/>
      <c r="D161" s="2"/>
      <c r="E161" s="2"/>
      <c r="F161" s="2" t="s">
        <v>426</v>
      </c>
      <c r="G161" s="2"/>
      <c r="H161" s="9">
        <f t="shared" ref="H161:AQ161" si="159">H140</f>
        <v>850</v>
      </c>
      <c r="I161" s="9">
        <f t="shared" si="159"/>
        <v>852.78267881486909</v>
      </c>
      <c r="J161" s="9">
        <f t="shared" si="159"/>
        <v>855.57446739607542</v>
      </c>
      <c r="K161" s="9">
        <f t="shared" si="159"/>
        <v>858.37539556662352</v>
      </c>
      <c r="L161" s="9">
        <f t="shared" si="159"/>
        <v>861.18549324715059</v>
      </c>
      <c r="M161" s="9">
        <f t="shared" si="159"/>
        <v>864.00479045624638</v>
      </c>
      <c r="N161" s="9">
        <f t="shared" si="159"/>
        <v>866.83331731077351</v>
      </c>
      <c r="O161" s="9">
        <f t="shared" si="159"/>
        <v>869.67110402618903</v>
      </c>
      <c r="P161" s="9">
        <f t="shared" si="159"/>
        <v>872.51818091686835</v>
      </c>
      <c r="Q161" s="9">
        <f t="shared" si="159"/>
        <v>875.37457839642775</v>
      </c>
      <c r="R161" s="9">
        <f t="shared" si="159"/>
        <v>878.24032697804989</v>
      </c>
      <c r="S161" s="9">
        <f t="shared" si="159"/>
        <v>881.11545727480927</v>
      </c>
      <c r="T161" s="9">
        <f t="shared" si="159"/>
        <v>884</v>
      </c>
      <c r="U161" s="9">
        <f t="shared" si="159"/>
        <v>886.89398596746389</v>
      </c>
      <c r="V161" s="9">
        <f t="shared" si="159"/>
        <v>889.79744609191846</v>
      </c>
      <c r="W161" s="9">
        <f t="shared" si="159"/>
        <v>892.71041138928854</v>
      </c>
      <c r="X161" s="9">
        <f t="shared" si="159"/>
        <v>895.63291297703677</v>
      </c>
      <c r="Y161" s="9">
        <f t="shared" si="159"/>
        <v>898.56498207449636</v>
      </c>
      <c r="Z161" s="9">
        <f t="shared" si="159"/>
        <v>901.50665000320441</v>
      </c>
      <c r="AA161" s="9">
        <f t="shared" si="159"/>
        <v>904.45794818723664</v>
      </c>
      <c r="AB161" s="9">
        <f t="shared" si="159"/>
        <v>907.41890815354316</v>
      </c>
      <c r="AC161" s="9">
        <f t="shared" si="159"/>
        <v>910.38956153228492</v>
      </c>
      <c r="AD161" s="9">
        <f t="shared" si="159"/>
        <v>913.3699400571719</v>
      </c>
      <c r="AE161" s="9">
        <f t="shared" si="159"/>
        <v>916.36007556580159</v>
      </c>
      <c r="AF161" s="9">
        <f t="shared" si="159"/>
        <v>919.36000000000013</v>
      </c>
      <c r="AG161" s="9">
        <f t="shared" si="159"/>
        <v>922.36974540616234</v>
      </c>
      <c r="AH161" s="9">
        <f t="shared" si="159"/>
        <v>925.38934393559521</v>
      </c>
      <c r="AI161" s="9">
        <f t="shared" si="159"/>
        <v>928.41882784486006</v>
      </c>
      <c r="AJ161" s="9">
        <f t="shared" si="159"/>
        <v>931.45822949611818</v>
      </c>
      <c r="AK161" s="9">
        <f t="shared" si="159"/>
        <v>934.50758135747628</v>
      </c>
      <c r="AL161" s="9">
        <f t="shared" si="159"/>
        <v>937.56691600333272</v>
      </c>
      <c r="AM161" s="9">
        <f t="shared" si="159"/>
        <v>940.63626611472625</v>
      </c>
      <c r="AN161" s="9">
        <f t="shared" si="159"/>
        <v>943.71566447968496</v>
      </c>
      <c r="AO161" s="9">
        <f t="shared" si="159"/>
        <v>946.80514399357628</v>
      </c>
      <c r="AP161" s="9">
        <f t="shared" si="159"/>
        <v>949.90473765945865</v>
      </c>
      <c r="AQ161" s="9">
        <f t="shared" si="159"/>
        <v>953.01447858843369</v>
      </c>
    </row>
    <row r="162" spans="1:43" hidden="1" outlineLevel="3" collapsed="1">
      <c r="A162" s="2"/>
      <c r="B162" s="2"/>
      <c r="C162" s="2"/>
      <c r="D162" s="2" t="s">
        <v>434</v>
      </c>
      <c r="E162" s="2"/>
      <c r="F162" s="2"/>
      <c r="G162" s="2"/>
      <c r="H162" s="9">
        <f t="shared" ref="H162:AQ162" si="160">(((((((H163+H166)+H169)+H172)+H175)+H178)+H181)+H184)</f>
        <v>342933.58311603096</v>
      </c>
      <c r="I162" s="9">
        <f t="shared" si="160"/>
        <v>423264.95537781552</v>
      </c>
      <c r="J162" s="9">
        <f t="shared" si="160"/>
        <v>506613.39898057812</v>
      </c>
      <c r="K162" s="9">
        <f t="shared" si="160"/>
        <v>593066.3923692985</v>
      </c>
      <c r="L162" s="9">
        <f t="shared" si="160"/>
        <v>682713.68703336141</v>
      </c>
      <c r="M162" s="9">
        <f t="shared" si="160"/>
        <v>775647.36309448443</v>
      </c>
      <c r="N162" s="9">
        <f t="shared" si="160"/>
        <v>871961.88620293455</v>
      </c>
      <c r="O162" s="9">
        <f t="shared" si="160"/>
        <v>971754.16577201686</v>
      </c>
      <c r="P162" s="9">
        <f t="shared" si="160"/>
        <v>1075123.6145815121</v>
      </c>
      <c r="Q162" s="9">
        <f t="shared" si="160"/>
        <v>1182172.2097814048</v>
      </c>
      <c r="R162" s="9">
        <f t="shared" si="160"/>
        <v>1293004.5553279822</v>
      </c>
      <c r="S162" s="9">
        <f t="shared" si="160"/>
        <v>1407727.9458850636</v>
      </c>
      <c r="T162" s="9">
        <f t="shared" si="160"/>
        <v>1526452.4322238991</v>
      </c>
      <c r="U162" s="9">
        <f t="shared" si="160"/>
        <v>1649290.8881559912</v>
      </c>
      <c r="V162" s="9">
        <f t="shared" si="160"/>
        <v>1776359.0790338914</v>
      </c>
      <c r="W162" s="9">
        <f t="shared" si="160"/>
        <v>1907775.7318557911</v>
      </c>
      <c r="X162" s="9">
        <f t="shared" si="160"/>
        <v>2043662.6070105382</v>
      </c>
      <c r="Y162" s="9">
        <f t="shared" si="160"/>
        <v>2184144.571700532</v>
      </c>
      <c r="Z162" s="9">
        <f t="shared" si="160"/>
        <v>2329349.6750807948</v>
      </c>
      <c r="AA162" s="9">
        <f t="shared" si="160"/>
        <v>2479409.2251533545</v>
      </c>
      <c r="AB162" s="9">
        <f t="shared" si="160"/>
        <v>2634457.8674569856</v>
      </c>
      <c r="AC162" s="9">
        <f t="shared" si="160"/>
        <v>2794633.6655932106</v>
      </c>
      <c r="AD162" s="9">
        <f t="shared" si="160"/>
        <v>2960078.1836304297</v>
      </c>
      <c r="AE162" s="9">
        <f t="shared" si="160"/>
        <v>3130936.570428913</v>
      </c>
      <c r="AF162" s="9">
        <f t="shared" si="160"/>
        <v>3307357.6459304676</v>
      </c>
      <c r="AG162" s="9">
        <f t="shared" si="160"/>
        <v>3489493.9894573935</v>
      </c>
      <c r="AH162" s="9">
        <f t="shared" si="160"/>
        <v>3677502.0300665237</v>
      </c>
      <c r="AI162" s="9">
        <f t="shared" si="160"/>
        <v>3871542.1390050426</v>
      </c>
      <c r="AJ162" s="9">
        <f t="shared" si="160"/>
        <v>4071778.724315892</v>
      </c>
      <c r="AK162" s="9">
        <f t="shared" si="160"/>
        <v>4278380.3276415747</v>
      </c>
      <c r="AL162" s="9">
        <f t="shared" si="160"/>
        <v>4491519.7232763525</v>
      </c>
      <c r="AM162" s="9">
        <f t="shared" si="160"/>
        <v>4711374.0195178427</v>
      </c>
      <c r="AN162" s="9">
        <f t="shared" si="160"/>
        <v>4938124.7623702344</v>
      </c>
      <c r="AO162" s="9">
        <f t="shared" si="160"/>
        <v>5171958.0416524997</v>
      </c>
      <c r="AP162" s="9">
        <f t="shared" si="160"/>
        <v>5413064.5995661244</v>
      </c>
      <c r="AQ162" s="9">
        <f t="shared" si="160"/>
        <v>5661639.9417781588</v>
      </c>
    </row>
    <row r="163" spans="1:43" hidden="1" outlineLevel="4" collapsed="1">
      <c r="A163" s="2"/>
      <c r="B163" s="2"/>
      <c r="C163" s="2"/>
      <c r="D163" s="2"/>
      <c r="E163" s="2" t="s">
        <v>435</v>
      </c>
      <c r="F163" s="2"/>
      <c r="G163" s="2"/>
      <c r="H163" s="9">
        <f t="shared" ref="H163:AQ163" si="161">(H164*H165)</f>
        <v>152487.69159670829</v>
      </c>
      <c r="I163" s="9">
        <f t="shared" si="161"/>
        <v>196146.92083280894</v>
      </c>
      <c r="J163" s="9">
        <f t="shared" si="161"/>
        <v>241470.28099489049</v>
      </c>
      <c r="K163" s="9">
        <f t="shared" si="161"/>
        <v>288506.48958037607</v>
      </c>
      <c r="L163" s="9">
        <f t="shared" si="161"/>
        <v>337305.54026069422</v>
      </c>
      <c r="M163" s="9">
        <f t="shared" si="161"/>
        <v>387918.73431969626</v>
      </c>
      <c r="N163" s="9">
        <f t="shared" si="161"/>
        <v>440398.71283702564</v>
      </c>
      <c r="O163" s="9">
        <f t="shared" si="161"/>
        <v>494799.48963362211</v>
      </c>
      <c r="P163" s="9">
        <f t="shared" si="161"/>
        <v>551176.48499693943</v>
      </c>
      <c r="Q163" s="9">
        <f t="shared" si="161"/>
        <v>609586.56020384363</v>
      </c>
      <c r="R163" s="9">
        <f t="shared" si="161"/>
        <v>670088.05285958049</v>
      </c>
      <c r="S163" s="9">
        <f t="shared" si="161"/>
        <v>732740.81307159527</v>
      </c>
      <c r="T163" s="9">
        <f t="shared" si="161"/>
        <v>797606.24047743576</v>
      </c>
      <c r="U163" s="9">
        <f t="shared" si="161"/>
        <v>864747.32214638265</v>
      </c>
      <c r="V163" s="9">
        <f t="shared" si="161"/>
        <v>934228.67137491249</v>
      </c>
      <c r="W163" s="9">
        <f t="shared" si="161"/>
        <v>1006116.5673965365</v>
      </c>
      <c r="X163" s="9">
        <f t="shared" si="161"/>
        <v>1080478.9960270403</v>
      </c>
      <c r="Y163" s="9">
        <f t="shared" si="161"/>
        <v>1157385.6912666003</v>
      </c>
      <c r="Z163" s="9">
        <f t="shared" si="161"/>
        <v>1236908.1778807673</v>
      </c>
      <c r="AA163" s="9">
        <f t="shared" si="161"/>
        <v>1319119.8149827702</v>
      </c>
      <c r="AB163" s="9">
        <f t="shared" si="161"/>
        <v>1404095.8406401293</v>
      </c>
      <c r="AC163" s="9">
        <f t="shared" si="161"/>
        <v>1491913.4175290631</v>
      </c>
      <c r="AD163" s="9">
        <f t="shared" si="161"/>
        <v>1582651.6796607156</v>
      </c>
      <c r="AE163" s="9">
        <f t="shared" si="161"/>
        <v>1676391.7802037646</v>
      </c>
      <c r="AF163" s="9">
        <f t="shared" si="161"/>
        <v>1773216.9404285464</v>
      </c>
      <c r="AG163" s="9">
        <f t="shared" si="161"/>
        <v>1873212.4997983405</v>
      </c>
      <c r="AH163" s="9">
        <f t="shared" si="161"/>
        <v>1976465.9672341174</v>
      </c>
      <c r="AI163" s="9">
        <f t="shared" si="161"/>
        <v>2083067.0735795712</v>
      </c>
      <c r="AJ163" s="9">
        <f t="shared" si="161"/>
        <v>2193107.8252939056</v>
      </c>
      <c r="AK163" s="9">
        <f t="shared" si="161"/>
        <v>2306682.5594004369</v>
      </c>
      <c r="AL163" s="9">
        <f t="shared" si="161"/>
        <v>2423887.999719731</v>
      </c>
      <c r="AM163" s="9">
        <f t="shared" si="161"/>
        <v>2544823.314416605</v>
      </c>
      <c r="AN163" s="9">
        <f t="shared" si="161"/>
        <v>2669590.1748910062</v>
      </c>
      <c r="AO163" s="9">
        <f t="shared" si="161"/>
        <v>2798292.8160434612</v>
      </c>
      <c r="AP163" s="9">
        <f t="shared" si="161"/>
        <v>2931038.0979464436</v>
      </c>
      <c r="AQ163" s="9">
        <f t="shared" si="161"/>
        <v>3067935.5689537604</v>
      </c>
    </row>
    <row r="164" spans="1:43" hidden="1" outlineLevel="5">
      <c r="A164" s="2"/>
      <c r="B164" s="2"/>
      <c r="C164" s="2"/>
      <c r="D164" s="2"/>
      <c r="E164" s="2"/>
      <c r="F164" s="2" t="s">
        <v>324</v>
      </c>
      <c r="G164" s="2"/>
      <c r="H164" s="9">
        <f t="shared" ref="H164:AQ164" si="162">H6</f>
        <v>160.51335957548241</v>
      </c>
      <c r="I164" s="9">
        <f t="shared" si="162"/>
        <v>205.79671807888334</v>
      </c>
      <c r="J164" s="9">
        <f t="shared" si="162"/>
        <v>252.52314662590396</v>
      </c>
      <c r="K164" s="9">
        <f t="shared" si="162"/>
        <v>300.72784791742691</v>
      </c>
      <c r="L164" s="9">
        <f t="shared" si="162"/>
        <v>350.4467925713771</v>
      </c>
      <c r="M164" s="9">
        <f t="shared" si="162"/>
        <v>401.71673487527056</v>
      </c>
      <c r="N164" s="9">
        <f t="shared" si="162"/>
        <v>454.57522884962327</v>
      </c>
      <c r="O164" s="9">
        <f t="shared" si="162"/>
        <v>509.06064462819165</v>
      </c>
      <c r="P164" s="9">
        <f t="shared" si="162"/>
        <v>565.21218516113368</v>
      </c>
      <c r="Q164" s="9">
        <f t="shared" si="162"/>
        <v>623.06990324728713</v>
      </c>
      <c r="R164" s="9">
        <f t="shared" si="162"/>
        <v>682.67471890189177</v>
      </c>
      <c r="S164" s="9">
        <f t="shared" si="162"/>
        <v>744.06843706618258</v>
      </c>
      <c r="T164" s="9">
        <f t="shared" si="162"/>
        <v>807.29376566542078</v>
      </c>
      <c r="U164" s="9">
        <f t="shared" si="162"/>
        <v>872.39433402203872</v>
      </c>
      <c r="V164" s="9">
        <f t="shared" si="162"/>
        <v>939.41471163071344</v>
      </c>
      <c r="W164" s="9">
        <f t="shared" si="162"/>
        <v>1008.4004273022929</v>
      </c>
      <c r="X164" s="9">
        <f t="shared" si="162"/>
        <v>1079.397988683658</v>
      </c>
      <c r="Y164" s="9">
        <f t="shared" si="162"/>
        <v>1152.4549021607002</v>
      </c>
      <c r="Z164" s="9">
        <f t="shared" si="162"/>
        <v>1227.6196931517686</v>
      </c>
      <c r="AA164" s="9">
        <f t="shared" si="162"/>
        <v>1304.9419267990445</v>
      </c>
      <c r="AB164" s="9">
        <f t="shared" si="162"/>
        <v>1384.4722290654624</v>
      </c>
      <c r="AC164" s="9">
        <f t="shared" si="162"/>
        <v>1466.2623082449377</v>
      </c>
      <c r="AD164" s="9">
        <f t="shared" si="162"/>
        <v>1550.3649768937896</v>
      </c>
      <c r="AE164" s="9">
        <f t="shared" si="162"/>
        <v>1636.8341741914207</v>
      </c>
      <c r="AF164" s="9">
        <f t="shared" si="162"/>
        <v>1725.7249887384635</v>
      </c>
      <c r="AG164" s="9">
        <f t="shared" si="162"/>
        <v>1817.0936818007167</v>
      </c>
      <c r="AH164" s="9">
        <f t="shared" si="162"/>
        <v>1910.997711007418</v>
      </c>
      <c r="AI164" s="9">
        <f t="shared" si="162"/>
        <v>2007.4957545125096</v>
      </c>
      <c r="AJ164" s="9">
        <f t="shared" si="162"/>
        <v>2106.6477356277283</v>
      </c>
      <c r="AK164" s="9">
        <f t="shared" si="162"/>
        <v>2208.5148479365212</v>
      </c>
      <c r="AL164" s="9">
        <f t="shared" si="162"/>
        <v>2313.1595808979741</v>
      </c>
      <c r="AM164" s="9">
        <f t="shared" si="162"/>
        <v>2420.6457459500621</v>
      </c>
      <c r="AN164" s="9">
        <f t="shared" si="162"/>
        <v>2531.038503121757</v>
      </c>
      <c r="AO164" s="9">
        <f t="shared" si="162"/>
        <v>2644.4043881636935</v>
      </c>
      <c r="AP164" s="9">
        <f t="shared" si="162"/>
        <v>2760.8113402072418</v>
      </c>
      <c r="AQ164" s="9">
        <f t="shared" si="162"/>
        <v>2880.3287299620847</v>
      </c>
    </row>
    <row r="165" spans="1:43" hidden="1" outlineLevel="5">
      <c r="A165" s="2"/>
      <c r="B165" s="2"/>
      <c r="C165" s="2"/>
      <c r="D165" s="2"/>
      <c r="E165" s="2"/>
      <c r="F165" s="2" t="s">
        <v>436</v>
      </c>
      <c r="G165" s="2"/>
      <c r="H165" s="9">
        <f t="shared" ref="H165:AQ165" si="163">cold_chain_warehousing_cost_per_dose*(1+cold_chain_warehousing_cost_per_dose_growth)^((COLUMN()-8)/12)</f>
        <v>950</v>
      </c>
      <c r="I165" s="9">
        <f t="shared" si="163"/>
        <v>953.11005279308893</v>
      </c>
      <c r="J165" s="9">
        <f t="shared" si="163"/>
        <v>956.23028708973141</v>
      </c>
      <c r="K165" s="9">
        <f t="shared" si="163"/>
        <v>959.36073622152037</v>
      </c>
      <c r="L165" s="9">
        <f t="shared" si="163"/>
        <v>962.50143362916833</v>
      </c>
      <c r="M165" s="9">
        <f t="shared" si="163"/>
        <v>965.65241286286357</v>
      </c>
      <c r="N165" s="9">
        <f t="shared" si="163"/>
        <v>968.81370758262915</v>
      </c>
      <c r="O165" s="9">
        <f t="shared" si="163"/>
        <v>971.98535155868194</v>
      </c>
      <c r="P165" s="9">
        <f t="shared" si="163"/>
        <v>975.16737867179404</v>
      </c>
      <c r="Q165" s="9">
        <f t="shared" si="163"/>
        <v>978.35982291365451</v>
      </c>
      <c r="R165" s="9">
        <f t="shared" si="163"/>
        <v>981.56271838723217</v>
      </c>
      <c r="S165" s="9">
        <f t="shared" si="163"/>
        <v>984.7760993071397</v>
      </c>
      <c r="T165" s="9">
        <f t="shared" si="163"/>
        <v>988</v>
      </c>
      <c r="U165" s="9">
        <f t="shared" si="163"/>
        <v>991.23445490481265</v>
      </c>
      <c r="V165" s="9">
        <f t="shared" si="163"/>
        <v>994.4794985733206</v>
      </c>
      <c r="W165" s="9">
        <f t="shared" si="163"/>
        <v>997.73516567038132</v>
      </c>
      <c r="X165" s="9">
        <f t="shared" si="163"/>
        <v>1001.0014909743352</v>
      </c>
      <c r="Y165" s="9">
        <f t="shared" si="163"/>
        <v>1004.2785093773783</v>
      </c>
      <c r="Z165" s="9">
        <f t="shared" si="163"/>
        <v>1007.5662558859344</v>
      </c>
      <c r="AA165" s="9">
        <f t="shared" si="163"/>
        <v>1010.8647656210292</v>
      </c>
      <c r="AB165" s="9">
        <f t="shared" si="163"/>
        <v>1014.174073818666</v>
      </c>
      <c r="AC165" s="9">
        <f t="shared" si="163"/>
        <v>1017.4942158302008</v>
      </c>
      <c r="AD165" s="9">
        <f t="shared" si="163"/>
        <v>1020.8252271227215</v>
      </c>
      <c r="AE165" s="9">
        <f t="shared" si="163"/>
        <v>1024.1671432794253</v>
      </c>
      <c r="AF165" s="9">
        <f t="shared" si="163"/>
        <v>1027.5200000000002</v>
      </c>
      <c r="AG165" s="9">
        <f t="shared" si="163"/>
        <v>1030.8838331010049</v>
      </c>
      <c r="AH165" s="9">
        <f t="shared" si="163"/>
        <v>1034.2586785162534</v>
      </c>
      <c r="AI165" s="9">
        <f t="shared" si="163"/>
        <v>1037.6445722971966</v>
      </c>
      <c r="AJ165" s="9">
        <f t="shared" si="163"/>
        <v>1041.0415506133086</v>
      </c>
      <c r="AK165" s="9">
        <f t="shared" si="163"/>
        <v>1044.4496497524735</v>
      </c>
      <c r="AL165" s="9">
        <f t="shared" si="163"/>
        <v>1047.8689061213718</v>
      </c>
      <c r="AM165" s="9">
        <f t="shared" si="163"/>
        <v>1051.2993562458705</v>
      </c>
      <c r="AN165" s="9">
        <f t="shared" si="163"/>
        <v>1054.7410367714126</v>
      </c>
      <c r="AO165" s="9">
        <f t="shared" si="163"/>
        <v>1058.1939844634087</v>
      </c>
      <c r="AP165" s="9">
        <f t="shared" si="163"/>
        <v>1061.6582362076301</v>
      </c>
      <c r="AQ165" s="9">
        <f t="shared" si="163"/>
        <v>1065.1338290106023</v>
      </c>
    </row>
    <row r="166" spans="1:43" hidden="1" outlineLevel="4" collapsed="1">
      <c r="A166" s="2"/>
      <c r="B166" s="2"/>
      <c r="C166" s="2"/>
      <c r="D166" s="2"/>
      <c r="E166" s="2" t="s">
        <v>437</v>
      </c>
      <c r="F166" s="2"/>
      <c r="G166" s="2"/>
      <c r="H166" s="9">
        <f t="shared" ref="H166:AQ166" si="164">(H167*H168)</f>
        <v>30918.424246954481</v>
      </c>
      <c r="I166" s="9">
        <f t="shared" si="164"/>
        <v>41053.513621562372</v>
      </c>
      <c r="J166" s="9">
        <f t="shared" si="164"/>
        <v>51551.213520446072</v>
      </c>
      <c r="K166" s="9">
        <f t="shared" si="164"/>
        <v>62421.43476874398</v>
      </c>
      <c r="L166" s="9">
        <f t="shared" si="164"/>
        <v>73674.330070901953</v>
      </c>
      <c r="M166" s="9">
        <f t="shared" si="164"/>
        <v>85320.299554872545</v>
      </c>
      <c r="N166" s="9">
        <f t="shared" si="164"/>
        <v>97369.996438427115</v>
      </c>
      <c r="O166" s="9">
        <f t="shared" si="164"/>
        <v>109834.33282019547</v>
      </c>
      <c r="P166" s="9">
        <f t="shared" si="164"/>
        <v>122724.48559810582</v>
      </c>
      <c r="Q166" s="9">
        <f t="shared" si="164"/>
        <v>136051.90251795127</v>
      </c>
      <c r="R166" s="9">
        <f t="shared" si="164"/>
        <v>149828.30835486882</v>
      </c>
      <c r="S166" s="9">
        <f t="shared" si="164"/>
        <v>164065.71123057255</v>
      </c>
      <c r="T166" s="9">
        <f t="shared" si="164"/>
        <v>178776.40906924583</v>
      </c>
      <c r="U166" s="9">
        <f t="shared" si="164"/>
        <v>193972.99619505339</v>
      </c>
      <c r="V166" s="9">
        <f t="shared" si="164"/>
        <v>209668.37007430146</v>
      </c>
      <c r="W166" s="9">
        <f t="shared" si="164"/>
        <v>225875.7382053342</v>
      </c>
      <c r="X166" s="9">
        <f t="shared" si="164"/>
        <v>242608.62515931966</v>
      </c>
      <c r="Y166" s="9">
        <f t="shared" si="164"/>
        <v>259880.87977514623</v>
      </c>
      <c r="Z166" s="9">
        <f t="shared" si="164"/>
        <v>277706.68251171627</v>
      </c>
      <c r="AA166" s="9">
        <f t="shared" si="164"/>
        <v>296100.55296099308</v>
      </c>
      <c r="AB166" s="9">
        <f t="shared" si="164"/>
        <v>315077.35752522817</v>
      </c>
      <c r="AC166" s="9">
        <f t="shared" si="164"/>
        <v>334652.31726186565</v>
      </c>
      <c r="AD166" s="9">
        <f t="shared" si="164"/>
        <v>354841.01589969621</v>
      </c>
      <c r="AE166" s="9">
        <f t="shared" si="164"/>
        <v>375659.40802990383</v>
      </c>
      <c r="AF166" s="9">
        <f t="shared" si="164"/>
        <v>397123.82747573388</v>
      </c>
      <c r="AG166" s="9">
        <f t="shared" si="164"/>
        <v>419250.99584457232</v>
      </c>
      <c r="AH166" s="9">
        <f t="shared" si="164"/>
        <v>442058.03126632387</v>
      </c>
      <c r="AI166" s="9">
        <f t="shared" si="164"/>
        <v>465562.45732204511</v>
      </c>
      <c r="AJ166" s="9">
        <f t="shared" si="164"/>
        <v>489782.21216687554</v>
      </c>
      <c r="AK166" s="9">
        <f t="shared" si="164"/>
        <v>514735.65785139526</v>
      </c>
      <c r="AL166" s="9">
        <f t="shared" si="164"/>
        <v>540441.58984562103</v>
      </c>
      <c r="AM166" s="9">
        <f t="shared" si="164"/>
        <v>566919.24676994351</v>
      </c>
      <c r="AN166" s="9">
        <f t="shared" si="164"/>
        <v>594188.32033739274</v>
      </c>
      <c r="AO166" s="9">
        <f t="shared" si="164"/>
        <v>622268.96551172109</v>
      </c>
      <c r="AP166" s="9">
        <f t="shared" si="164"/>
        <v>651181.81088587036</v>
      </c>
      <c r="AQ166" s="9">
        <f t="shared" si="164"/>
        <v>680947.96928550419</v>
      </c>
    </row>
    <row r="167" spans="1:43" hidden="1" outlineLevel="5">
      <c r="A167" s="2"/>
      <c r="B167" s="2"/>
      <c r="C167" s="2"/>
      <c r="D167" s="2"/>
      <c r="E167" s="2"/>
      <c r="F167" s="2" t="s">
        <v>377</v>
      </c>
      <c r="G167" s="2"/>
      <c r="H167" s="9">
        <f t="shared" ref="H167:AQ167" si="165">H67</f>
        <v>32.545709733636293</v>
      </c>
      <c r="I167" s="9">
        <f t="shared" si="165"/>
        <v>43.073214369374298</v>
      </c>
      <c r="J167" s="9">
        <f t="shared" si="165"/>
        <v>53.910877135403446</v>
      </c>
      <c r="K167" s="9">
        <f t="shared" si="165"/>
        <v>65.065655088818033</v>
      </c>
      <c r="L167" s="9">
        <f t="shared" si="165"/>
        <v>76.54464450313445</v>
      </c>
      <c r="M167" s="9">
        <f t="shared" si="165"/>
        <v>88.355083483842805</v>
      </c>
      <c r="N167" s="9">
        <f t="shared" si="165"/>
        <v>100.50435463117405</v>
      </c>
      <c r="O167" s="9">
        <f t="shared" si="165"/>
        <v>112.99998775091048</v>
      </c>
      <c r="P167" s="9">
        <f t="shared" si="165"/>
        <v>125.84966261408384</v>
      </c>
      <c r="Q167" s="9">
        <f t="shared" si="165"/>
        <v>139.06121176641835</v>
      </c>
      <c r="R167" s="9">
        <f t="shared" si="165"/>
        <v>152.64262338839225</v>
      </c>
      <c r="S167" s="9">
        <f t="shared" si="165"/>
        <v>166.60204420680446</v>
      </c>
      <c r="T167" s="9">
        <f t="shared" si="165"/>
        <v>180.94778245875085</v>
      </c>
      <c r="U167" s="9">
        <f t="shared" si="165"/>
        <v>195.68831090892664</v>
      </c>
      <c r="V167" s="9">
        <f t="shared" si="165"/>
        <v>210.83226992119145</v>
      </c>
      <c r="W167" s="9">
        <f t="shared" si="165"/>
        <v>226.38847058534577</v>
      </c>
      <c r="X167" s="9">
        <f t="shared" si="165"/>
        <v>242.36589790008608</v>
      </c>
      <c r="Y167" s="9">
        <f t="shared" si="165"/>
        <v>258.77371401312206</v>
      </c>
      <c r="Z167" s="9">
        <f t="shared" si="165"/>
        <v>275.62126151945603</v>
      </c>
      <c r="AA167" s="9">
        <f t="shared" si="165"/>
        <v>292.9180668188414</v>
      </c>
      <c r="AB167" s="9">
        <f t="shared" si="165"/>
        <v>310.67384353345625</v>
      </c>
      <c r="AC167" s="9">
        <f t="shared" si="165"/>
        <v>328.89849598684339</v>
      </c>
      <c r="AD167" s="9">
        <f t="shared" si="165"/>
        <v>347.60212274518756</v>
      </c>
      <c r="AE167" s="9">
        <f t="shared" si="165"/>
        <v>366.79502022201859</v>
      </c>
      <c r="AF167" s="9">
        <f t="shared" si="165"/>
        <v>386.48768634745193</v>
      </c>
      <c r="AG167" s="9">
        <f t="shared" si="165"/>
        <v>406.69082430308572</v>
      </c>
      <c r="AH167" s="9">
        <f t="shared" si="165"/>
        <v>427.4153463237069</v>
      </c>
      <c r="AI167" s="9">
        <f t="shared" si="165"/>
        <v>448.67237756697017</v>
      </c>
      <c r="AJ167" s="9">
        <f t="shared" si="165"/>
        <v>470.47326005223351</v>
      </c>
      <c r="AK167" s="9">
        <f t="shared" si="165"/>
        <v>492.82955666975772</v>
      </c>
      <c r="AL167" s="9">
        <f t="shared" si="165"/>
        <v>515.75305526149771</v>
      </c>
      <c r="AM167" s="9">
        <f t="shared" si="165"/>
        <v>539.25577277473042</v>
      </c>
      <c r="AN167" s="9">
        <f t="shared" si="165"/>
        <v>563.34995948978838</v>
      </c>
      <c r="AO167" s="9">
        <f t="shared" si="165"/>
        <v>588.04810332319414</v>
      </c>
      <c r="AP167" s="9">
        <f t="shared" si="165"/>
        <v>613.36293420749928</v>
      </c>
      <c r="AQ167" s="9">
        <f t="shared" si="165"/>
        <v>639.30742854917446</v>
      </c>
    </row>
    <row r="168" spans="1:43" hidden="1" outlineLevel="5">
      <c r="A168" s="2"/>
      <c r="B168" s="2"/>
      <c r="C168" s="2"/>
      <c r="D168" s="2"/>
      <c r="E168" s="2"/>
      <c r="F168" s="2" t="s">
        <v>436</v>
      </c>
      <c r="G168" s="2"/>
      <c r="H168" s="9">
        <f t="shared" ref="H168:AQ168" si="166">H165</f>
        <v>950</v>
      </c>
      <c r="I168" s="9">
        <f t="shared" si="166"/>
        <v>953.11005279308893</v>
      </c>
      <c r="J168" s="9">
        <f t="shared" si="166"/>
        <v>956.23028708973141</v>
      </c>
      <c r="K168" s="9">
        <f t="shared" si="166"/>
        <v>959.36073622152037</v>
      </c>
      <c r="L168" s="9">
        <f t="shared" si="166"/>
        <v>962.50143362916833</v>
      </c>
      <c r="M168" s="9">
        <f t="shared" si="166"/>
        <v>965.65241286286357</v>
      </c>
      <c r="N168" s="9">
        <f t="shared" si="166"/>
        <v>968.81370758262915</v>
      </c>
      <c r="O168" s="9">
        <f t="shared" si="166"/>
        <v>971.98535155868194</v>
      </c>
      <c r="P168" s="9">
        <f t="shared" si="166"/>
        <v>975.16737867179404</v>
      </c>
      <c r="Q168" s="9">
        <f t="shared" si="166"/>
        <v>978.35982291365451</v>
      </c>
      <c r="R168" s="9">
        <f t="shared" si="166"/>
        <v>981.56271838723217</v>
      </c>
      <c r="S168" s="9">
        <f t="shared" si="166"/>
        <v>984.7760993071397</v>
      </c>
      <c r="T168" s="9">
        <f t="shared" si="166"/>
        <v>988</v>
      </c>
      <c r="U168" s="9">
        <f t="shared" si="166"/>
        <v>991.23445490481265</v>
      </c>
      <c r="V168" s="9">
        <f t="shared" si="166"/>
        <v>994.4794985733206</v>
      </c>
      <c r="W168" s="9">
        <f t="shared" si="166"/>
        <v>997.73516567038132</v>
      </c>
      <c r="X168" s="9">
        <f t="shared" si="166"/>
        <v>1001.0014909743352</v>
      </c>
      <c r="Y168" s="9">
        <f t="shared" si="166"/>
        <v>1004.2785093773783</v>
      </c>
      <c r="Z168" s="9">
        <f t="shared" si="166"/>
        <v>1007.5662558859344</v>
      </c>
      <c r="AA168" s="9">
        <f t="shared" si="166"/>
        <v>1010.8647656210292</v>
      </c>
      <c r="AB168" s="9">
        <f t="shared" si="166"/>
        <v>1014.174073818666</v>
      </c>
      <c r="AC168" s="9">
        <f t="shared" si="166"/>
        <v>1017.4942158302008</v>
      </c>
      <c r="AD168" s="9">
        <f t="shared" si="166"/>
        <v>1020.8252271227215</v>
      </c>
      <c r="AE168" s="9">
        <f t="shared" si="166"/>
        <v>1024.1671432794253</v>
      </c>
      <c r="AF168" s="9">
        <f t="shared" si="166"/>
        <v>1027.5200000000002</v>
      </c>
      <c r="AG168" s="9">
        <f t="shared" si="166"/>
        <v>1030.8838331010049</v>
      </c>
      <c r="AH168" s="9">
        <f t="shared" si="166"/>
        <v>1034.2586785162534</v>
      </c>
      <c r="AI168" s="9">
        <f t="shared" si="166"/>
        <v>1037.6445722971966</v>
      </c>
      <c r="AJ168" s="9">
        <f t="shared" si="166"/>
        <v>1041.0415506133086</v>
      </c>
      <c r="AK168" s="9">
        <f t="shared" si="166"/>
        <v>1044.4496497524735</v>
      </c>
      <c r="AL168" s="9">
        <f t="shared" si="166"/>
        <v>1047.8689061213718</v>
      </c>
      <c r="AM168" s="9">
        <f t="shared" si="166"/>
        <v>1051.2993562458705</v>
      </c>
      <c r="AN168" s="9">
        <f t="shared" si="166"/>
        <v>1054.7410367714126</v>
      </c>
      <c r="AO168" s="9">
        <f t="shared" si="166"/>
        <v>1058.1939844634087</v>
      </c>
      <c r="AP168" s="9">
        <f t="shared" si="166"/>
        <v>1061.6582362076301</v>
      </c>
      <c r="AQ168" s="9">
        <f t="shared" si="166"/>
        <v>1065.1338290106023</v>
      </c>
    </row>
    <row r="169" spans="1:43" hidden="1" outlineLevel="4" collapsed="1">
      <c r="A169" s="2"/>
      <c r="B169" s="2"/>
      <c r="C169" s="2"/>
      <c r="D169" s="2"/>
      <c r="E169" s="2" t="s">
        <v>438</v>
      </c>
      <c r="F169" s="2"/>
      <c r="G169" s="2"/>
      <c r="H169" s="9">
        <f t="shared" ref="H169:AQ169" si="167">(H170*H171)</f>
        <v>74054.795715508619</v>
      </c>
      <c r="I169" s="9">
        <f t="shared" si="167"/>
        <v>88643.396147010077</v>
      </c>
      <c r="J169" s="9">
        <f t="shared" si="167"/>
        <v>103782.27028530285</v>
      </c>
      <c r="K169" s="9">
        <f t="shared" si="167"/>
        <v>119487.52502238803</v>
      </c>
      <c r="L169" s="9">
        <f t="shared" si="167"/>
        <v>135775.6901512839</v>
      </c>
      <c r="M169" s="9">
        <f t="shared" si="167"/>
        <v>152663.72881648439</v>
      </c>
      <c r="N169" s="9">
        <f t="shared" si="167"/>
        <v>170169.04821287515</v>
      </c>
      <c r="O169" s="9">
        <f t="shared" si="167"/>
        <v>188309.51053885673</v>
      </c>
      <c r="P169" s="9">
        <f t="shared" si="167"/>
        <v>207103.44420955866</v>
      </c>
      <c r="Q169" s="9">
        <f t="shared" si="167"/>
        <v>226569.65533615684</v>
      </c>
      <c r="R169" s="9">
        <f t="shared" si="167"/>
        <v>246727.43947744899</v>
      </c>
      <c r="S169" s="9">
        <f t="shared" si="167"/>
        <v>267596.59366997762</v>
      </c>
      <c r="T169" s="9">
        <f t="shared" si="167"/>
        <v>289197.4287431339</v>
      </c>
      <c r="U169" s="9">
        <f t="shared" si="167"/>
        <v>311550.78192582517</v>
      </c>
      <c r="V169" s="9">
        <f t="shared" si="167"/>
        <v>334678.02975143085</v>
      </c>
      <c r="W169" s="9">
        <f t="shared" si="167"/>
        <v>358601.10126793064</v>
      </c>
      <c r="X169" s="9">
        <f t="shared" si="167"/>
        <v>383342.49156024109</v>
      </c>
      <c r="Y169" s="9">
        <f t="shared" si="167"/>
        <v>408925.27559195651</v>
      </c>
      <c r="Z169" s="9">
        <f t="shared" si="167"/>
        <v>435373.12237385503</v>
      </c>
      <c r="AA169" s="9">
        <f t="shared" si="167"/>
        <v>462710.30946669175</v>
      </c>
      <c r="AB169" s="9">
        <f t="shared" si="167"/>
        <v>490961.73782598064</v>
      </c>
      <c r="AC169" s="9">
        <f t="shared" si="167"/>
        <v>520152.94699662662</v>
      </c>
      <c r="AD169" s="9">
        <f t="shared" si="167"/>
        <v>550310.13066546479</v>
      </c>
      <c r="AE169" s="9">
        <f t="shared" si="167"/>
        <v>581460.15257992735</v>
      </c>
      <c r="AF169" s="9">
        <f t="shared" si="167"/>
        <v>613630.56284126232</v>
      </c>
      <c r="AG169" s="9">
        <f t="shared" si="167"/>
        <v>646849.61458090134</v>
      </c>
      <c r="AH169" s="9">
        <f t="shared" si="167"/>
        <v>681146.28102878004</v>
      </c>
      <c r="AI169" s="9">
        <f t="shared" si="167"/>
        <v>716550.27298260899</v>
      </c>
      <c r="AJ169" s="9">
        <f t="shared" si="167"/>
        <v>753092.05668729893</v>
      </c>
      <c r="AK169" s="9">
        <f t="shared" si="167"/>
        <v>790802.87213393836</v>
      </c>
      <c r="AL169" s="9">
        <f t="shared" si="167"/>
        <v>829714.75178796053</v>
      </c>
      <c r="AM169" s="9">
        <f t="shared" si="167"/>
        <v>869860.53975632566</v>
      </c>
      <c r="AN169" s="9">
        <f t="shared" si="167"/>
        <v>911273.91140377696</v>
      </c>
      <c r="AO169" s="9">
        <f t="shared" si="167"/>
        <v>953989.39342846593</v>
      </c>
      <c r="AP169" s="9">
        <f t="shared" si="167"/>
        <v>998042.38440745592</v>
      </c>
      <c r="AQ169" s="9">
        <f t="shared" si="167"/>
        <v>1043469.1758228607</v>
      </c>
    </row>
    <row r="170" spans="1:43" hidden="1" outlineLevel="5">
      <c r="A170" s="2"/>
      <c r="B170" s="2"/>
      <c r="C170" s="2"/>
      <c r="D170" s="2"/>
      <c r="E170" s="2"/>
      <c r="F170" s="2" t="s">
        <v>337</v>
      </c>
      <c r="G170" s="2"/>
      <c r="H170" s="9">
        <f t="shared" ref="H170:AQ170" si="168">H21</f>
        <v>77.952416542640648</v>
      </c>
      <c r="I170" s="9">
        <f t="shared" si="168"/>
        <v>93.004365956733551</v>
      </c>
      <c r="J170" s="9">
        <f t="shared" si="168"/>
        <v>108.53271611084627</v>
      </c>
      <c r="K170" s="9">
        <f t="shared" si="168"/>
        <v>124.54910912134501</v>
      </c>
      <c r="L170" s="9">
        <f t="shared" si="168"/>
        <v>141.06544199039129</v>
      </c>
      <c r="M170" s="9">
        <f t="shared" si="168"/>
        <v>158.09387185590228</v>
      </c>
      <c r="N170" s="9">
        <f t="shared" si="168"/>
        <v>175.64682134553883</v>
      </c>
      <c r="O170" s="9">
        <f t="shared" si="168"/>
        <v>193.73698403672688</v>
      </c>
      <c r="P170" s="9">
        <f t="shared" si="168"/>
        <v>212.37733002475892</v>
      </c>
      <c r="Q170" s="9">
        <f t="shared" si="168"/>
        <v>231.58111160105645</v>
      </c>
      <c r="R170" s="9">
        <f t="shared" si="168"/>
        <v>251.36186904371974</v>
      </c>
      <c r="S170" s="9">
        <f t="shared" si="168"/>
        <v>271.73343652252623</v>
      </c>
      <c r="T170" s="9">
        <f t="shared" si="168"/>
        <v>292.70994812058086</v>
      </c>
      <c r="U170" s="9">
        <f t="shared" si="168"/>
        <v>314.3058439748678</v>
      </c>
      <c r="V170" s="9">
        <f t="shared" si="168"/>
        <v>336.53587653798763</v>
      </c>
      <c r="W170" s="9">
        <f t="shared" si="168"/>
        <v>359.41511696341331</v>
      </c>
      <c r="X170" s="9">
        <f t="shared" si="168"/>
        <v>382.95896161664126</v>
      </c>
      <c r="Y170" s="9">
        <f t="shared" si="168"/>
        <v>407.18313871465551</v>
      </c>
      <c r="Z170" s="9">
        <f t="shared" si="168"/>
        <v>432.10371509617448</v>
      </c>
      <c r="AA170" s="9">
        <f t="shared" si="168"/>
        <v>457.73710312518773</v>
      </c>
      <c r="AB170" s="9">
        <f t="shared" si="168"/>
        <v>484.10006773034945</v>
      </c>
      <c r="AC170" s="9">
        <f t="shared" si="168"/>
        <v>511.20973358282913</v>
      </c>
      <c r="AD170" s="9">
        <f t="shared" si="168"/>
        <v>539.08359241528387</v>
      </c>
      <c r="AE170" s="9">
        <f t="shared" si="168"/>
        <v>567.73951048465392</v>
      </c>
      <c r="AF170" s="9">
        <f t="shared" si="168"/>
        <v>597.19573618154607</v>
      </c>
      <c r="AG170" s="9">
        <f t="shared" si="168"/>
        <v>627.47090778900952</v>
      </c>
      <c r="AH170" s="9">
        <f t="shared" si="168"/>
        <v>658.58406139356919</v>
      </c>
      <c r="AI170" s="9">
        <f t="shared" si="168"/>
        <v>690.55463895143714</v>
      </c>
      <c r="AJ170" s="9">
        <f t="shared" si="168"/>
        <v>723.40249651287206</v>
      </c>
      <c r="AK170" s="9">
        <f t="shared" si="168"/>
        <v>757.14791260770926</v>
      </c>
      <c r="AL170" s="9">
        <f t="shared" si="168"/>
        <v>791.81159679515952</v>
      </c>
      <c r="AM170" s="9">
        <f t="shared" si="168"/>
        <v>827.41469838100875</v>
      </c>
      <c r="AN170" s="9">
        <f t="shared" si="168"/>
        <v>863.97881530542134</v>
      </c>
      <c r="AO170" s="9">
        <f t="shared" si="168"/>
        <v>901.5260032046175</v>
      </c>
      <c r="AP170" s="9">
        <f t="shared" si="168"/>
        <v>940.07878464974033</v>
      </c>
      <c r="AQ170" s="9">
        <f t="shared" si="168"/>
        <v>979.66015856630349</v>
      </c>
    </row>
    <row r="171" spans="1:43" hidden="1" outlineLevel="5">
      <c r="A171" s="2"/>
      <c r="B171" s="2"/>
      <c r="C171" s="2"/>
      <c r="D171" s="2"/>
      <c r="E171" s="2"/>
      <c r="F171" s="2" t="s">
        <v>436</v>
      </c>
      <c r="G171" s="2"/>
      <c r="H171" s="9">
        <f t="shared" ref="H171:AQ171" si="169">H165</f>
        <v>950</v>
      </c>
      <c r="I171" s="9">
        <f t="shared" si="169"/>
        <v>953.11005279308893</v>
      </c>
      <c r="J171" s="9">
        <f t="shared" si="169"/>
        <v>956.23028708973141</v>
      </c>
      <c r="K171" s="9">
        <f t="shared" si="169"/>
        <v>959.36073622152037</v>
      </c>
      <c r="L171" s="9">
        <f t="shared" si="169"/>
        <v>962.50143362916833</v>
      </c>
      <c r="M171" s="9">
        <f t="shared" si="169"/>
        <v>965.65241286286357</v>
      </c>
      <c r="N171" s="9">
        <f t="shared" si="169"/>
        <v>968.81370758262915</v>
      </c>
      <c r="O171" s="9">
        <f t="shared" si="169"/>
        <v>971.98535155868194</v>
      </c>
      <c r="P171" s="9">
        <f t="shared" si="169"/>
        <v>975.16737867179404</v>
      </c>
      <c r="Q171" s="9">
        <f t="shared" si="169"/>
        <v>978.35982291365451</v>
      </c>
      <c r="R171" s="9">
        <f t="shared" si="169"/>
        <v>981.56271838723217</v>
      </c>
      <c r="S171" s="9">
        <f t="shared" si="169"/>
        <v>984.7760993071397</v>
      </c>
      <c r="T171" s="9">
        <f t="shared" si="169"/>
        <v>988</v>
      </c>
      <c r="U171" s="9">
        <f t="shared" si="169"/>
        <v>991.23445490481265</v>
      </c>
      <c r="V171" s="9">
        <f t="shared" si="169"/>
        <v>994.4794985733206</v>
      </c>
      <c r="W171" s="9">
        <f t="shared" si="169"/>
        <v>997.73516567038132</v>
      </c>
      <c r="X171" s="9">
        <f t="shared" si="169"/>
        <v>1001.0014909743352</v>
      </c>
      <c r="Y171" s="9">
        <f t="shared" si="169"/>
        <v>1004.2785093773783</v>
      </c>
      <c r="Z171" s="9">
        <f t="shared" si="169"/>
        <v>1007.5662558859344</v>
      </c>
      <c r="AA171" s="9">
        <f t="shared" si="169"/>
        <v>1010.8647656210292</v>
      </c>
      <c r="AB171" s="9">
        <f t="shared" si="169"/>
        <v>1014.174073818666</v>
      </c>
      <c r="AC171" s="9">
        <f t="shared" si="169"/>
        <v>1017.4942158302008</v>
      </c>
      <c r="AD171" s="9">
        <f t="shared" si="169"/>
        <v>1020.8252271227215</v>
      </c>
      <c r="AE171" s="9">
        <f t="shared" si="169"/>
        <v>1024.1671432794253</v>
      </c>
      <c r="AF171" s="9">
        <f t="shared" si="169"/>
        <v>1027.5200000000002</v>
      </c>
      <c r="AG171" s="9">
        <f t="shared" si="169"/>
        <v>1030.8838331010049</v>
      </c>
      <c r="AH171" s="9">
        <f t="shared" si="169"/>
        <v>1034.2586785162534</v>
      </c>
      <c r="AI171" s="9">
        <f t="shared" si="169"/>
        <v>1037.6445722971966</v>
      </c>
      <c r="AJ171" s="9">
        <f t="shared" si="169"/>
        <v>1041.0415506133086</v>
      </c>
      <c r="AK171" s="9">
        <f t="shared" si="169"/>
        <v>1044.4496497524735</v>
      </c>
      <c r="AL171" s="9">
        <f t="shared" si="169"/>
        <v>1047.8689061213718</v>
      </c>
      <c r="AM171" s="9">
        <f t="shared" si="169"/>
        <v>1051.2993562458705</v>
      </c>
      <c r="AN171" s="9">
        <f t="shared" si="169"/>
        <v>1054.7410367714126</v>
      </c>
      <c r="AO171" s="9">
        <f t="shared" si="169"/>
        <v>1058.1939844634087</v>
      </c>
      <c r="AP171" s="9">
        <f t="shared" si="169"/>
        <v>1061.6582362076301</v>
      </c>
      <c r="AQ171" s="9">
        <f t="shared" si="169"/>
        <v>1065.1338290106023</v>
      </c>
    </row>
    <row r="172" spans="1:43" hidden="1" outlineLevel="4" collapsed="1">
      <c r="A172" s="2"/>
      <c r="B172" s="2"/>
      <c r="C172" s="2"/>
      <c r="D172" s="2"/>
      <c r="E172" s="2" t="s">
        <v>439</v>
      </c>
      <c r="F172" s="2"/>
      <c r="G172" s="2"/>
      <c r="H172" s="9">
        <f t="shared" ref="H172:AQ172" si="170">(H173*H174)</f>
        <v>8982.1365474802515</v>
      </c>
      <c r="I172" s="9">
        <f t="shared" si="170"/>
        <v>10837.132741093048</v>
      </c>
      <c r="J172" s="9">
        <f t="shared" si="170"/>
        <v>12758.45238912182</v>
      </c>
      <c r="K172" s="9">
        <f t="shared" si="170"/>
        <v>14747.924792682346</v>
      </c>
      <c r="L172" s="9">
        <f t="shared" si="170"/>
        <v>16807.424369292788</v>
      </c>
      <c r="M172" s="9">
        <f t="shared" si="170"/>
        <v>18938.871697709394</v>
      </c>
      <c r="N172" s="9">
        <f t="shared" si="170"/>
        <v>21144.234585998285</v>
      </c>
      <c r="O172" s="9">
        <f t="shared" si="170"/>
        <v>23425.529163345567</v>
      </c>
      <c r="P172" s="9">
        <f t="shared" si="170"/>
        <v>25784.820996118851</v>
      </c>
      <c r="Q172" s="9">
        <f t="shared" si="170"/>
        <v>28224.226228703796</v>
      </c>
      <c r="R172" s="9">
        <f t="shared" si="170"/>
        <v>30745.912749650674</v>
      </c>
      <c r="S172" s="9">
        <f t="shared" si="170"/>
        <v>33352.101383677182</v>
      </c>
      <c r="T172" s="9">
        <f t="shared" si="170"/>
        <v>36045.067110085285</v>
      </c>
      <c r="U172" s="9">
        <f t="shared" si="170"/>
        <v>38827.14030816147</v>
      </c>
      <c r="V172" s="9">
        <f t="shared" si="170"/>
        <v>41700.708030142196</v>
      </c>
      <c r="W172" s="9">
        <f t="shared" si="170"/>
        <v>44668.215302338329</v>
      </c>
      <c r="X172" s="9">
        <f t="shared" si="170"/>
        <v>47732.166455024781</v>
      </c>
      <c r="Y172" s="9">
        <f t="shared" si="170"/>
        <v>50895.126481714913</v>
      </c>
      <c r="Z172" s="9">
        <f t="shared" si="170"/>
        <v>54159.722428451823</v>
      </c>
      <c r="AA172" s="9">
        <f t="shared" si="170"/>
        <v>57528.644813761755</v>
      </c>
      <c r="AB172" s="9">
        <f t="shared" si="170"/>
        <v>61004.649079929783</v>
      </c>
      <c r="AC172" s="9">
        <f t="shared" si="170"/>
        <v>64590.557076269622</v>
      </c>
      <c r="AD172" s="9">
        <f t="shared" si="170"/>
        <v>68289.258575076266</v>
      </c>
      <c r="AE172" s="9">
        <f t="shared" si="170"/>
        <v>72103.712820961722</v>
      </c>
      <c r="AF172" s="9">
        <f t="shared" si="170"/>
        <v>76036.950114292238</v>
      </c>
      <c r="AG172" s="9">
        <f t="shared" si="170"/>
        <v>80092.07342945697</v>
      </c>
      <c r="AH172" s="9">
        <f t="shared" si="170"/>
        <v>84272.260068716118</v>
      </c>
      <c r="AI172" s="9">
        <f t="shared" si="170"/>
        <v>88580.763352390975</v>
      </c>
      <c r="AJ172" s="9">
        <f t="shared" si="170"/>
        <v>93020.914346175137</v>
      </c>
      <c r="AK172" s="9">
        <f t="shared" si="170"/>
        <v>97596.123626361601</v>
      </c>
      <c r="AL172" s="9">
        <f t="shared" si="170"/>
        <v>102309.88308379769</v>
      </c>
      <c r="AM172" s="9">
        <f t="shared" si="170"/>
        <v>107165.76776739754</v>
      </c>
      <c r="AN172" s="9">
        <f t="shared" si="170"/>
        <v>112167.43776805747</v>
      </c>
      <c r="AO172" s="9">
        <f t="shared" si="170"/>
        <v>117318.64014383964</v>
      </c>
      <c r="AP172" s="9">
        <f t="shared" si="170"/>
        <v>122623.21088730493</v>
      </c>
      <c r="AQ172" s="9">
        <f t="shared" si="170"/>
        <v>128085.07693589754</v>
      </c>
    </row>
    <row r="173" spans="1:43" hidden="1" outlineLevel="5">
      <c r="A173" s="2"/>
      <c r="B173" s="2"/>
      <c r="C173" s="2"/>
      <c r="D173" s="2"/>
      <c r="E173" s="2"/>
      <c r="F173" s="2" t="s">
        <v>386</v>
      </c>
      <c r="G173" s="2"/>
      <c r="H173" s="9">
        <f t="shared" ref="H173:AQ173" si="171">H78</f>
        <v>9.4548805762950021</v>
      </c>
      <c r="I173" s="9">
        <f t="shared" si="171"/>
        <v>11.370284794851163</v>
      </c>
      <c r="J173" s="9">
        <f t="shared" si="171"/>
        <v>13.34244748506338</v>
      </c>
      <c r="K173" s="9">
        <f t="shared" si="171"/>
        <v>15.372658308664604</v>
      </c>
      <c r="L173" s="9">
        <f t="shared" si="171"/>
        <v>17.462233075247905</v>
      </c>
      <c r="M173" s="9">
        <f t="shared" si="171"/>
        <v>19.612514239529979</v>
      </c>
      <c r="N173" s="9">
        <f t="shared" si="171"/>
        <v>21.824871407690022</v>
      </c>
      <c r="O173" s="9">
        <f t="shared" si="171"/>
        <v>24.100701852944841</v>
      </c>
      <c r="P173" s="9">
        <f t="shared" si="171"/>
        <v>26.441431040524055</v>
      </c>
      <c r="Q173" s="9">
        <f t="shared" si="171"/>
        <v>28.848513162211827</v>
      </c>
      <c r="R173" s="9">
        <f t="shared" si="171"/>
        <v>31.323431680624644</v>
      </c>
      <c r="S173" s="9">
        <f t="shared" si="171"/>
        <v>33.867699883397627</v>
      </c>
      <c r="T173" s="9">
        <f t="shared" si="171"/>
        <v>36.482861447454745</v>
      </c>
      <c r="U173" s="9">
        <f t="shared" si="171"/>
        <v>39.170491013541294</v>
      </c>
      <c r="V173" s="9">
        <f t="shared" si="171"/>
        <v>41.932194771200408</v>
      </c>
      <c r="W173" s="9">
        <f t="shared" si="171"/>
        <v>44.769611054377961</v>
      </c>
      <c r="X173" s="9">
        <f t="shared" si="171"/>
        <v>47.684410947844022</v>
      </c>
      <c r="Y173" s="9">
        <f t="shared" si="171"/>
        <v>50.678298904621904</v>
      </c>
      <c r="Z173" s="9">
        <f t="shared" si="171"/>
        <v>53.7530133746194</v>
      </c>
      <c r="AA173" s="9">
        <f t="shared" si="171"/>
        <v>56.910327444659508</v>
      </c>
      <c r="AB173" s="9">
        <f t="shared" si="171"/>
        <v>60.152049490112873</v>
      </c>
      <c r="AC173" s="9">
        <f t="shared" si="171"/>
        <v>63.480023838335491</v>
      </c>
      <c r="AD173" s="9">
        <f t="shared" si="171"/>
        <v>66.896131444121011</v>
      </c>
      <c r="AE173" s="9">
        <f t="shared" si="171"/>
        <v>70.40229057737848</v>
      </c>
      <c r="AF173" s="9">
        <f t="shared" si="171"/>
        <v>74.000457523252322</v>
      </c>
      <c r="AG173" s="9">
        <f t="shared" si="171"/>
        <v>77.692627294902621</v>
      </c>
      <c r="AH173" s="9">
        <f t="shared" si="171"/>
        <v>81.480834359169236</v>
      </c>
      <c r="AI173" s="9">
        <f t="shared" si="171"/>
        <v>85.367153375346859</v>
      </c>
      <c r="AJ173" s="9">
        <f t="shared" si="171"/>
        <v>89.353699947301578</v>
      </c>
      <c r="AK173" s="9">
        <f t="shared" si="171"/>
        <v>93.442631389163779</v>
      </c>
      <c r="AL173" s="9">
        <f t="shared" si="171"/>
        <v>97.636147504836273</v>
      </c>
      <c r="AM173" s="9">
        <f t="shared" si="171"/>
        <v>101.93649138156074</v>
      </c>
      <c r="AN173" s="9">
        <f t="shared" si="171"/>
        <v>106.34595019778946</v>
      </c>
      <c r="AO173" s="9">
        <f t="shared" si="171"/>
        <v>110.8668560456142</v>
      </c>
      <c r="AP173" s="9">
        <f t="shared" si="171"/>
        <v>115.50158676800706</v>
      </c>
      <c r="AQ173" s="9">
        <f t="shared" si="171"/>
        <v>120.25256681113504</v>
      </c>
    </row>
    <row r="174" spans="1:43" hidden="1" outlineLevel="5">
      <c r="A174" s="2"/>
      <c r="B174" s="2"/>
      <c r="C174" s="2"/>
      <c r="D174" s="2"/>
      <c r="E174" s="2"/>
      <c r="F174" s="2" t="s">
        <v>436</v>
      </c>
      <c r="G174" s="2"/>
      <c r="H174" s="9">
        <f t="shared" ref="H174:AQ174" si="172">H165</f>
        <v>950</v>
      </c>
      <c r="I174" s="9">
        <f t="shared" si="172"/>
        <v>953.11005279308893</v>
      </c>
      <c r="J174" s="9">
        <f t="shared" si="172"/>
        <v>956.23028708973141</v>
      </c>
      <c r="K174" s="9">
        <f t="shared" si="172"/>
        <v>959.36073622152037</v>
      </c>
      <c r="L174" s="9">
        <f t="shared" si="172"/>
        <v>962.50143362916833</v>
      </c>
      <c r="M174" s="9">
        <f t="shared" si="172"/>
        <v>965.65241286286357</v>
      </c>
      <c r="N174" s="9">
        <f t="shared" si="172"/>
        <v>968.81370758262915</v>
      </c>
      <c r="O174" s="9">
        <f t="shared" si="172"/>
        <v>971.98535155868194</v>
      </c>
      <c r="P174" s="9">
        <f t="shared" si="172"/>
        <v>975.16737867179404</v>
      </c>
      <c r="Q174" s="9">
        <f t="shared" si="172"/>
        <v>978.35982291365451</v>
      </c>
      <c r="R174" s="9">
        <f t="shared" si="172"/>
        <v>981.56271838723217</v>
      </c>
      <c r="S174" s="9">
        <f t="shared" si="172"/>
        <v>984.7760993071397</v>
      </c>
      <c r="T174" s="9">
        <f t="shared" si="172"/>
        <v>988</v>
      </c>
      <c r="U174" s="9">
        <f t="shared" si="172"/>
        <v>991.23445490481265</v>
      </c>
      <c r="V174" s="9">
        <f t="shared" si="172"/>
        <v>994.4794985733206</v>
      </c>
      <c r="W174" s="9">
        <f t="shared" si="172"/>
        <v>997.73516567038132</v>
      </c>
      <c r="X174" s="9">
        <f t="shared" si="172"/>
        <v>1001.0014909743352</v>
      </c>
      <c r="Y174" s="9">
        <f t="shared" si="172"/>
        <v>1004.2785093773783</v>
      </c>
      <c r="Z174" s="9">
        <f t="shared" si="172"/>
        <v>1007.5662558859344</v>
      </c>
      <c r="AA174" s="9">
        <f t="shared" si="172"/>
        <v>1010.8647656210292</v>
      </c>
      <c r="AB174" s="9">
        <f t="shared" si="172"/>
        <v>1014.174073818666</v>
      </c>
      <c r="AC174" s="9">
        <f t="shared" si="172"/>
        <v>1017.4942158302008</v>
      </c>
      <c r="AD174" s="9">
        <f t="shared" si="172"/>
        <v>1020.8252271227215</v>
      </c>
      <c r="AE174" s="9">
        <f t="shared" si="172"/>
        <v>1024.1671432794253</v>
      </c>
      <c r="AF174" s="9">
        <f t="shared" si="172"/>
        <v>1027.5200000000002</v>
      </c>
      <c r="AG174" s="9">
        <f t="shared" si="172"/>
        <v>1030.8838331010049</v>
      </c>
      <c r="AH174" s="9">
        <f t="shared" si="172"/>
        <v>1034.2586785162534</v>
      </c>
      <c r="AI174" s="9">
        <f t="shared" si="172"/>
        <v>1037.6445722971966</v>
      </c>
      <c r="AJ174" s="9">
        <f t="shared" si="172"/>
        <v>1041.0415506133086</v>
      </c>
      <c r="AK174" s="9">
        <f t="shared" si="172"/>
        <v>1044.4496497524735</v>
      </c>
      <c r="AL174" s="9">
        <f t="shared" si="172"/>
        <v>1047.8689061213718</v>
      </c>
      <c r="AM174" s="9">
        <f t="shared" si="172"/>
        <v>1051.2993562458705</v>
      </c>
      <c r="AN174" s="9">
        <f t="shared" si="172"/>
        <v>1054.7410367714126</v>
      </c>
      <c r="AO174" s="9">
        <f t="shared" si="172"/>
        <v>1058.1939844634087</v>
      </c>
      <c r="AP174" s="9">
        <f t="shared" si="172"/>
        <v>1061.6582362076301</v>
      </c>
      <c r="AQ174" s="9">
        <f t="shared" si="172"/>
        <v>1065.1338290106023</v>
      </c>
    </row>
    <row r="175" spans="1:43" hidden="1" outlineLevel="4" collapsed="1">
      <c r="A175" s="2"/>
      <c r="B175" s="2"/>
      <c r="C175" s="2"/>
      <c r="D175" s="2"/>
      <c r="E175" s="2" t="s">
        <v>440</v>
      </c>
      <c r="F175" s="2"/>
      <c r="G175" s="2"/>
      <c r="H175" s="9">
        <f t="shared" ref="H175:AQ175" si="173">(H176*H177)</f>
        <v>46669.6664762328</v>
      </c>
      <c r="I175" s="9">
        <f t="shared" si="173"/>
        <v>53481.561593826984</v>
      </c>
      <c r="J175" s="9">
        <f t="shared" si="173"/>
        <v>60547.366759524113</v>
      </c>
      <c r="K175" s="9">
        <f t="shared" si="173"/>
        <v>67874.512830871317</v>
      </c>
      <c r="L175" s="9">
        <f t="shared" si="173"/>
        <v>75470.626284864746</v>
      </c>
      <c r="M175" s="9">
        <f t="shared" si="173"/>
        <v>83343.534069036832</v>
      </c>
      <c r="N175" s="9">
        <f t="shared" si="173"/>
        <v>91501.268568312677</v>
      </c>
      <c r="O175" s="9">
        <f t="shared" si="173"/>
        <v>99952.072690323956</v>
      </c>
      <c r="P175" s="9">
        <f t="shared" si="173"/>
        <v>108704.40507193397</v>
      </c>
      <c r="Q175" s="9">
        <f t="shared" si="173"/>
        <v>117766.94540978417</v>
      </c>
      <c r="R175" s="9">
        <f t="shared" si="173"/>
        <v>127148.59991774369</v>
      </c>
      <c r="S175" s="9">
        <f t="shared" si="173"/>
        <v>136858.50691420227</v>
      </c>
      <c r="T175" s="9">
        <f t="shared" si="173"/>
        <v>146906.04254221893</v>
      </c>
      <c r="U175" s="9">
        <f t="shared" si="173"/>
        <v>157300.82662560462</v>
      </c>
      <c r="V175" s="9">
        <f t="shared" si="173"/>
        <v>168052.72866408643</v>
      </c>
      <c r="W175" s="9">
        <f t="shared" si="173"/>
        <v>179171.87397077616</v>
      </c>
      <c r="X175" s="9">
        <f t="shared" si="173"/>
        <v>190668.64995523481</v>
      </c>
      <c r="Y175" s="9">
        <f t="shared" si="173"/>
        <v>202553.71255550173</v>
      </c>
      <c r="Z175" s="9">
        <f t="shared" si="173"/>
        <v>214837.99282253507</v>
      </c>
      <c r="AA175" s="9">
        <f t="shared" si="173"/>
        <v>227532.70366058371</v>
      </c>
      <c r="AB175" s="9">
        <f t="shared" si="173"/>
        <v>240649.34672709592</v>
      </c>
      <c r="AC175" s="9">
        <f t="shared" si="173"/>
        <v>254199.71949584922</v>
      </c>
      <c r="AD175" s="9">
        <f t="shared" si="173"/>
        <v>268195.92248706869</v>
      </c>
      <c r="AE175" s="9">
        <f t="shared" si="173"/>
        <v>282650.36666838848</v>
      </c>
      <c r="AF175" s="9">
        <f t="shared" si="173"/>
        <v>297575.78103059827</v>
      </c>
      <c r="AG175" s="9">
        <f t="shared" si="173"/>
        <v>312985.22034220409</v>
      </c>
      <c r="AH175" s="9">
        <f t="shared" si="173"/>
        <v>328892.07308692392</v>
      </c>
      <c r="AI175" s="9">
        <f t="shared" si="173"/>
        <v>345310.06958833797</v>
      </c>
      <c r="AJ175" s="9">
        <f t="shared" si="173"/>
        <v>362253.29032599798</v>
      </c>
      <c r="AK175" s="9">
        <f t="shared" si="173"/>
        <v>379736.17444740824</v>
      </c>
      <c r="AL175" s="9">
        <f t="shared" si="173"/>
        <v>397773.52848038502</v>
      </c>
      <c r="AM175" s="9">
        <f t="shared" si="173"/>
        <v>416380.53525040281</v>
      </c>
      <c r="AN175" s="9">
        <f t="shared" si="173"/>
        <v>435572.76300764189</v>
      </c>
      <c r="AO175" s="9">
        <f t="shared" si="173"/>
        <v>455366.17476856086</v>
      </c>
      <c r="AP175" s="9">
        <f t="shared" si="173"/>
        <v>475777.13787691738</v>
      </c>
      <c r="AQ175" s="9">
        <f t="shared" si="173"/>
        <v>496822.43378928519</v>
      </c>
    </row>
    <row r="176" spans="1:43" hidden="1" outlineLevel="5">
      <c r="A176" s="2"/>
      <c r="B176" s="2"/>
      <c r="C176" s="2"/>
      <c r="D176" s="2"/>
      <c r="E176" s="2"/>
      <c r="F176" s="2" t="s">
        <v>350</v>
      </c>
      <c r="G176" s="2"/>
      <c r="H176" s="9">
        <f t="shared" ref="H176:AQ176" si="174">H36</f>
        <v>49.125964711823997</v>
      </c>
      <c r="I176" s="9">
        <f t="shared" si="174"/>
        <v>56.112682304734143</v>
      </c>
      <c r="J176" s="9">
        <f t="shared" si="174"/>
        <v>63.318813027559358</v>
      </c>
      <c r="K176" s="9">
        <f t="shared" si="174"/>
        <v>70.749729760879859</v>
      </c>
      <c r="L176" s="9">
        <f t="shared" si="174"/>
        <v>78.410923504080728</v>
      </c>
      <c r="M176" s="9">
        <f t="shared" si="174"/>
        <v>86.308005819556527</v>
      </c>
      <c r="N176" s="9">
        <f t="shared" si="174"/>
        <v>94.446711325570945</v>
      </c>
      <c r="O176" s="9">
        <f t="shared" si="174"/>
        <v>102.83290023871263</v>
      </c>
      <c r="P176" s="9">
        <f t="shared" si="174"/>
        <v>111.47256096691062</v>
      </c>
      <c r="Q176" s="9">
        <f t="shared" si="174"/>
        <v>120.37181275398481</v>
      </c>
      <c r="R176" s="9">
        <f t="shared" si="174"/>
        <v>129.53690837673281</v>
      </c>
      <c r="S176" s="9">
        <f t="shared" si="174"/>
        <v>138.97423689556641</v>
      </c>
      <c r="T176" s="9">
        <f t="shared" si="174"/>
        <v>148.69032645973576</v>
      </c>
      <c r="U176" s="9">
        <f t="shared" si="174"/>
        <v>158.69184716819603</v>
      </c>
      <c r="V176" s="9">
        <f t="shared" si="174"/>
        <v>168.98561398719102</v>
      </c>
      <c r="W176" s="9">
        <f t="shared" si="174"/>
        <v>179.57858972565131</v>
      </c>
      <c r="X176" s="9">
        <f t="shared" si="174"/>
        <v>190.47788806952275</v>
      </c>
      <c r="Y176" s="9">
        <f t="shared" si="174"/>
        <v>201.69077667616205</v>
      </c>
      <c r="Z176" s="9">
        <f t="shared" si="174"/>
        <v>213.22468032996201</v>
      </c>
      <c r="AA176" s="9">
        <f t="shared" si="174"/>
        <v>225.08718416038371</v>
      </c>
      <c r="AB176" s="9">
        <f t="shared" si="174"/>
        <v>237.2860369236021</v>
      </c>
      <c r="AC176" s="9">
        <f t="shared" si="174"/>
        <v>249.82915434899141</v>
      </c>
      <c r="AD176" s="9">
        <f t="shared" si="174"/>
        <v>262.7246225516983</v>
      </c>
      <c r="AE176" s="9">
        <f t="shared" si="174"/>
        <v>275.9807015125777</v>
      </c>
      <c r="AF176" s="9">
        <f t="shared" si="174"/>
        <v>289.60582862678899</v>
      </c>
      <c r="AG176" s="9">
        <f t="shared" si="174"/>
        <v>303.60862232237383</v>
      </c>
      <c r="AH176" s="9">
        <f t="shared" si="174"/>
        <v>317.99788575016089</v>
      </c>
      <c r="AI176" s="9">
        <f t="shared" si="174"/>
        <v>332.78261054637511</v>
      </c>
      <c r="AJ176" s="9">
        <f t="shared" si="174"/>
        <v>347.97198066934385</v>
      </c>
      <c r="AK176" s="9">
        <f t="shared" si="174"/>
        <v>363.57537631172818</v>
      </c>
      <c r="AL176" s="9">
        <f t="shared" si="174"/>
        <v>379.60237788973194</v>
      </c>
      <c r="AM176" s="9">
        <f t="shared" si="174"/>
        <v>396.0627701107644</v>
      </c>
      <c r="AN176" s="9">
        <f t="shared" si="174"/>
        <v>412.96654612106539</v>
      </c>
      <c r="AO176" s="9">
        <f t="shared" si="174"/>
        <v>430.32391173483086</v>
      </c>
      <c r="AP176" s="9">
        <f t="shared" si="174"/>
        <v>448.14528974639717</v>
      </c>
      <c r="AQ176" s="9">
        <f t="shared" si="174"/>
        <v>466.44132432708591</v>
      </c>
    </row>
    <row r="177" spans="1:43" hidden="1" outlineLevel="5">
      <c r="A177" s="2"/>
      <c r="B177" s="2"/>
      <c r="C177" s="2"/>
      <c r="D177" s="2"/>
      <c r="E177" s="2"/>
      <c r="F177" s="2" t="s">
        <v>436</v>
      </c>
      <c r="G177" s="2"/>
      <c r="H177" s="9">
        <f t="shared" ref="H177:AQ177" si="175">H165</f>
        <v>950</v>
      </c>
      <c r="I177" s="9">
        <f t="shared" si="175"/>
        <v>953.11005279308893</v>
      </c>
      <c r="J177" s="9">
        <f t="shared" si="175"/>
        <v>956.23028708973141</v>
      </c>
      <c r="K177" s="9">
        <f t="shared" si="175"/>
        <v>959.36073622152037</v>
      </c>
      <c r="L177" s="9">
        <f t="shared" si="175"/>
        <v>962.50143362916833</v>
      </c>
      <c r="M177" s="9">
        <f t="shared" si="175"/>
        <v>965.65241286286357</v>
      </c>
      <c r="N177" s="9">
        <f t="shared" si="175"/>
        <v>968.81370758262915</v>
      </c>
      <c r="O177" s="9">
        <f t="shared" si="175"/>
        <v>971.98535155868194</v>
      </c>
      <c r="P177" s="9">
        <f t="shared" si="175"/>
        <v>975.16737867179404</v>
      </c>
      <c r="Q177" s="9">
        <f t="shared" si="175"/>
        <v>978.35982291365451</v>
      </c>
      <c r="R177" s="9">
        <f t="shared" si="175"/>
        <v>981.56271838723217</v>
      </c>
      <c r="S177" s="9">
        <f t="shared" si="175"/>
        <v>984.7760993071397</v>
      </c>
      <c r="T177" s="9">
        <f t="shared" si="175"/>
        <v>988</v>
      </c>
      <c r="U177" s="9">
        <f t="shared" si="175"/>
        <v>991.23445490481265</v>
      </c>
      <c r="V177" s="9">
        <f t="shared" si="175"/>
        <v>994.4794985733206</v>
      </c>
      <c r="W177" s="9">
        <f t="shared" si="175"/>
        <v>997.73516567038132</v>
      </c>
      <c r="X177" s="9">
        <f t="shared" si="175"/>
        <v>1001.0014909743352</v>
      </c>
      <c r="Y177" s="9">
        <f t="shared" si="175"/>
        <v>1004.2785093773783</v>
      </c>
      <c r="Z177" s="9">
        <f t="shared" si="175"/>
        <v>1007.5662558859344</v>
      </c>
      <c r="AA177" s="9">
        <f t="shared" si="175"/>
        <v>1010.8647656210292</v>
      </c>
      <c r="AB177" s="9">
        <f t="shared" si="175"/>
        <v>1014.174073818666</v>
      </c>
      <c r="AC177" s="9">
        <f t="shared" si="175"/>
        <v>1017.4942158302008</v>
      </c>
      <c r="AD177" s="9">
        <f t="shared" si="175"/>
        <v>1020.8252271227215</v>
      </c>
      <c r="AE177" s="9">
        <f t="shared" si="175"/>
        <v>1024.1671432794253</v>
      </c>
      <c r="AF177" s="9">
        <f t="shared" si="175"/>
        <v>1027.5200000000002</v>
      </c>
      <c r="AG177" s="9">
        <f t="shared" si="175"/>
        <v>1030.8838331010049</v>
      </c>
      <c r="AH177" s="9">
        <f t="shared" si="175"/>
        <v>1034.2586785162534</v>
      </c>
      <c r="AI177" s="9">
        <f t="shared" si="175"/>
        <v>1037.6445722971966</v>
      </c>
      <c r="AJ177" s="9">
        <f t="shared" si="175"/>
        <v>1041.0415506133086</v>
      </c>
      <c r="AK177" s="9">
        <f t="shared" si="175"/>
        <v>1044.4496497524735</v>
      </c>
      <c r="AL177" s="9">
        <f t="shared" si="175"/>
        <v>1047.8689061213718</v>
      </c>
      <c r="AM177" s="9">
        <f t="shared" si="175"/>
        <v>1051.2993562458705</v>
      </c>
      <c r="AN177" s="9">
        <f t="shared" si="175"/>
        <v>1054.7410367714126</v>
      </c>
      <c r="AO177" s="9">
        <f t="shared" si="175"/>
        <v>1058.1939844634087</v>
      </c>
      <c r="AP177" s="9">
        <f t="shared" si="175"/>
        <v>1061.6582362076301</v>
      </c>
      <c r="AQ177" s="9">
        <f t="shared" si="175"/>
        <v>1065.1338290106023</v>
      </c>
    </row>
    <row r="178" spans="1:43" hidden="1" outlineLevel="4" collapsed="1">
      <c r="A178" s="2"/>
      <c r="B178" s="2"/>
      <c r="C178" s="2"/>
      <c r="D178" s="2"/>
      <c r="E178" s="2" t="s">
        <v>441</v>
      </c>
      <c r="F178" s="2"/>
      <c r="G178" s="2"/>
      <c r="H178" s="9">
        <f t="shared" ref="H178:AQ178" si="176">(H179*H180)</f>
        <v>3146.3989535270248</v>
      </c>
      <c r="I178" s="9">
        <f t="shared" si="176"/>
        <v>3578.1400362117329</v>
      </c>
      <c r="J178" s="9">
        <f t="shared" si="176"/>
        <v>4025.3035582010871</v>
      </c>
      <c r="K178" s="9">
        <f t="shared" si="176"/>
        <v>4488.3201575926832</v>
      </c>
      <c r="L178" s="9">
        <f t="shared" si="176"/>
        <v>4967.6312418689104</v>
      </c>
      <c r="M178" s="9">
        <f t="shared" si="176"/>
        <v>5463.6892406395573</v>
      </c>
      <c r="N178" s="9">
        <f t="shared" si="176"/>
        <v>5976.957864074112</v>
      </c>
      <c r="O178" s="9">
        <f t="shared" si="176"/>
        <v>6507.912367148022</v>
      </c>
      <c r="P178" s="9">
        <f t="shared" si="176"/>
        <v>7057.0398198300427</v>
      </c>
      <c r="Q178" s="9">
        <f t="shared" si="176"/>
        <v>7624.8393833402924</v>
      </c>
      <c r="R178" s="9">
        <f t="shared" si="176"/>
        <v>8211.8225926116029</v>
      </c>
      <c r="S178" s="9">
        <f t="shared" si="176"/>
        <v>8818.5136450894825</v>
      </c>
      <c r="T178" s="9">
        <f t="shared" si="176"/>
        <v>9445.4496960088836</v>
      </c>
      <c r="U178" s="9">
        <f t="shared" si="176"/>
        <v>10093.181160289016</v>
      </c>
      <c r="V178" s="9">
        <f t="shared" si="176"/>
        <v>10762.272021190307</v>
      </c>
      <c r="W178" s="9">
        <f t="shared" si="176"/>
        <v>11453.300145880849</v>
      </c>
      <c r="X178" s="9">
        <f t="shared" si="176"/>
        <v>12166.857608062734</v>
      </c>
      <c r="Y178" s="9">
        <f t="shared" si="176"/>
        <v>12903.551017811769</v>
      </c>
      <c r="Z178" s="9">
        <f t="shared" si="176"/>
        <v>13664.001858787675</v>
      </c>
      <c r="AA178" s="9">
        <f t="shared" si="176"/>
        <v>14448.846832974725</v>
      </c>
      <c r="AB178" s="9">
        <f t="shared" si="176"/>
        <v>15258.738213116725</v>
      </c>
      <c r="AC178" s="9">
        <f t="shared" si="176"/>
        <v>16094.344203013205</v>
      </c>
      <c r="AD178" s="9">
        <f t="shared" si="176"/>
        <v>16956.349305847718</v>
      </c>
      <c r="AE178" s="9">
        <f t="shared" si="176"/>
        <v>17845.454700722366</v>
      </c>
      <c r="AF178" s="9">
        <f t="shared" si="176"/>
        <v>18762.378627576709</v>
      </c>
      <c r="AG178" s="9">
        <f t="shared" si="176"/>
        <v>19707.856780672759</v>
      </c>
      <c r="AH178" s="9">
        <f t="shared" si="176"/>
        <v>20682.642710831795</v>
      </c>
      <c r="AI178" s="9">
        <f t="shared" si="176"/>
        <v>21687.508236612433</v>
      </c>
      <c r="AJ178" s="9">
        <f t="shared" si="176"/>
        <v>22723.243864623921</v>
      </c>
      <c r="AK178" s="9">
        <f t="shared" si="176"/>
        <v>23790.659219171928</v>
      </c>
      <c r="AL178" s="9">
        <f t="shared" si="176"/>
        <v>24890.583481439229</v>
      </c>
      <c r="AM178" s="9">
        <f t="shared" si="176"/>
        <v>26023.865838407259</v>
      </c>
      <c r="AN178" s="9">
        <f t="shared" si="176"/>
        <v>27191.375941728977</v>
      </c>
      <c r="AO178" s="9">
        <f t="shared" si="176"/>
        <v>28394.00437676864</v>
      </c>
      <c r="AP178" s="9">
        <f t="shared" si="176"/>
        <v>29632.663142027424</v>
      </c>
      <c r="AQ178" s="9">
        <f t="shared" si="176"/>
        <v>30908.286139179727</v>
      </c>
    </row>
    <row r="179" spans="1:43" hidden="1" outlineLevel="5">
      <c r="A179" s="2"/>
      <c r="B179" s="2"/>
      <c r="C179" s="2"/>
      <c r="D179" s="2"/>
      <c r="E179" s="2"/>
      <c r="F179" s="2" t="s">
        <v>395</v>
      </c>
      <c r="G179" s="2"/>
      <c r="H179" s="9">
        <f t="shared" ref="H179:AQ179" si="177">H89</f>
        <v>3.3119988984494997</v>
      </c>
      <c r="I179" s="9">
        <f t="shared" si="177"/>
        <v>3.7541730104786892</v>
      </c>
      <c r="J179" s="9">
        <f t="shared" si="177"/>
        <v>4.2095545524415687</v>
      </c>
      <c r="K179" s="9">
        <f t="shared" si="177"/>
        <v>4.6784488755190328</v>
      </c>
      <c r="L179" s="9">
        <f t="shared" si="177"/>
        <v>5.1611676287464467</v>
      </c>
      <c r="M179" s="9">
        <f t="shared" si="177"/>
        <v>5.6580288806418375</v>
      </c>
      <c r="N179" s="9">
        <f t="shared" si="177"/>
        <v>6.1693572430841597</v>
      </c>
      <c r="O179" s="9">
        <f t="shared" si="177"/>
        <v>6.6954839974819498</v>
      </c>
      <c r="P179" s="9">
        <f t="shared" si="177"/>
        <v>7.2367472232735404</v>
      </c>
      <c r="Q179" s="9">
        <f t="shared" si="177"/>
        <v>7.79349192880054</v>
      </c>
      <c r="R179" s="9">
        <f t="shared" si="177"/>
        <v>8.3660701845972021</v>
      </c>
      <c r="S179" s="9">
        <f t="shared" si="177"/>
        <v>8.9548412591389415</v>
      </c>
      <c r="T179" s="9">
        <f t="shared" si="177"/>
        <v>9.560171757094011</v>
      </c>
      <c r="U179" s="9">
        <f t="shared" si="177"/>
        <v>10.182435760123225</v>
      </c>
      <c r="V179" s="9">
        <f t="shared" si="177"/>
        <v>10.822014970273246</v>
      </c>
      <c r="W179" s="9">
        <f t="shared" si="177"/>
        <v>11.479298856009892</v>
      </c>
      <c r="X179" s="9">
        <f t="shared" si="177"/>
        <v>12.154684800938705</v>
      </c>
      <c r="Y179" s="9">
        <f t="shared" si="177"/>
        <v>12.848578255260657</v>
      </c>
      <c r="Z179" s="9">
        <f t="shared" si="177"/>
        <v>13.561392890012151</v>
      </c>
      <c r="AA179" s="9">
        <f t="shared" si="177"/>
        <v>14.293550754138723</v>
      </c>
      <c r="AB179" s="9">
        <f t="shared" si="177"/>
        <v>15.045482434453341</v>
      </c>
      <c r="AC179" s="9">
        <f t="shared" si="177"/>
        <v>15.817627218530571</v>
      </c>
      <c r="AD179" s="9">
        <f t="shared" si="177"/>
        <v>16.610433260589144</v>
      </c>
      <c r="AE179" s="9">
        <f t="shared" si="177"/>
        <v>17.424357750416096</v>
      </c>
      <c r="AF179" s="9">
        <f t="shared" si="177"/>
        <v>18.259867085386858</v>
      </c>
      <c r="AG179" s="9">
        <f t="shared" si="177"/>
        <v>19.117437045636358</v>
      </c>
      <c r="AH179" s="9">
        <f t="shared" si="177"/>
        <v>19.997552972437315</v>
      </c>
      <c r="AI179" s="9">
        <f t="shared" si="177"/>
        <v>20.900709949842838</v>
      </c>
      <c r="AJ179" s="9">
        <f t="shared" si="177"/>
        <v>21.827412989651549</v>
      </c>
      <c r="AK179" s="9">
        <f t="shared" si="177"/>
        <v>22.778177219754088</v>
      </c>
      <c r="AL179" s="9">
        <f t="shared" si="177"/>
        <v>23.753528075921572</v>
      </c>
      <c r="AM179" s="9">
        <f t="shared" si="177"/>
        <v>24.754001497096873</v>
      </c>
      <c r="AN179" s="9">
        <f t="shared" si="177"/>
        <v>25.780144124251034</v>
      </c>
      <c r="AO179" s="9">
        <f t="shared" si="177"/>
        <v>26.832513502868505</v>
      </c>
      <c r="AP179" s="9">
        <f t="shared" si="177"/>
        <v>27.911678289125163</v>
      </c>
      <c r="AQ179" s="9">
        <f t="shared" si="177"/>
        <v>29.018218459825171</v>
      </c>
    </row>
    <row r="180" spans="1:43" hidden="1" outlineLevel="5">
      <c r="A180" s="2"/>
      <c r="B180" s="2"/>
      <c r="C180" s="2"/>
      <c r="D180" s="2"/>
      <c r="E180" s="2"/>
      <c r="F180" s="2" t="s">
        <v>436</v>
      </c>
      <c r="G180" s="2"/>
      <c r="H180" s="9">
        <f t="shared" ref="H180:AQ180" si="178">H165</f>
        <v>950</v>
      </c>
      <c r="I180" s="9">
        <f t="shared" si="178"/>
        <v>953.11005279308893</v>
      </c>
      <c r="J180" s="9">
        <f t="shared" si="178"/>
        <v>956.23028708973141</v>
      </c>
      <c r="K180" s="9">
        <f t="shared" si="178"/>
        <v>959.36073622152037</v>
      </c>
      <c r="L180" s="9">
        <f t="shared" si="178"/>
        <v>962.50143362916833</v>
      </c>
      <c r="M180" s="9">
        <f t="shared" si="178"/>
        <v>965.65241286286357</v>
      </c>
      <c r="N180" s="9">
        <f t="shared" si="178"/>
        <v>968.81370758262915</v>
      </c>
      <c r="O180" s="9">
        <f t="shared" si="178"/>
        <v>971.98535155868194</v>
      </c>
      <c r="P180" s="9">
        <f t="shared" si="178"/>
        <v>975.16737867179404</v>
      </c>
      <c r="Q180" s="9">
        <f t="shared" si="178"/>
        <v>978.35982291365451</v>
      </c>
      <c r="R180" s="9">
        <f t="shared" si="178"/>
        <v>981.56271838723217</v>
      </c>
      <c r="S180" s="9">
        <f t="shared" si="178"/>
        <v>984.7760993071397</v>
      </c>
      <c r="T180" s="9">
        <f t="shared" si="178"/>
        <v>988</v>
      </c>
      <c r="U180" s="9">
        <f t="shared" si="178"/>
        <v>991.23445490481265</v>
      </c>
      <c r="V180" s="9">
        <f t="shared" si="178"/>
        <v>994.4794985733206</v>
      </c>
      <c r="W180" s="9">
        <f t="shared" si="178"/>
        <v>997.73516567038132</v>
      </c>
      <c r="X180" s="9">
        <f t="shared" si="178"/>
        <v>1001.0014909743352</v>
      </c>
      <c r="Y180" s="9">
        <f t="shared" si="178"/>
        <v>1004.2785093773783</v>
      </c>
      <c r="Z180" s="9">
        <f t="shared" si="178"/>
        <v>1007.5662558859344</v>
      </c>
      <c r="AA180" s="9">
        <f t="shared" si="178"/>
        <v>1010.8647656210292</v>
      </c>
      <c r="AB180" s="9">
        <f t="shared" si="178"/>
        <v>1014.174073818666</v>
      </c>
      <c r="AC180" s="9">
        <f t="shared" si="178"/>
        <v>1017.4942158302008</v>
      </c>
      <c r="AD180" s="9">
        <f t="shared" si="178"/>
        <v>1020.8252271227215</v>
      </c>
      <c r="AE180" s="9">
        <f t="shared" si="178"/>
        <v>1024.1671432794253</v>
      </c>
      <c r="AF180" s="9">
        <f t="shared" si="178"/>
        <v>1027.5200000000002</v>
      </c>
      <c r="AG180" s="9">
        <f t="shared" si="178"/>
        <v>1030.8838331010049</v>
      </c>
      <c r="AH180" s="9">
        <f t="shared" si="178"/>
        <v>1034.2586785162534</v>
      </c>
      <c r="AI180" s="9">
        <f t="shared" si="178"/>
        <v>1037.6445722971966</v>
      </c>
      <c r="AJ180" s="9">
        <f t="shared" si="178"/>
        <v>1041.0415506133086</v>
      </c>
      <c r="AK180" s="9">
        <f t="shared" si="178"/>
        <v>1044.4496497524735</v>
      </c>
      <c r="AL180" s="9">
        <f t="shared" si="178"/>
        <v>1047.8689061213718</v>
      </c>
      <c r="AM180" s="9">
        <f t="shared" si="178"/>
        <v>1051.2993562458705</v>
      </c>
      <c r="AN180" s="9">
        <f t="shared" si="178"/>
        <v>1054.7410367714126</v>
      </c>
      <c r="AO180" s="9">
        <f t="shared" si="178"/>
        <v>1058.1939844634087</v>
      </c>
      <c r="AP180" s="9">
        <f t="shared" si="178"/>
        <v>1061.6582362076301</v>
      </c>
      <c r="AQ180" s="9">
        <f t="shared" si="178"/>
        <v>1065.1338290106023</v>
      </c>
    </row>
    <row r="181" spans="1:43" hidden="1" outlineLevel="4" collapsed="1">
      <c r="A181" s="2"/>
      <c r="B181" s="2"/>
      <c r="C181" s="2"/>
      <c r="D181" s="2"/>
      <c r="E181" s="2" t="s">
        <v>442</v>
      </c>
      <c r="F181" s="2"/>
      <c r="G181" s="2"/>
      <c r="H181" s="9">
        <f t="shared" ref="H181:AQ181" si="179">(H182*H183)</f>
        <v>25670.558896902694</v>
      </c>
      <c r="I181" s="9">
        <f t="shared" si="179"/>
        <v>28434.806150275785</v>
      </c>
      <c r="J181" s="9">
        <f t="shared" si="179"/>
        <v>31300.40187623191</v>
      </c>
      <c r="K181" s="9">
        <f t="shared" si="179"/>
        <v>34270.311396819612</v>
      </c>
      <c r="L181" s="9">
        <f t="shared" si="179"/>
        <v>37347.57838757283</v>
      </c>
      <c r="M181" s="9">
        <f t="shared" si="179"/>
        <v>40535.32683015857</v>
      </c>
      <c r="N181" s="9">
        <f t="shared" si="179"/>
        <v>43836.76301186718</v>
      </c>
      <c r="O181" s="9">
        <f t="shared" si="179"/>
        <v>47255.177573039269</v>
      </c>
      <c r="P181" s="9">
        <f t="shared" si="179"/>
        <v>50793.947603548848</v>
      </c>
      <c r="Q181" s="9">
        <f t="shared" si="179"/>
        <v>54456.538789486192</v>
      </c>
      <c r="R181" s="9">
        <f t="shared" si="179"/>
        <v>58246.507611212706</v>
      </c>
      <c r="S181" s="9">
        <f t="shared" si="179"/>
        <v>62167.503593984082</v>
      </c>
      <c r="T181" s="9">
        <f t="shared" si="179"/>
        <v>66223.271612367971</v>
      </c>
      <c r="U181" s="9">
        <f t="shared" si="179"/>
        <v>70417.654249708357</v>
      </c>
      <c r="V181" s="9">
        <f t="shared" si="179"/>
        <v>74754.594213918346</v>
      </c>
      <c r="W181" s="9">
        <f t="shared" si="179"/>
        <v>79238.136810912954</v>
      </c>
      <c r="X181" s="9">
        <f t="shared" si="179"/>
        <v>83872.432477021794</v>
      </c>
      <c r="Y181" s="9">
        <f t="shared" si="179"/>
        <v>88661.739371753996</v>
      </c>
      <c r="Z181" s="9">
        <f t="shared" si="179"/>
        <v>93610.426032317613</v>
      </c>
      <c r="AA181" s="9">
        <f t="shared" si="179"/>
        <v>98722.974091328215</v>
      </c>
      <c r="AB181" s="9">
        <f t="shared" si="179"/>
        <v>104003.98105917494</v>
      </c>
      <c r="AC181" s="9">
        <f t="shared" si="179"/>
        <v>109458.16317254333</v>
      </c>
      <c r="AD181" s="9">
        <f t="shared" si="179"/>
        <v>115090.35831063222</v>
      </c>
      <c r="AE181" s="9">
        <f t="shared" si="179"/>
        <v>120905.52898063244</v>
      </c>
      <c r="AF181" s="9">
        <f t="shared" si="179"/>
        <v>126908.7653740761</v>
      </c>
      <c r="AG181" s="9">
        <f t="shared" si="179"/>
        <v>133105.28849569536</v>
      </c>
      <c r="AH181" s="9">
        <f t="shared" si="179"/>
        <v>139500.45336647367</v>
      </c>
      <c r="AI181" s="9">
        <f t="shared" si="179"/>
        <v>146099.7523026058</v>
      </c>
      <c r="AJ181" s="9">
        <f t="shared" si="179"/>
        <v>152908.81827212407</v>
      </c>
      <c r="AK181" s="9">
        <f t="shared" si="179"/>
        <v>159933.42833098848</v>
      </c>
      <c r="AL181" s="9">
        <f t="shared" si="179"/>
        <v>167179.50714047748</v>
      </c>
      <c r="AM181" s="9">
        <f t="shared" si="179"/>
        <v>174653.13056776091</v>
      </c>
      <c r="AN181" s="9">
        <f t="shared" si="179"/>
        <v>182360.52937157504</v>
      </c>
      <c r="AO181" s="9">
        <f t="shared" si="179"/>
        <v>190308.09297496837</v>
      </c>
      <c r="AP181" s="9">
        <f t="shared" si="179"/>
        <v>198502.37332712719</v>
      </c>
      <c r="AQ181" s="9">
        <f t="shared" si="179"/>
        <v>206950.08885633753</v>
      </c>
    </row>
    <row r="182" spans="1:43" hidden="1" outlineLevel="5">
      <c r="A182" s="2"/>
      <c r="B182" s="2"/>
      <c r="C182" s="2"/>
      <c r="D182" s="2"/>
      <c r="E182" s="2"/>
      <c r="F182" s="2" t="s">
        <v>363</v>
      </c>
      <c r="G182" s="2"/>
      <c r="H182" s="9">
        <f t="shared" ref="H182:AQ182" si="180">H51</f>
        <v>27.0216409441081</v>
      </c>
      <c r="I182" s="9">
        <f t="shared" si="180"/>
        <v>29.833707101239344</v>
      </c>
      <c r="J182" s="9">
        <f t="shared" si="180"/>
        <v>32.733121193529733</v>
      </c>
      <c r="K182" s="9">
        <f t="shared" si="180"/>
        <v>35.722028328775025</v>
      </c>
      <c r="L182" s="9">
        <f t="shared" si="180"/>
        <v>38.802621048315309</v>
      </c>
      <c r="M182" s="9">
        <f t="shared" si="180"/>
        <v>41.977140314892132</v>
      </c>
      <c r="N182" s="9">
        <f t="shared" si="180"/>
        <v>45.247876520294163</v>
      </c>
      <c r="O182" s="9">
        <f t="shared" si="180"/>
        <v>48.617170513177555</v>
      </c>
      <c r="P182" s="9">
        <f t="shared" si="180"/>
        <v>52.087414647454331</v>
      </c>
      <c r="Q182" s="9">
        <f t="shared" si="180"/>
        <v>55.661053851648475</v>
      </c>
      <c r="R182" s="9">
        <f t="shared" si="180"/>
        <v>59.340586719629385</v>
      </c>
      <c r="S182" s="9">
        <f t="shared" si="180"/>
        <v>63.128566623137338</v>
      </c>
      <c r="T182" s="9">
        <f t="shared" si="180"/>
        <v>67.027602846526293</v>
      </c>
      <c r="U182" s="9">
        <f t="shared" si="180"/>
        <v>71.040361744155177</v>
      </c>
      <c r="V182" s="9">
        <f t="shared" si="180"/>
        <v>75.169567920868374</v>
      </c>
      <c r="W182" s="9">
        <f t="shared" si="180"/>
        <v>79.418005436014283</v>
      </c>
      <c r="X182" s="9">
        <f t="shared" si="180"/>
        <v>83.788519031458875</v>
      </c>
      <c r="Y182" s="9">
        <f t="shared" si="180"/>
        <v>88.28401538406068</v>
      </c>
      <c r="Z182" s="9">
        <f t="shared" si="180"/>
        <v>92.907464383081873</v>
      </c>
      <c r="AA182" s="9">
        <f t="shared" si="180"/>
        <v>97.66190043301917</v>
      </c>
      <c r="AB182" s="9">
        <f t="shared" si="180"/>
        <v>102.55042378234846</v>
      </c>
      <c r="AC182" s="9">
        <f t="shared" si="180"/>
        <v>107.57620187868437</v>
      </c>
      <c r="AD182" s="9">
        <f t="shared" si="180"/>
        <v>112.74247075086861</v>
      </c>
      <c r="AE182" s="9">
        <f t="shared" si="180"/>
        <v>118.05253641850682</v>
      </c>
      <c r="AF182" s="9">
        <f t="shared" si="180"/>
        <v>123.50977632948855</v>
      </c>
      <c r="AG182" s="9">
        <f t="shared" si="180"/>
        <v>129.11764082602878</v>
      </c>
      <c r="AH182" s="9">
        <f t="shared" si="180"/>
        <v>134.87965463978594</v>
      </c>
      <c r="AI182" s="9">
        <f t="shared" si="180"/>
        <v>140.79941841661818</v>
      </c>
      <c r="AJ182" s="9">
        <f t="shared" si="180"/>
        <v>146.88061027155058</v>
      </c>
      <c r="AK182" s="9">
        <f t="shared" si="180"/>
        <v>153.1269873745388</v>
      </c>
      <c r="AL182" s="9">
        <f t="shared" si="180"/>
        <v>159.54238756762339</v>
      </c>
      <c r="AM182" s="9">
        <f t="shared" si="180"/>
        <v>166.13073101408258</v>
      </c>
      <c r="AN182" s="9">
        <f t="shared" si="180"/>
        <v>172.89602188020007</v>
      </c>
      <c r="AO182" s="9">
        <f t="shared" si="180"/>
        <v>179.84235005027949</v>
      </c>
      <c r="AP182" s="9">
        <f t="shared" si="180"/>
        <v>186.9738928755466</v>
      </c>
      <c r="AQ182" s="9">
        <f t="shared" si="180"/>
        <v>194.29491695759253</v>
      </c>
    </row>
    <row r="183" spans="1:43" hidden="1" outlineLevel="5">
      <c r="A183" s="2"/>
      <c r="B183" s="2"/>
      <c r="C183" s="2"/>
      <c r="D183" s="2"/>
      <c r="E183" s="2"/>
      <c r="F183" s="2" t="s">
        <v>436</v>
      </c>
      <c r="G183" s="2"/>
      <c r="H183" s="9">
        <f t="shared" ref="H183:AQ183" si="181">H165</f>
        <v>950</v>
      </c>
      <c r="I183" s="9">
        <f t="shared" si="181"/>
        <v>953.11005279308893</v>
      </c>
      <c r="J183" s="9">
        <f t="shared" si="181"/>
        <v>956.23028708973141</v>
      </c>
      <c r="K183" s="9">
        <f t="shared" si="181"/>
        <v>959.36073622152037</v>
      </c>
      <c r="L183" s="9">
        <f t="shared" si="181"/>
        <v>962.50143362916833</v>
      </c>
      <c r="M183" s="9">
        <f t="shared" si="181"/>
        <v>965.65241286286357</v>
      </c>
      <c r="N183" s="9">
        <f t="shared" si="181"/>
        <v>968.81370758262915</v>
      </c>
      <c r="O183" s="9">
        <f t="shared" si="181"/>
        <v>971.98535155868194</v>
      </c>
      <c r="P183" s="9">
        <f t="shared" si="181"/>
        <v>975.16737867179404</v>
      </c>
      <c r="Q183" s="9">
        <f t="shared" si="181"/>
        <v>978.35982291365451</v>
      </c>
      <c r="R183" s="9">
        <f t="shared" si="181"/>
        <v>981.56271838723217</v>
      </c>
      <c r="S183" s="9">
        <f t="shared" si="181"/>
        <v>984.7760993071397</v>
      </c>
      <c r="T183" s="9">
        <f t="shared" si="181"/>
        <v>988</v>
      </c>
      <c r="U183" s="9">
        <f t="shared" si="181"/>
        <v>991.23445490481265</v>
      </c>
      <c r="V183" s="9">
        <f t="shared" si="181"/>
        <v>994.4794985733206</v>
      </c>
      <c r="W183" s="9">
        <f t="shared" si="181"/>
        <v>997.73516567038132</v>
      </c>
      <c r="X183" s="9">
        <f t="shared" si="181"/>
        <v>1001.0014909743352</v>
      </c>
      <c r="Y183" s="9">
        <f t="shared" si="181"/>
        <v>1004.2785093773783</v>
      </c>
      <c r="Z183" s="9">
        <f t="shared" si="181"/>
        <v>1007.5662558859344</v>
      </c>
      <c r="AA183" s="9">
        <f t="shared" si="181"/>
        <v>1010.8647656210292</v>
      </c>
      <c r="AB183" s="9">
        <f t="shared" si="181"/>
        <v>1014.174073818666</v>
      </c>
      <c r="AC183" s="9">
        <f t="shared" si="181"/>
        <v>1017.4942158302008</v>
      </c>
      <c r="AD183" s="9">
        <f t="shared" si="181"/>
        <v>1020.8252271227215</v>
      </c>
      <c r="AE183" s="9">
        <f t="shared" si="181"/>
        <v>1024.1671432794253</v>
      </c>
      <c r="AF183" s="9">
        <f t="shared" si="181"/>
        <v>1027.5200000000002</v>
      </c>
      <c r="AG183" s="9">
        <f t="shared" si="181"/>
        <v>1030.8838331010049</v>
      </c>
      <c r="AH183" s="9">
        <f t="shared" si="181"/>
        <v>1034.2586785162534</v>
      </c>
      <c r="AI183" s="9">
        <f t="shared" si="181"/>
        <v>1037.6445722971966</v>
      </c>
      <c r="AJ183" s="9">
        <f t="shared" si="181"/>
        <v>1041.0415506133086</v>
      </c>
      <c r="AK183" s="9">
        <f t="shared" si="181"/>
        <v>1044.4496497524735</v>
      </c>
      <c r="AL183" s="9">
        <f t="shared" si="181"/>
        <v>1047.8689061213718</v>
      </c>
      <c r="AM183" s="9">
        <f t="shared" si="181"/>
        <v>1051.2993562458705</v>
      </c>
      <c r="AN183" s="9">
        <f t="shared" si="181"/>
        <v>1054.7410367714126</v>
      </c>
      <c r="AO183" s="9">
        <f t="shared" si="181"/>
        <v>1058.1939844634087</v>
      </c>
      <c r="AP183" s="9">
        <f t="shared" si="181"/>
        <v>1061.6582362076301</v>
      </c>
      <c r="AQ183" s="9">
        <f t="shared" si="181"/>
        <v>1065.1338290106023</v>
      </c>
    </row>
    <row r="184" spans="1:43" hidden="1" outlineLevel="4" collapsed="1">
      <c r="A184" s="2"/>
      <c r="B184" s="2"/>
      <c r="C184" s="2"/>
      <c r="D184" s="2"/>
      <c r="E184" s="2" t="s">
        <v>443</v>
      </c>
      <c r="F184" s="2"/>
      <c r="G184" s="2"/>
      <c r="H184" s="9">
        <f t="shared" ref="H184:AQ184" si="182">(H185*H186)</f>
        <v>1003.9106827167661</v>
      </c>
      <c r="I184" s="9">
        <f t="shared" si="182"/>
        <v>1089.4842550265605</v>
      </c>
      <c r="J184" s="9">
        <f t="shared" si="182"/>
        <v>1178.1095968598606</v>
      </c>
      <c r="K184" s="9">
        <f t="shared" si="182"/>
        <v>1269.8738198244725</v>
      </c>
      <c r="L184" s="9">
        <f t="shared" si="182"/>
        <v>1364.8662668819989</v>
      </c>
      <c r="M184" s="9">
        <f t="shared" si="182"/>
        <v>1463.1785658868607</v>
      </c>
      <c r="N184" s="9">
        <f t="shared" si="182"/>
        <v>1564.9046843544609</v>
      </c>
      <c r="O184" s="9">
        <f t="shared" si="182"/>
        <v>1670.1409854858005</v>
      </c>
      <c r="P184" s="9">
        <f t="shared" si="182"/>
        <v>1778.9862854765045</v>
      </c>
      <c r="Q184" s="9">
        <f t="shared" si="182"/>
        <v>1891.5419121387488</v>
      </c>
      <c r="R184" s="9">
        <f t="shared" si="182"/>
        <v>2007.9117648652718</v>
      </c>
      <c r="S184" s="9">
        <f t="shared" si="182"/>
        <v>2128.2023759652279</v>
      </c>
      <c r="T184" s="9">
        <f t="shared" si="182"/>
        <v>2252.5229734023255</v>
      </c>
      <c r="U184" s="9">
        <f t="shared" si="182"/>
        <v>2380.9855449663264</v>
      </c>
      <c r="V184" s="9">
        <f t="shared" si="182"/>
        <v>2513.7049039096541</v>
      </c>
      <c r="W184" s="9">
        <f t="shared" si="182"/>
        <v>2650.7987560815959</v>
      </c>
      <c r="X184" s="9">
        <f t="shared" si="182"/>
        <v>2792.3877685931884</v>
      </c>
      <c r="Y184" s="9">
        <f t="shared" si="182"/>
        <v>2938.5956400467121</v>
      </c>
      <c r="Z184" s="9">
        <f t="shared" si="182"/>
        <v>3089.5491723643436</v>
      </c>
      <c r="AA184" s="9">
        <f t="shared" si="182"/>
        <v>3245.3783442513359</v>
      </c>
      <c r="AB184" s="9">
        <f t="shared" si="182"/>
        <v>3406.2163863298438</v>
      </c>
      <c r="AC184" s="9">
        <f t="shared" si="182"/>
        <v>3572.1998579802294</v>
      </c>
      <c r="AD184" s="9">
        <f t="shared" si="182"/>
        <v>3743.4687259276247</v>
      </c>
      <c r="AE184" s="9">
        <f t="shared" si="182"/>
        <v>3920.1664446121354</v>
      </c>
      <c r="AF184" s="9">
        <f t="shared" si="182"/>
        <v>4102.4400383821421</v>
      </c>
      <c r="AG184" s="9">
        <f t="shared" si="182"/>
        <v>4290.4401855507367</v>
      </c>
      <c r="AH184" s="9">
        <f t="shared" si="182"/>
        <v>4484.3213043564574</v>
      </c>
      <c r="AI184" s="9">
        <f t="shared" si="182"/>
        <v>4684.2416408701692</v>
      </c>
      <c r="AJ184" s="9">
        <f t="shared" si="182"/>
        <v>4890.3633588909615</v>
      </c>
      <c r="AK184" s="9">
        <f t="shared" si="182"/>
        <v>5102.852631874809</v>
      </c>
      <c r="AL184" s="9">
        <f t="shared" si="182"/>
        <v>5321.8797369406484</v>
      </c>
      <c r="AM184" s="9">
        <f t="shared" si="182"/>
        <v>5547.6191509996124</v>
      </c>
      <c r="AN184" s="9">
        <f t="shared" si="182"/>
        <v>5780.2496490539443</v>
      </c>
      <c r="AO184" s="9">
        <f t="shared" si="182"/>
        <v>6019.9544047133504</v>
      </c>
      <c r="AP184" s="9">
        <f t="shared" si="182"/>
        <v>6266.921092977359</v>
      </c>
      <c r="AQ184" s="9">
        <f t="shared" si="182"/>
        <v>6521.3419953334469</v>
      </c>
    </row>
    <row r="185" spans="1:43" hidden="1" outlineLevel="5">
      <c r="A185" s="2"/>
      <c r="B185" s="2"/>
      <c r="C185" s="2"/>
      <c r="D185" s="2"/>
      <c r="E185" s="2"/>
      <c r="F185" s="2" t="s">
        <v>404</v>
      </c>
      <c r="G185" s="2"/>
      <c r="H185" s="9">
        <f t="shared" ref="H185:AQ185" si="183">H100</f>
        <v>1.0567480870702801</v>
      </c>
      <c r="I185" s="9">
        <f t="shared" si="183"/>
        <v>1.1430833740907747</v>
      </c>
      <c r="J185" s="9">
        <f t="shared" si="183"/>
        <v>1.2320354341059565</v>
      </c>
      <c r="K185" s="9">
        <f t="shared" si="183"/>
        <v>1.3236666583061552</v>
      </c>
      <c r="L185" s="9">
        <f t="shared" si="183"/>
        <v>1.4180407625323634</v>
      </c>
      <c r="M185" s="9">
        <f t="shared" si="183"/>
        <v>1.5152228135059327</v>
      </c>
      <c r="N185" s="9">
        <f t="shared" si="183"/>
        <v>1.6152792555538771</v>
      </c>
      <c r="O185" s="9">
        <f t="shared" si="183"/>
        <v>1.7182779378388282</v>
      </c>
      <c r="P185" s="9">
        <f t="shared" si="183"/>
        <v>1.8242881421028816</v>
      </c>
      <c r="Q185" s="9">
        <f t="shared" si="183"/>
        <v>1.9333806109346821</v>
      </c>
      <c r="R185" s="9">
        <f t="shared" si="183"/>
        <v>2.0456275765693244</v>
      </c>
      <c r="S185" s="9">
        <f t="shared" si="183"/>
        <v>2.1611027902307645</v>
      </c>
      <c r="T185" s="9">
        <f t="shared" si="183"/>
        <v>2.2798815520266453</v>
      </c>
      <c r="U185" s="9">
        <f t="shared" si="183"/>
        <v>2.4020407414055942</v>
      </c>
      <c r="V185" s="9">
        <f t="shared" si="183"/>
        <v>2.5276588481872304</v>
      </c>
      <c r="W185" s="9">
        <f t="shared" si="183"/>
        <v>2.6568160041753326</v>
      </c>
      <c r="X185" s="9">
        <f t="shared" si="183"/>
        <v>2.7895940153647412</v>
      </c>
      <c r="Y185" s="9">
        <f t="shared" si="183"/>
        <v>2.9260763947528368</v>
      </c>
      <c r="Z185" s="9">
        <f t="shared" si="183"/>
        <v>3.0663483957665494</v>
      </c>
      <c r="AA185" s="9">
        <f t="shared" si="183"/>
        <v>3.2104970463161049</v>
      </c>
      <c r="AB185" s="9">
        <f t="shared" si="183"/>
        <v>3.3586111834869032</v>
      </c>
      <c r="AC185" s="9">
        <f t="shared" si="183"/>
        <v>3.51078148888107</v>
      </c>
      <c r="AD185" s="9">
        <f t="shared" si="183"/>
        <v>3.6671005246205506</v>
      </c>
      <c r="AE185" s="9">
        <f t="shared" si="183"/>
        <v>3.8276627700236516</v>
      </c>
      <c r="AF185" s="9">
        <f t="shared" si="183"/>
        <v>3.9925646589673596</v>
      </c>
      <c r="AG185" s="9">
        <f t="shared" si="183"/>
        <v>4.1619046179477373</v>
      </c>
      <c r="AH185" s="9">
        <f t="shared" si="183"/>
        <v>4.3357831048511581</v>
      </c>
      <c r="AI185" s="9">
        <f t="shared" si="183"/>
        <v>4.5143026484491973</v>
      </c>
      <c r="AJ185" s="9">
        <f t="shared" si="183"/>
        <v>4.6975678886302887</v>
      </c>
      <c r="AK185" s="9">
        <f t="shared" si="183"/>
        <v>4.8856856173815038</v>
      </c>
      <c r="AL185" s="9">
        <f t="shared" si="183"/>
        <v>5.0787648205339817</v>
      </c>
      <c r="AM185" s="9">
        <f t="shared" si="183"/>
        <v>5.2769167202858762</v>
      </c>
      <c r="AN185" s="9">
        <f t="shared" si="183"/>
        <v>5.480254818516805</v>
      </c>
      <c r="AO185" s="9">
        <f t="shared" si="183"/>
        <v>5.6888949409081757</v>
      </c>
      <c r="AP185" s="9">
        <f t="shared" si="183"/>
        <v>5.9029552818838846</v>
      </c>
      <c r="AQ185" s="9">
        <f t="shared" si="183"/>
        <v>6.12255645038623</v>
      </c>
    </row>
    <row r="186" spans="1:43" hidden="1" outlineLevel="5">
      <c r="A186" s="2"/>
      <c r="B186" s="2"/>
      <c r="C186" s="2"/>
      <c r="D186" s="2"/>
      <c r="E186" s="2"/>
      <c r="F186" s="2" t="s">
        <v>436</v>
      </c>
      <c r="G186" s="2"/>
      <c r="H186" s="9">
        <f t="shared" ref="H186:AQ186" si="184">H165</f>
        <v>950</v>
      </c>
      <c r="I186" s="9">
        <f t="shared" si="184"/>
        <v>953.11005279308893</v>
      </c>
      <c r="J186" s="9">
        <f t="shared" si="184"/>
        <v>956.23028708973141</v>
      </c>
      <c r="K186" s="9">
        <f t="shared" si="184"/>
        <v>959.36073622152037</v>
      </c>
      <c r="L186" s="9">
        <f t="shared" si="184"/>
        <v>962.50143362916833</v>
      </c>
      <c r="M186" s="9">
        <f t="shared" si="184"/>
        <v>965.65241286286357</v>
      </c>
      <c r="N186" s="9">
        <f t="shared" si="184"/>
        <v>968.81370758262915</v>
      </c>
      <c r="O186" s="9">
        <f t="shared" si="184"/>
        <v>971.98535155868194</v>
      </c>
      <c r="P186" s="9">
        <f t="shared" si="184"/>
        <v>975.16737867179404</v>
      </c>
      <c r="Q186" s="9">
        <f t="shared" si="184"/>
        <v>978.35982291365451</v>
      </c>
      <c r="R186" s="9">
        <f t="shared" si="184"/>
        <v>981.56271838723217</v>
      </c>
      <c r="S186" s="9">
        <f t="shared" si="184"/>
        <v>984.7760993071397</v>
      </c>
      <c r="T186" s="9">
        <f t="shared" si="184"/>
        <v>988</v>
      </c>
      <c r="U186" s="9">
        <f t="shared" si="184"/>
        <v>991.23445490481265</v>
      </c>
      <c r="V186" s="9">
        <f t="shared" si="184"/>
        <v>994.4794985733206</v>
      </c>
      <c r="W186" s="9">
        <f t="shared" si="184"/>
        <v>997.73516567038132</v>
      </c>
      <c r="X186" s="9">
        <f t="shared" si="184"/>
        <v>1001.0014909743352</v>
      </c>
      <c r="Y186" s="9">
        <f t="shared" si="184"/>
        <v>1004.2785093773783</v>
      </c>
      <c r="Z186" s="9">
        <f t="shared" si="184"/>
        <v>1007.5662558859344</v>
      </c>
      <c r="AA186" s="9">
        <f t="shared" si="184"/>
        <v>1010.8647656210292</v>
      </c>
      <c r="AB186" s="9">
        <f t="shared" si="184"/>
        <v>1014.174073818666</v>
      </c>
      <c r="AC186" s="9">
        <f t="shared" si="184"/>
        <v>1017.4942158302008</v>
      </c>
      <c r="AD186" s="9">
        <f t="shared" si="184"/>
        <v>1020.8252271227215</v>
      </c>
      <c r="AE186" s="9">
        <f t="shared" si="184"/>
        <v>1024.1671432794253</v>
      </c>
      <c r="AF186" s="9">
        <f t="shared" si="184"/>
        <v>1027.5200000000002</v>
      </c>
      <c r="AG186" s="9">
        <f t="shared" si="184"/>
        <v>1030.8838331010049</v>
      </c>
      <c r="AH186" s="9">
        <f t="shared" si="184"/>
        <v>1034.2586785162534</v>
      </c>
      <c r="AI186" s="9">
        <f t="shared" si="184"/>
        <v>1037.6445722971966</v>
      </c>
      <c r="AJ186" s="9">
        <f t="shared" si="184"/>
        <v>1041.0415506133086</v>
      </c>
      <c r="AK186" s="9">
        <f t="shared" si="184"/>
        <v>1044.4496497524735</v>
      </c>
      <c r="AL186" s="9">
        <f t="shared" si="184"/>
        <v>1047.8689061213718</v>
      </c>
      <c r="AM186" s="9">
        <f t="shared" si="184"/>
        <v>1051.2993562458705</v>
      </c>
      <c r="AN186" s="9">
        <f t="shared" si="184"/>
        <v>1054.7410367714126</v>
      </c>
      <c r="AO186" s="9">
        <f t="shared" si="184"/>
        <v>1058.1939844634087</v>
      </c>
      <c r="AP186" s="9">
        <f t="shared" si="184"/>
        <v>1061.6582362076301</v>
      </c>
      <c r="AQ186" s="9">
        <f t="shared" si="184"/>
        <v>1065.1338290106023</v>
      </c>
    </row>
    <row r="187" spans="1:43" hidden="1" outlineLevel="3" collapsed="1">
      <c r="A187" s="2"/>
      <c r="B187" s="2"/>
      <c r="C187" s="2"/>
      <c r="D187" s="2" t="s">
        <v>444</v>
      </c>
      <c r="E187" s="2"/>
      <c r="F187" s="2"/>
      <c r="G187" s="2"/>
      <c r="H187" s="9">
        <f t="shared" ref="H187:AQ187" si="185">(((H188+H191)+H194)+H197)</f>
        <v>1023971.8562603504</v>
      </c>
      <c r="I187" s="9">
        <f t="shared" si="185"/>
        <v>1237486.6548604993</v>
      </c>
      <c r="J187" s="9">
        <f t="shared" si="185"/>
        <v>1459070.1182675324</v>
      </c>
      <c r="K187" s="9">
        <f t="shared" si="185"/>
        <v>1688958.42814622</v>
      </c>
      <c r="L187" s="9">
        <f t="shared" si="185"/>
        <v>1927393.9647715166</v>
      </c>
      <c r="M187" s="9">
        <f t="shared" si="185"/>
        <v>2174625.4601201373</v>
      </c>
      <c r="N187" s="9">
        <f t="shared" si="185"/>
        <v>2430908.1545996941</v>
      </c>
      <c r="O187" s="9">
        <f t="shared" si="185"/>
        <v>2696503.9574995246</v>
      </c>
      <c r="P187" s="9">
        <f t="shared" si="185"/>
        <v>2971681.61124931</v>
      </c>
      <c r="Q187" s="9">
        <f t="shared" si="185"/>
        <v>3256716.8595734304</v>
      </c>
      <c r="R187" s="9">
        <f t="shared" si="185"/>
        <v>3551892.6196311498</v>
      </c>
      <c r="S187" s="9">
        <f t="shared" si="185"/>
        <v>3857499.1582346023</v>
      </c>
      <c r="T187" s="9">
        <f t="shared" si="185"/>
        <v>4173834.272238763</v>
      </c>
      <c r="U187" s="9">
        <f t="shared" si="185"/>
        <v>4501203.4731996506</v>
      </c>
      <c r="V187" s="9">
        <f t="shared" si="185"/>
        <v>4839920.1763992123</v>
      </c>
      <c r="W187" s="9">
        <f t="shared" si="185"/>
        <v>5190305.8943375554</v>
      </c>
      <c r="X187" s="9">
        <f t="shared" si="185"/>
        <v>5552690.4347955035</v>
      </c>
      <c r="Y187" s="9">
        <f t="shared" si="185"/>
        <v>5927412.1035727179</v>
      </c>
      <c r="Z187" s="9">
        <f t="shared" si="185"/>
        <v>6314817.912009106</v>
      </c>
      <c r="AA187" s="9">
        <f t="shared" si="185"/>
        <v>6715263.7893995456</v>
      </c>
      <c r="AB187" s="9">
        <f t="shared" si="185"/>
        <v>7129114.8004145678</v>
      </c>
      <c r="AC187" s="9">
        <f t="shared" si="185"/>
        <v>7556745.3676421028</v>
      </c>
      <c r="AD187" s="9">
        <f t="shared" si="185"/>
        <v>7998539.4993679989</v>
      </c>
      <c r="AE187" s="9">
        <f t="shared" si="185"/>
        <v>8454891.0227157231</v>
      </c>
      <c r="AF187" s="9">
        <f t="shared" si="185"/>
        <v>8926203.8222684171</v>
      </c>
      <c r="AG187" s="9">
        <f t="shared" si="185"/>
        <v>9412892.0842990186</v>
      </c>
      <c r="AH187" s="9">
        <f t="shared" si="185"/>
        <v>9915380.5467373468</v>
      </c>
      <c r="AI187" s="9">
        <f t="shared" si="185"/>
        <v>10434104.755005695</v>
      </c>
      <c r="AJ187" s="9">
        <f t="shared" si="185"/>
        <v>10969511.323857544</v>
      </c>
      <c r="AK187" s="9">
        <f t="shared" si="185"/>
        <v>11522058.205356982</v>
      </c>
      <c r="AL187" s="9">
        <f t="shared" si="185"/>
        <v>12092214.963139668</v>
      </c>
      <c r="AM187" s="9">
        <f t="shared" si="185"/>
        <v>12680463.053099129</v>
      </c>
      <c r="AN187" s="9">
        <f t="shared" si="185"/>
        <v>13287296.110645549</v>
      </c>
      <c r="AO187" s="9">
        <f t="shared" si="185"/>
        <v>13913220.244687596</v>
      </c>
      <c r="AP187" s="9">
        <f t="shared" si="185"/>
        <v>14558754.338490976</v>
      </c>
      <c r="AQ187" s="9">
        <f t="shared" si="185"/>
        <v>15224430.357571177</v>
      </c>
    </row>
    <row r="188" spans="1:43" hidden="1" outlineLevel="4" collapsed="1">
      <c r="A188" s="2"/>
      <c r="B188" s="2"/>
      <c r="C188" s="2"/>
      <c r="D188" s="2"/>
      <c r="E188" s="2" t="s">
        <v>445</v>
      </c>
      <c r="F188" s="2"/>
      <c r="G188" s="2"/>
      <c r="H188" s="9">
        <f t="shared" ref="H188:AQ188" si="186">(H189*H190)</f>
        <v>401283.39893870603</v>
      </c>
      <c r="I188" s="9">
        <f t="shared" si="186"/>
        <v>516176.10745476041</v>
      </c>
      <c r="J188" s="9">
        <f t="shared" si="186"/>
        <v>635448.10788129072</v>
      </c>
      <c r="K188" s="9">
        <f t="shared" si="186"/>
        <v>759227.6041588845</v>
      </c>
      <c r="L188" s="9">
        <f t="shared" si="186"/>
        <v>887646.15858077432</v>
      </c>
      <c r="M188" s="9">
        <f t="shared" si="186"/>
        <v>1020838.7745255167</v>
      </c>
      <c r="N188" s="9">
        <f t="shared" si="186"/>
        <v>1158943.9811500676</v>
      </c>
      <c r="O188" s="9">
        <f t="shared" si="186"/>
        <v>1302103.9200884791</v>
      </c>
      <c r="P188" s="9">
        <f t="shared" si="186"/>
        <v>1450464.4342024722</v>
      </c>
      <c r="Q188" s="9">
        <f t="shared" si="186"/>
        <v>1604175.1584311677</v>
      </c>
      <c r="R188" s="9">
        <f t="shared" si="186"/>
        <v>1763389.6127883696</v>
      </c>
      <c r="S188" s="9">
        <f t="shared" si="186"/>
        <v>1928265.2975568294</v>
      </c>
      <c r="T188" s="9">
        <f t="shared" si="186"/>
        <v>2098963.7907300941</v>
      </c>
      <c r="U188" s="9">
        <f t="shared" si="186"/>
        <v>2275650.8477536379</v>
      </c>
      <c r="V188" s="9">
        <f t="shared" si="186"/>
        <v>2458496.5036181905</v>
      </c>
      <c r="W188" s="9">
        <f t="shared" si="186"/>
        <v>2647675.1773593067</v>
      </c>
      <c r="X188" s="9">
        <f t="shared" si="186"/>
        <v>2843365.7790185269</v>
      </c>
      <c r="Y188" s="9">
        <f t="shared" si="186"/>
        <v>3045751.819122632</v>
      </c>
      <c r="Z188" s="9">
        <f t="shared" si="186"/>
        <v>3255021.5207388611</v>
      </c>
      <c r="AA188" s="9">
        <f t="shared" si="186"/>
        <v>3471367.9341651853</v>
      </c>
      <c r="AB188" s="9">
        <f t="shared" si="186"/>
        <v>3694989.0543161295</v>
      </c>
      <c r="AC188" s="9">
        <f t="shared" si="186"/>
        <v>3926087.9408659553</v>
      </c>
      <c r="AD188" s="9">
        <f t="shared" si="186"/>
        <v>4164872.84121241</v>
      </c>
      <c r="AE188" s="9">
        <f t="shared" si="186"/>
        <v>4411557.3163256962</v>
      </c>
      <c r="AF188" s="9">
        <f t="shared" si="186"/>
        <v>4666360.369548806</v>
      </c>
      <c r="AG188" s="9">
        <f t="shared" si="186"/>
        <v>4929506.5784166865</v>
      </c>
      <c r="AH188" s="9">
        <f t="shared" si="186"/>
        <v>5201226.2295634672</v>
      </c>
      <c r="AI188" s="9">
        <f t="shared" si="186"/>
        <v>5481755.4567883443</v>
      </c>
      <c r="AJ188" s="9">
        <f t="shared" si="186"/>
        <v>5771336.3823523829</v>
      </c>
      <c r="AK188" s="9">
        <f t="shared" si="186"/>
        <v>6070217.2615800966</v>
      </c>
      <c r="AL188" s="9">
        <f t="shared" si="186"/>
        <v>6378652.6308413977</v>
      </c>
      <c r="AM188" s="9">
        <f t="shared" si="186"/>
        <v>6696903.4589910656</v>
      </c>
      <c r="AN188" s="9">
        <f t="shared" si="186"/>
        <v>7025237.3023447525</v>
      </c>
      <c r="AO188" s="9">
        <f t="shared" si="186"/>
        <v>7363928.463272267</v>
      </c>
      <c r="AP188" s="9">
        <f t="shared" si="186"/>
        <v>7713258.1524906429</v>
      </c>
      <c r="AQ188" s="9">
        <f t="shared" si="186"/>
        <v>8073514.6551414765</v>
      </c>
    </row>
    <row r="189" spans="1:43" hidden="1" outlineLevel="5">
      <c r="A189" s="2"/>
      <c r="B189" s="2"/>
      <c r="C189" s="2"/>
      <c r="D189" s="2"/>
      <c r="E189" s="2"/>
      <c r="F189" s="2" t="s">
        <v>324</v>
      </c>
      <c r="G189" s="2"/>
      <c r="H189" s="9">
        <f t="shared" ref="H189:AQ189" si="187">H6</f>
        <v>160.51335957548241</v>
      </c>
      <c r="I189" s="9">
        <f t="shared" si="187"/>
        <v>205.79671807888334</v>
      </c>
      <c r="J189" s="9">
        <f t="shared" si="187"/>
        <v>252.52314662590396</v>
      </c>
      <c r="K189" s="9">
        <f t="shared" si="187"/>
        <v>300.72784791742691</v>
      </c>
      <c r="L189" s="9">
        <f t="shared" si="187"/>
        <v>350.4467925713771</v>
      </c>
      <c r="M189" s="9">
        <f t="shared" si="187"/>
        <v>401.71673487527056</v>
      </c>
      <c r="N189" s="9">
        <f t="shared" si="187"/>
        <v>454.57522884962327</v>
      </c>
      <c r="O189" s="9">
        <f t="shared" si="187"/>
        <v>509.06064462819165</v>
      </c>
      <c r="P189" s="9">
        <f t="shared" si="187"/>
        <v>565.21218516113368</v>
      </c>
      <c r="Q189" s="9">
        <f t="shared" si="187"/>
        <v>623.06990324728713</v>
      </c>
      <c r="R189" s="9">
        <f t="shared" si="187"/>
        <v>682.67471890189177</v>
      </c>
      <c r="S189" s="9">
        <f t="shared" si="187"/>
        <v>744.06843706618258</v>
      </c>
      <c r="T189" s="9">
        <f t="shared" si="187"/>
        <v>807.29376566542078</v>
      </c>
      <c r="U189" s="9">
        <f t="shared" si="187"/>
        <v>872.39433402203872</v>
      </c>
      <c r="V189" s="9">
        <f t="shared" si="187"/>
        <v>939.41471163071344</v>
      </c>
      <c r="W189" s="9">
        <f t="shared" si="187"/>
        <v>1008.4004273022929</v>
      </c>
      <c r="X189" s="9">
        <f t="shared" si="187"/>
        <v>1079.397988683658</v>
      </c>
      <c r="Y189" s="9">
        <f t="shared" si="187"/>
        <v>1152.4549021607002</v>
      </c>
      <c r="Z189" s="9">
        <f t="shared" si="187"/>
        <v>1227.6196931517686</v>
      </c>
      <c r="AA189" s="9">
        <f t="shared" si="187"/>
        <v>1304.9419267990445</v>
      </c>
      <c r="AB189" s="9">
        <f t="shared" si="187"/>
        <v>1384.4722290654624</v>
      </c>
      <c r="AC189" s="9">
        <f t="shared" si="187"/>
        <v>1466.2623082449377</v>
      </c>
      <c r="AD189" s="9">
        <f t="shared" si="187"/>
        <v>1550.3649768937896</v>
      </c>
      <c r="AE189" s="9">
        <f t="shared" si="187"/>
        <v>1636.8341741914207</v>
      </c>
      <c r="AF189" s="9">
        <f t="shared" si="187"/>
        <v>1725.7249887384635</v>
      </c>
      <c r="AG189" s="9">
        <f t="shared" si="187"/>
        <v>1817.0936818007167</v>
      </c>
      <c r="AH189" s="9">
        <f t="shared" si="187"/>
        <v>1910.997711007418</v>
      </c>
      <c r="AI189" s="9">
        <f t="shared" si="187"/>
        <v>2007.4957545125096</v>
      </c>
      <c r="AJ189" s="9">
        <f t="shared" si="187"/>
        <v>2106.6477356277283</v>
      </c>
      <c r="AK189" s="9">
        <f t="shared" si="187"/>
        <v>2208.5148479365212</v>
      </c>
      <c r="AL189" s="9">
        <f t="shared" si="187"/>
        <v>2313.1595808979741</v>
      </c>
      <c r="AM189" s="9">
        <f t="shared" si="187"/>
        <v>2420.6457459500621</v>
      </c>
      <c r="AN189" s="9">
        <f t="shared" si="187"/>
        <v>2531.038503121757</v>
      </c>
      <c r="AO189" s="9">
        <f t="shared" si="187"/>
        <v>2644.4043881636935</v>
      </c>
      <c r="AP189" s="9">
        <f t="shared" si="187"/>
        <v>2760.8113402072418</v>
      </c>
      <c r="AQ189" s="9">
        <f t="shared" si="187"/>
        <v>2880.3287299620847</v>
      </c>
    </row>
    <row r="190" spans="1:43" hidden="1" outlineLevel="5">
      <c r="A190" s="2"/>
      <c r="B190" s="2"/>
      <c r="C190" s="2"/>
      <c r="D190" s="2"/>
      <c r="E190" s="2"/>
      <c r="F190" s="2" t="s">
        <v>446</v>
      </c>
      <c r="G190" s="2"/>
      <c r="H190" s="9">
        <f t="shared" ref="H190:AQ190" si="188">central_public_distribution_cost_per_dose*(1+central_public_distribution_cost_per_dose_growth)^((COLUMN()-8)/12)</f>
        <v>2500</v>
      </c>
      <c r="I190" s="9">
        <f t="shared" si="188"/>
        <v>2508.1843494554973</v>
      </c>
      <c r="J190" s="9">
        <f t="shared" si="188"/>
        <v>2516.3954923413985</v>
      </c>
      <c r="K190" s="9">
        <f t="shared" si="188"/>
        <v>2524.633516372422</v>
      </c>
      <c r="L190" s="9">
        <f t="shared" si="188"/>
        <v>2532.8985095504431</v>
      </c>
      <c r="M190" s="9">
        <f t="shared" si="188"/>
        <v>2541.1905601654307</v>
      </c>
      <c r="N190" s="9">
        <f t="shared" si="188"/>
        <v>2549.5097567963926</v>
      </c>
      <c r="O190" s="9">
        <f t="shared" si="188"/>
        <v>2557.8561883123207</v>
      </c>
      <c r="P190" s="9">
        <f t="shared" si="188"/>
        <v>2566.2299438731425</v>
      </c>
      <c r="Q190" s="9">
        <f t="shared" si="188"/>
        <v>2574.63111293067</v>
      </c>
      <c r="R190" s="9">
        <f t="shared" si="188"/>
        <v>2583.0597852295582</v>
      </c>
      <c r="S190" s="9">
        <f t="shared" si="188"/>
        <v>2591.5160508082622</v>
      </c>
      <c r="T190" s="9">
        <f t="shared" si="188"/>
        <v>2600</v>
      </c>
      <c r="U190" s="9">
        <f t="shared" si="188"/>
        <v>2608.5117234337172</v>
      </c>
      <c r="V190" s="9">
        <f t="shared" si="188"/>
        <v>2617.0513120350543</v>
      </c>
      <c r="W190" s="9">
        <f t="shared" si="188"/>
        <v>2625.6188570273193</v>
      </c>
      <c r="X190" s="9">
        <f t="shared" si="188"/>
        <v>2634.2144499324609</v>
      </c>
      <c r="Y190" s="9">
        <f t="shared" si="188"/>
        <v>2642.838182572048</v>
      </c>
      <c r="Z190" s="9">
        <f t="shared" si="188"/>
        <v>2651.4901470682485</v>
      </c>
      <c r="AA190" s="9">
        <f t="shared" si="188"/>
        <v>2660.1704358448137</v>
      </c>
      <c r="AB190" s="9">
        <f t="shared" si="188"/>
        <v>2668.8791416280683</v>
      </c>
      <c r="AC190" s="9">
        <f t="shared" si="188"/>
        <v>2677.6163574478969</v>
      </c>
      <c r="AD190" s="9">
        <f t="shared" si="188"/>
        <v>2686.3821766387409</v>
      </c>
      <c r="AE190" s="9">
        <f t="shared" si="188"/>
        <v>2695.1766928405928</v>
      </c>
      <c r="AF190" s="9">
        <f t="shared" si="188"/>
        <v>2704.0000000000005</v>
      </c>
      <c r="AG190" s="9">
        <f t="shared" si="188"/>
        <v>2712.8521923710659</v>
      </c>
      <c r="AH190" s="9">
        <f t="shared" si="188"/>
        <v>2721.7333645164567</v>
      </c>
      <c r="AI190" s="9">
        <f t="shared" si="188"/>
        <v>2730.6436113084119</v>
      </c>
      <c r="AJ190" s="9">
        <f t="shared" si="188"/>
        <v>2739.5830279297593</v>
      </c>
      <c r="AK190" s="9">
        <f t="shared" si="188"/>
        <v>2748.5517098749301</v>
      </c>
      <c r="AL190" s="9">
        <f t="shared" si="188"/>
        <v>2757.5497529509785</v>
      </c>
      <c r="AM190" s="9">
        <f t="shared" si="188"/>
        <v>2766.5772532786063</v>
      </c>
      <c r="AN190" s="9">
        <f t="shared" si="188"/>
        <v>2775.6343072931909</v>
      </c>
      <c r="AO190" s="9">
        <f t="shared" si="188"/>
        <v>2784.7210117458126</v>
      </c>
      <c r="AP190" s="9">
        <f t="shared" si="188"/>
        <v>2793.8374637042903</v>
      </c>
      <c r="AQ190" s="9">
        <f t="shared" si="188"/>
        <v>2802.983760554217</v>
      </c>
    </row>
    <row r="191" spans="1:43" hidden="1" outlineLevel="4" collapsed="1">
      <c r="A191" s="2"/>
      <c r="B191" s="2"/>
      <c r="C191" s="2"/>
      <c r="D191" s="2"/>
      <c r="E191" s="2" t="s">
        <v>447</v>
      </c>
      <c r="F191" s="2"/>
      <c r="G191" s="2"/>
      <c r="H191" s="9">
        <f t="shared" ref="H191:AQ191" si="189">(H192*H193)</f>
        <v>265038.21624497819</v>
      </c>
      <c r="I191" s="9">
        <f t="shared" si="189"/>
        <v>317250.04936824663</v>
      </c>
      <c r="J191" s="9">
        <f t="shared" si="189"/>
        <v>371431.283126347</v>
      </c>
      <c r="K191" s="9">
        <f t="shared" si="189"/>
        <v>427639.56323802035</v>
      </c>
      <c r="L191" s="9">
        <f t="shared" si="189"/>
        <v>485934.04896248976</v>
      </c>
      <c r="M191" s="9">
        <f t="shared" si="189"/>
        <v>546375.45050110202</v>
      </c>
      <c r="N191" s="9">
        <f t="shared" si="189"/>
        <v>609026.06728818477</v>
      </c>
      <c r="O191" s="9">
        <f t="shared" si="189"/>
        <v>673949.82719169767</v>
      </c>
      <c r="P191" s="9">
        <f t="shared" si="189"/>
        <v>741212.32664473623</v>
      </c>
      <c r="Q191" s="9">
        <f t="shared" si="189"/>
        <v>810880.8717294035</v>
      </c>
      <c r="R191" s="9">
        <f t="shared" si="189"/>
        <v>883024.52023508074</v>
      </c>
      <c r="S191" s="9">
        <f t="shared" si="189"/>
        <v>957714.12471360422</v>
      </c>
      <c r="T191" s="9">
        <f t="shared" si="189"/>
        <v>1035022.3765543739</v>
      </c>
      <c r="U191" s="9">
        <f t="shared" si="189"/>
        <v>1115023.8511029531</v>
      </c>
      <c r="V191" s="9">
        <f t="shared" si="189"/>
        <v>1197795.0538472263</v>
      </c>
      <c r="W191" s="9">
        <f t="shared" si="189"/>
        <v>1283414.4676957519</v>
      </c>
      <c r="X191" s="9">
        <f t="shared" si="189"/>
        <v>1371962.6013734946</v>
      </c>
      <c r="Y191" s="9">
        <f t="shared" si="189"/>
        <v>1463522.0389606864</v>
      </c>
      <c r="Z191" s="9">
        <f t="shared" si="189"/>
        <v>1558177.4906011652</v>
      </c>
      <c r="AA191" s="9">
        <f t="shared" si="189"/>
        <v>1656015.8444071074</v>
      </c>
      <c r="AB191" s="9">
        <f t="shared" si="189"/>
        <v>1757126.21958772</v>
      </c>
      <c r="AC191" s="9">
        <f t="shared" si="189"/>
        <v>1861600.020830032</v>
      </c>
      <c r="AD191" s="9">
        <f t="shared" si="189"/>
        <v>1969530.9939606108</v>
      </c>
      <c r="AE191" s="9">
        <f t="shared" si="189"/>
        <v>2081015.2829176346</v>
      </c>
      <c r="AF191" s="9">
        <f t="shared" si="189"/>
        <v>2196151.4880634649</v>
      </c>
      <c r="AG191" s="9">
        <f t="shared" si="189"/>
        <v>2315040.7258684891</v>
      </c>
      <c r="AH191" s="9">
        <f t="shared" si="189"/>
        <v>2437786.6899977392</v>
      </c>
      <c r="AI191" s="9">
        <f t="shared" si="189"/>
        <v>2564495.7138324953</v>
      </c>
      <c r="AJ191" s="9">
        <f t="shared" si="189"/>
        <v>2695276.8344598063</v>
      </c>
      <c r="AK191" s="9">
        <f t="shared" si="189"/>
        <v>2830241.8581635687</v>
      </c>
      <c r="AL191" s="9">
        <f t="shared" si="189"/>
        <v>2969505.4274516483</v>
      </c>
      <c r="AM191" s="9">
        <f t="shared" si="189"/>
        <v>3113185.0896542179</v>
      </c>
      <c r="AN191" s="9">
        <f t="shared" si="189"/>
        <v>3261401.3671293068</v>
      </c>
      <c r="AO191" s="9">
        <f t="shared" si="189"/>
        <v>3414277.8291124045</v>
      </c>
      <c r="AP191" s="9">
        <f t="shared" si="189"/>
        <v>3571941.1652477374</v>
      </c>
      <c r="AQ191" s="9">
        <f t="shared" si="189"/>
        <v>3734521.2608397119</v>
      </c>
    </row>
    <row r="192" spans="1:43" hidden="1" outlineLevel="5">
      <c r="A192" s="2"/>
      <c r="B192" s="2"/>
      <c r="C192" s="2"/>
      <c r="D192" s="2"/>
      <c r="E192" s="2"/>
      <c r="F192" s="2" t="s">
        <v>337</v>
      </c>
      <c r="G192" s="2"/>
      <c r="H192" s="9">
        <f t="shared" ref="H192:AQ192" si="190">H21</f>
        <v>77.952416542640648</v>
      </c>
      <c r="I192" s="9">
        <f t="shared" si="190"/>
        <v>93.004365956733551</v>
      </c>
      <c r="J192" s="9">
        <f t="shared" si="190"/>
        <v>108.53271611084627</v>
      </c>
      <c r="K192" s="9">
        <f t="shared" si="190"/>
        <v>124.54910912134501</v>
      </c>
      <c r="L192" s="9">
        <f t="shared" si="190"/>
        <v>141.06544199039129</v>
      </c>
      <c r="M192" s="9">
        <f t="shared" si="190"/>
        <v>158.09387185590228</v>
      </c>
      <c r="N192" s="9">
        <f t="shared" si="190"/>
        <v>175.64682134553883</v>
      </c>
      <c r="O192" s="9">
        <f t="shared" si="190"/>
        <v>193.73698403672688</v>
      </c>
      <c r="P192" s="9">
        <f t="shared" si="190"/>
        <v>212.37733002475892</v>
      </c>
      <c r="Q192" s="9">
        <f t="shared" si="190"/>
        <v>231.58111160105645</v>
      </c>
      <c r="R192" s="9">
        <f t="shared" si="190"/>
        <v>251.36186904371974</v>
      </c>
      <c r="S192" s="9">
        <f t="shared" si="190"/>
        <v>271.73343652252623</v>
      </c>
      <c r="T192" s="9">
        <f t="shared" si="190"/>
        <v>292.70994812058086</v>
      </c>
      <c r="U192" s="9">
        <f t="shared" si="190"/>
        <v>314.3058439748678</v>
      </c>
      <c r="V192" s="9">
        <f t="shared" si="190"/>
        <v>336.53587653798763</v>
      </c>
      <c r="W192" s="9">
        <f t="shared" si="190"/>
        <v>359.41511696341331</v>
      </c>
      <c r="X192" s="9">
        <f t="shared" si="190"/>
        <v>382.95896161664126</v>
      </c>
      <c r="Y192" s="9">
        <f t="shared" si="190"/>
        <v>407.18313871465551</v>
      </c>
      <c r="Z192" s="9">
        <f t="shared" si="190"/>
        <v>432.10371509617448</v>
      </c>
      <c r="AA192" s="9">
        <f t="shared" si="190"/>
        <v>457.73710312518773</v>
      </c>
      <c r="AB192" s="9">
        <f t="shared" si="190"/>
        <v>484.10006773034945</v>
      </c>
      <c r="AC192" s="9">
        <f t="shared" si="190"/>
        <v>511.20973358282913</v>
      </c>
      <c r="AD192" s="9">
        <f t="shared" si="190"/>
        <v>539.08359241528387</v>
      </c>
      <c r="AE192" s="9">
        <f t="shared" si="190"/>
        <v>567.73951048465392</v>
      </c>
      <c r="AF192" s="9">
        <f t="shared" si="190"/>
        <v>597.19573618154607</v>
      </c>
      <c r="AG192" s="9">
        <f t="shared" si="190"/>
        <v>627.47090778900952</v>
      </c>
      <c r="AH192" s="9">
        <f t="shared" si="190"/>
        <v>658.58406139356919</v>
      </c>
      <c r="AI192" s="9">
        <f t="shared" si="190"/>
        <v>690.55463895143714</v>
      </c>
      <c r="AJ192" s="9">
        <f t="shared" si="190"/>
        <v>723.40249651287206</v>
      </c>
      <c r="AK192" s="9">
        <f t="shared" si="190"/>
        <v>757.14791260770926</v>
      </c>
      <c r="AL192" s="9">
        <f t="shared" si="190"/>
        <v>791.81159679515952</v>
      </c>
      <c r="AM192" s="9">
        <f t="shared" si="190"/>
        <v>827.41469838100875</v>
      </c>
      <c r="AN192" s="9">
        <f t="shared" si="190"/>
        <v>863.97881530542134</v>
      </c>
      <c r="AO192" s="9">
        <f t="shared" si="190"/>
        <v>901.5260032046175</v>
      </c>
      <c r="AP192" s="9">
        <f t="shared" si="190"/>
        <v>940.07878464974033</v>
      </c>
      <c r="AQ192" s="9">
        <f t="shared" si="190"/>
        <v>979.66015856630349</v>
      </c>
    </row>
    <row r="193" spans="1:43" hidden="1" outlineLevel="5">
      <c r="A193" s="2"/>
      <c r="B193" s="2"/>
      <c r="C193" s="2"/>
      <c r="D193" s="2"/>
      <c r="E193" s="2"/>
      <c r="F193" s="2" t="s">
        <v>448</v>
      </c>
      <c r="G193" s="2"/>
      <c r="H193" s="9">
        <f t="shared" ref="H193:AQ193" si="191">western_public_distribution_cost_per_dose*(1+western_public_distribution_cost_per_dose_growth)^((COLUMN()-8)/12)</f>
        <v>3400</v>
      </c>
      <c r="I193" s="9">
        <f t="shared" si="191"/>
        <v>3411.1307152594763</v>
      </c>
      <c r="J193" s="9">
        <f t="shared" si="191"/>
        <v>3422.2978695843017</v>
      </c>
      <c r="K193" s="9">
        <f t="shared" si="191"/>
        <v>3433.5015822664941</v>
      </c>
      <c r="L193" s="9">
        <f t="shared" si="191"/>
        <v>3444.7419729886024</v>
      </c>
      <c r="M193" s="9">
        <f t="shared" si="191"/>
        <v>3456.0191618249855</v>
      </c>
      <c r="N193" s="9">
        <f t="shared" si="191"/>
        <v>3467.333269243094</v>
      </c>
      <c r="O193" s="9">
        <f t="shared" si="191"/>
        <v>3478.6844161047561</v>
      </c>
      <c r="P193" s="9">
        <f t="shared" si="191"/>
        <v>3490.0727236674734</v>
      </c>
      <c r="Q193" s="9">
        <f t="shared" si="191"/>
        <v>3501.498313585711</v>
      </c>
      <c r="R193" s="9">
        <f t="shared" si="191"/>
        <v>3512.9613079121996</v>
      </c>
      <c r="S193" s="9">
        <f t="shared" si="191"/>
        <v>3524.4618290992371</v>
      </c>
      <c r="T193" s="9">
        <f t="shared" si="191"/>
        <v>3536</v>
      </c>
      <c r="U193" s="9">
        <f t="shared" si="191"/>
        <v>3547.5759438698556</v>
      </c>
      <c r="V193" s="9">
        <f t="shared" si="191"/>
        <v>3559.1897843676738</v>
      </c>
      <c r="W193" s="9">
        <f t="shared" si="191"/>
        <v>3570.8416455571542</v>
      </c>
      <c r="X193" s="9">
        <f t="shared" si="191"/>
        <v>3582.5316519081471</v>
      </c>
      <c r="Y193" s="9">
        <f t="shared" si="191"/>
        <v>3594.2599282979854</v>
      </c>
      <c r="Z193" s="9">
        <f t="shared" si="191"/>
        <v>3606.0266000128177</v>
      </c>
      <c r="AA193" s="9">
        <f t="shared" si="191"/>
        <v>3617.8317927489466</v>
      </c>
      <c r="AB193" s="9">
        <f t="shared" si="191"/>
        <v>3629.6756326141726</v>
      </c>
      <c r="AC193" s="9">
        <f t="shared" si="191"/>
        <v>3641.5582461291397</v>
      </c>
      <c r="AD193" s="9">
        <f t="shared" si="191"/>
        <v>3653.4797602286876</v>
      </c>
      <c r="AE193" s="9">
        <f t="shared" si="191"/>
        <v>3665.4403022632064</v>
      </c>
      <c r="AF193" s="9">
        <f t="shared" si="191"/>
        <v>3677.4400000000005</v>
      </c>
      <c r="AG193" s="9">
        <f t="shared" si="191"/>
        <v>3689.4789816246494</v>
      </c>
      <c r="AH193" s="9">
        <f t="shared" si="191"/>
        <v>3701.5573757423808</v>
      </c>
      <c r="AI193" s="9">
        <f t="shared" si="191"/>
        <v>3713.6753113794402</v>
      </c>
      <c r="AJ193" s="9">
        <f t="shared" si="191"/>
        <v>3725.8329179844727</v>
      </c>
      <c r="AK193" s="9">
        <f t="shared" si="191"/>
        <v>3738.0303254299051</v>
      </c>
      <c r="AL193" s="9">
        <f t="shared" si="191"/>
        <v>3750.2676640133309</v>
      </c>
      <c r="AM193" s="9">
        <f t="shared" si="191"/>
        <v>3762.545064458905</v>
      </c>
      <c r="AN193" s="9">
        <f t="shared" si="191"/>
        <v>3774.8626579187398</v>
      </c>
      <c r="AO193" s="9">
        <f t="shared" si="191"/>
        <v>3787.2205759743051</v>
      </c>
      <c r="AP193" s="9">
        <f t="shared" si="191"/>
        <v>3799.6189506378346</v>
      </c>
      <c r="AQ193" s="9">
        <f t="shared" si="191"/>
        <v>3812.0579143537348</v>
      </c>
    </row>
    <row r="194" spans="1:43" hidden="1" outlineLevel="4" collapsed="1">
      <c r="A194" s="2"/>
      <c r="B194" s="2"/>
      <c r="C194" s="2"/>
      <c r="D194" s="2"/>
      <c r="E194" s="2" t="s">
        <v>449</v>
      </c>
      <c r="F194" s="2"/>
      <c r="G194" s="2"/>
      <c r="H194" s="9">
        <f t="shared" ref="H194:AQ194" si="192">(H195*H196)</f>
        <v>206329.05178966079</v>
      </c>
      <c r="I194" s="9">
        <f t="shared" si="192"/>
        <v>236444.79862534034</v>
      </c>
      <c r="J194" s="9">
        <f t="shared" si="192"/>
        <v>267683.09514736972</v>
      </c>
      <c r="K194" s="9">
        <f t="shared" si="192"/>
        <v>300076.79356806265</v>
      </c>
      <c r="L194" s="9">
        <f t="shared" si="192"/>
        <v>333659.61094361258</v>
      </c>
      <c r="M194" s="9">
        <f t="shared" si="192"/>
        <v>368466.15062100493</v>
      </c>
      <c r="N194" s="9">
        <f t="shared" si="192"/>
        <v>404531.92419675074</v>
      </c>
      <c r="O194" s="9">
        <f t="shared" si="192"/>
        <v>441893.37399932696</v>
      </c>
      <c r="P194" s="9">
        <f t="shared" si="192"/>
        <v>480587.89610749763</v>
      </c>
      <c r="Q194" s="9">
        <f t="shared" si="192"/>
        <v>520653.86391694046</v>
      </c>
      <c r="R194" s="9">
        <f t="shared" si="192"/>
        <v>562130.6522679195</v>
      </c>
      <c r="S194" s="9">
        <f t="shared" si="192"/>
        <v>605058.6621469995</v>
      </c>
      <c r="T194" s="9">
        <f t="shared" si="192"/>
        <v>649479.3459761258</v>
      </c>
      <c r="U194" s="9">
        <f t="shared" si="192"/>
        <v>695435.2335026731</v>
      </c>
      <c r="V194" s="9">
        <f t="shared" si="192"/>
        <v>742969.95830438216</v>
      </c>
      <c r="W194" s="9">
        <f t="shared" si="192"/>
        <v>792128.28492343135</v>
      </c>
      <c r="X194" s="9">
        <f t="shared" si="192"/>
        <v>842956.136644196</v>
      </c>
      <c r="Y194" s="9">
        <f t="shared" si="192"/>
        <v>895500.62392958661</v>
      </c>
      <c r="Z194" s="9">
        <f t="shared" si="192"/>
        <v>949810.07353120751</v>
      </c>
      <c r="AA194" s="9">
        <f t="shared" si="192"/>
        <v>1005934.0582888965</v>
      </c>
      <c r="AB194" s="9">
        <f t="shared" si="192"/>
        <v>1063923.4276355819</v>
      </c>
      <c r="AC194" s="9">
        <f t="shared" si="192"/>
        <v>1123830.3388237543</v>
      </c>
      <c r="AD194" s="9">
        <f t="shared" si="192"/>
        <v>1185708.2888901983</v>
      </c>
      <c r="AE194" s="9">
        <f t="shared" si="192"/>
        <v>1249612.147376033</v>
      </c>
      <c r="AF194" s="9">
        <f t="shared" si="192"/>
        <v>1315598.189819487</v>
      </c>
      <c r="AG194" s="9">
        <f t="shared" si="192"/>
        <v>1383724.132039218</v>
      </c>
      <c r="AH194" s="9">
        <f t="shared" si="192"/>
        <v>1454049.1652264006</v>
      </c>
      <c r="AI194" s="9">
        <f t="shared" si="192"/>
        <v>1526633.9918642307</v>
      </c>
      <c r="AJ194" s="9">
        <f t="shared" si="192"/>
        <v>1601540.8624938859</v>
      </c>
      <c r="AK194" s="9">
        <f t="shared" si="192"/>
        <v>1678833.6133464363</v>
      </c>
      <c r="AL194" s="9">
        <f t="shared" si="192"/>
        <v>1758577.7048606495</v>
      </c>
      <c r="AM194" s="9">
        <f t="shared" si="192"/>
        <v>1840840.2611070438</v>
      </c>
      <c r="AN194" s="9">
        <f t="shared" si="192"/>
        <v>1925690.1101390482</v>
      </c>
      <c r="AO194" s="9">
        <f t="shared" si="192"/>
        <v>2013197.825292585</v>
      </c>
      <c r="AP194" s="9">
        <f t="shared" si="192"/>
        <v>2103435.7674558456</v>
      </c>
      <c r="AQ194" s="9">
        <f t="shared" si="192"/>
        <v>2196478.1283315769</v>
      </c>
    </row>
    <row r="195" spans="1:43" hidden="1" outlineLevel="5">
      <c r="A195" s="2"/>
      <c r="B195" s="2"/>
      <c r="C195" s="2"/>
      <c r="D195" s="2"/>
      <c r="E195" s="2"/>
      <c r="F195" s="2" t="s">
        <v>350</v>
      </c>
      <c r="G195" s="2"/>
      <c r="H195" s="9">
        <f t="shared" ref="H195:AQ195" si="193">H36</f>
        <v>49.125964711823997</v>
      </c>
      <c r="I195" s="9">
        <f t="shared" si="193"/>
        <v>56.112682304734143</v>
      </c>
      <c r="J195" s="9">
        <f t="shared" si="193"/>
        <v>63.318813027559358</v>
      </c>
      <c r="K195" s="9">
        <f t="shared" si="193"/>
        <v>70.749729760879859</v>
      </c>
      <c r="L195" s="9">
        <f t="shared" si="193"/>
        <v>78.410923504080728</v>
      </c>
      <c r="M195" s="9">
        <f t="shared" si="193"/>
        <v>86.308005819556527</v>
      </c>
      <c r="N195" s="9">
        <f t="shared" si="193"/>
        <v>94.446711325570945</v>
      </c>
      <c r="O195" s="9">
        <f t="shared" si="193"/>
        <v>102.83290023871263</v>
      </c>
      <c r="P195" s="9">
        <f t="shared" si="193"/>
        <v>111.47256096691062</v>
      </c>
      <c r="Q195" s="9">
        <f t="shared" si="193"/>
        <v>120.37181275398481</v>
      </c>
      <c r="R195" s="9">
        <f t="shared" si="193"/>
        <v>129.53690837673281</v>
      </c>
      <c r="S195" s="9">
        <f t="shared" si="193"/>
        <v>138.97423689556641</v>
      </c>
      <c r="T195" s="9">
        <f t="shared" si="193"/>
        <v>148.69032645973576</v>
      </c>
      <c r="U195" s="9">
        <f t="shared" si="193"/>
        <v>158.69184716819603</v>
      </c>
      <c r="V195" s="9">
        <f t="shared" si="193"/>
        <v>168.98561398719102</v>
      </c>
      <c r="W195" s="9">
        <f t="shared" si="193"/>
        <v>179.57858972565131</v>
      </c>
      <c r="X195" s="9">
        <f t="shared" si="193"/>
        <v>190.47788806952275</v>
      </c>
      <c r="Y195" s="9">
        <f t="shared" si="193"/>
        <v>201.69077667616205</v>
      </c>
      <c r="Z195" s="9">
        <f t="shared" si="193"/>
        <v>213.22468032996201</v>
      </c>
      <c r="AA195" s="9">
        <f t="shared" si="193"/>
        <v>225.08718416038371</v>
      </c>
      <c r="AB195" s="9">
        <f t="shared" si="193"/>
        <v>237.2860369236021</v>
      </c>
      <c r="AC195" s="9">
        <f t="shared" si="193"/>
        <v>249.82915434899141</v>
      </c>
      <c r="AD195" s="9">
        <f t="shared" si="193"/>
        <v>262.7246225516983</v>
      </c>
      <c r="AE195" s="9">
        <f t="shared" si="193"/>
        <v>275.9807015125777</v>
      </c>
      <c r="AF195" s="9">
        <f t="shared" si="193"/>
        <v>289.60582862678899</v>
      </c>
      <c r="AG195" s="9">
        <f t="shared" si="193"/>
        <v>303.60862232237383</v>
      </c>
      <c r="AH195" s="9">
        <f t="shared" si="193"/>
        <v>317.99788575016089</v>
      </c>
      <c r="AI195" s="9">
        <f t="shared" si="193"/>
        <v>332.78261054637511</v>
      </c>
      <c r="AJ195" s="9">
        <f t="shared" si="193"/>
        <v>347.97198066934385</v>
      </c>
      <c r="AK195" s="9">
        <f t="shared" si="193"/>
        <v>363.57537631172818</v>
      </c>
      <c r="AL195" s="9">
        <f t="shared" si="193"/>
        <v>379.60237788973194</v>
      </c>
      <c r="AM195" s="9">
        <f t="shared" si="193"/>
        <v>396.0627701107644</v>
      </c>
      <c r="AN195" s="9">
        <f t="shared" si="193"/>
        <v>412.96654612106539</v>
      </c>
      <c r="AO195" s="9">
        <f t="shared" si="193"/>
        <v>430.32391173483086</v>
      </c>
      <c r="AP195" s="9">
        <f t="shared" si="193"/>
        <v>448.14528974639717</v>
      </c>
      <c r="AQ195" s="9">
        <f t="shared" si="193"/>
        <v>466.44132432708591</v>
      </c>
    </row>
    <row r="196" spans="1:43" hidden="1" outlineLevel="5">
      <c r="A196" s="2"/>
      <c r="B196" s="2"/>
      <c r="C196" s="2"/>
      <c r="D196" s="2"/>
      <c r="E196" s="2"/>
      <c r="F196" s="2" t="s">
        <v>450</v>
      </c>
      <c r="G196" s="2"/>
      <c r="H196" s="9">
        <f t="shared" ref="H196:AQ196" si="194">eastern_public_distribution_cost_per_dose*(1+eastern_public_distribution_cost_per_dose_growth)^((COLUMN()-8)/12)</f>
        <v>4200</v>
      </c>
      <c r="I196" s="9">
        <f t="shared" si="194"/>
        <v>4213.7497070852351</v>
      </c>
      <c r="J196" s="9">
        <f t="shared" si="194"/>
        <v>4227.5444271335491</v>
      </c>
      <c r="K196" s="9">
        <f t="shared" si="194"/>
        <v>4241.3843075056693</v>
      </c>
      <c r="L196" s="9">
        <f t="shared" si="194"/>
        <v>4255.2694960447443</v>
      </c>
      <c r="M196" s="9">
        <f t="shared" si="194"/>
        <v>4269.200141077923</v>
      </c>
      <c r="N196" s="9">
        <f t="shared" si="194"/>
        <v>4283.1763914179392</v>
      </c>
      <c r="O196" s="9">
        <f t="shared" si="194"/>
        <v>4297.198396364699</v>
      </c>
      <c r="P196" s="9">
        <f t="shared" si="194"/>
        <v>4311.2663057068794</v>
      </c>
      <c r="Q196" s="9">
        <f t="shared" si="194"/>
        <v>4325.3802697235251</v>
      </c>
      <c r="R196" s="9">
        <f t="shared" si="194"/>
        <v>4339.5404391856582</v>
      </c>
      <c r="S196" s="9">
        <f t="shared" si="194"/>
        <v>4353.746965357881</v>
      </c>
      <c r="T196" s="9">
        <f t="shared" si="194"/>
        <v>4368</v>
      </c>
      <c r="U196" s="9">
        <f t="shared" si="194"/>
        <v>4382.2996953686452</v>
      </c>
      <c r="V196" s="9">
        <f t="shared" si="194"/>
        <v>4396.6462042188914</v>
      </c>
      <c r="W196" s="9">
        <f t="shared" si="194"/>
        <v>4411.0396798058964</v>
      </c>
      <c r="X196" s="9">
        <f t="shared" si="194"/>
        <v>4425.4802758865344</v>
      </c>
      <c r="Y196" s="9">
        <f t="shared" si="194"/>
        <v>4439.9681467210412</v>
      </c>
      <c r="Z196" s="9">
        <f t="shared" si="194"/>
        <v>4454.5034470746568</v>
      </c>
      <c r="AA196" s="9">
        <f t="shared" si="194"/>
        <v>4469.0863322192872</v>
      </c>
      <c r="AB196" s="9">
        <f t="shared" si="194"/>
        <v>4483.7169579351548</v>
      </c>
      <c r="AC196" s="9">
        <f t="shared" si="194"/>
        <v>4498.3954805124667</v>
      </c>
      <c r="AD196" s="9">
        <f t="shared" si="194"/>
        <v>4513.1220567530845</v>
      </c>
      <c r="AE196" s="9">
        <f t="shared" si="194"/>
        <v>4527.8968439721957</v>
      </c>
      <c r="AF196" s="9">
        <f t="shared" si="194"/>
        <v>4542.72</v>
      </c>
      <c r="AG196" s="9">
        <f t="shared" si="194"/>
        <v>4557.5916831833902</v>
      </c>
      <c r="AH196" s="9">
        <f t="shared" si="194"/>
        <v>4572.5120523876467</v>
      </c>
      <c r="AI196" s="9">
        <f t="shared" si="194"/>
        <v>4587.481266998132</v>
      </c>
      <c r="AJ196" s="9">
        <f t="shared" si="194"/>
        <v>4602.4994869219963</v>
      </c>
      <c r="AK196" s="9">
        <f t="shared" si="194"/>
        <v>4617.5668725898822</v>
      </c>
      <c r="AL196" s="9">
        <f t="shared" si="194"/>
        <v>4632.6835849576437</v>
      </c>
      <c r="AM196" s="9">
        <f t="shared" si="194"/>
        <v>4647.8497855080586</v>
      </c>
      <c r="AN196" s="9">
        <f t="shared" si="194"/>
        <v>4663.0656362525606</v>
      </c>
      <c r="AO196" s="9">
        <f t="shared" si="194"/>
        <v>4678.3312997329649</v>
      </c>
      <c r="AP196" s="9">
        <f t="shared" si="194"/>
        <v>4693.6469390232078</v>
      </c>
      <c r="AQ196" s="9">
        <f t="shared" si="194"/>
        <v>4709.0127177310842</v>
      </c>
    </row>
    <row r="197" spans="1:43" hidden="1" outlineLevel="4" collapsed="1">
      <c r="A197" s="2"/>
      <c r="B197" s="2"/>
      <c r="C197" s="2"/>
      <c r="D197" s="2"/>
      <c r="E197" s="2" t="s">
        <v>451</v>
      </c>
      <c r="F197" s="2"/>
      <c r="G197" s="2"/>
      <c r="H197" s="9">
        <f t="shared" ref="H197:AQ197" si="195">(H198*H199)</f>
        <v>151321.18928700537</v>
      </c>
      <c r="I197" s="9">
        <f t="shared" si="195"/>
        <v>167615.699412152</v>
      </c>
      <c r="J197" s="9">
        <f t="shared" si="195"/>
        <v>184507.63211252494</v>
      </c>
      <c r="K197" s="9">
        <f t="shared" si="195"/>
        <v>202014.46718125246</v>
      </c>
      <c r="L197" s="9">
        <f t="shared" si="195"/>
        <v>220154.14628463984</v>
      </c>
      <c r="M197" s="9">
        <f t="shared" si="195"/>
        <v>238945.0844725137</v>
      </c>
      <c r="N197" s="9">
        <f t="shared" si="195"/>
        <v>258406.18196469077</v>
      </c>
      <c r="O197" s="9">
        <f t="shared" si="195"/>
        <v>278556.83622002095</v>
      </c>
      <c r="P197" s="9">
        <f t="shared" si="195"/>
        <v>299416.95429460378</v>
      </c>
      <c r="Q197" s="9">
        <f t="shared" si="195"/>
        <v>321006.96549591859</v>
      </c>
      <c r="R197" s="9">
        <f t="shared" si="195"/>
        <v>343347.83433978021</v>
      </c>
      <c r="S197" s="9">
        <f t="shared" si="195"/>
        <v>366461.07381716929</v>
      </c>
      <c r="T197" s="9">
        <f t="shared" si="195"/>
        <v>390368.75897816912</v>
      </c>
      <c r="U197" s="9">
        <f t="shared" si="195"/>
        <v>415093.54084038612</v>
      </c>
      <c r="V197" s="9">
        <f t="shared" si="195"/>
        <v>440658.66062941344</v>
      </c>
      <c r="W197" s="9">
        <f t="shared" si="195"/>
        <v>467087.96435906581</v>
      </c>
      <c r="X197" s="9">
        <f t="shared" si="195"/>
        <v>494405.9177592863</v>
      </c>
      <c r="Y197" s="9">
        <f t="shared" si="195"/>
        <v>522637.62155981298</v>
      </c>
      <c r="Z197" s="9">
        <f t="shared" si="195"/>
        <v>551808.82713787223</v>
      </c>
      <c r="AA197" s="9">
        <f t="shared" si="195"/>
        <v>581945.95253835572</v>
      </c>
      <c r="AB197" s="9">
        <f t="shared" si="195"/>
        <v>613076.09887513646</v>
      </c>
      <c r="AC197" s="9">
        <f t="shared" si="195"/>
        <v>645227.06712236069</v>
      </c>
      <c r="AD197" s="9">
        <f t="shared" si="195"/>
        <v>678427.3753047795</v>
      </c>
      <c r="AE197" s="9">
        <f t="shared" si="195"/>
        <v>712706.27609635971</v>
      </c>
      <c r="AF197" s="9">
        <f t="shared" si="195"/>
        <v>748093.77483665908</v>
      </c>
      <c r="AG197" s="9">
        <f t="shared" si="195"/>
        <v>784620.64797462523</v>
      </c>
      <c r="AH197" s="9">
        <f t="shared" si="195"/>
        <v>822318.46194973949</v>
      </c>
      <c r="AI197" s="9">
        <f t="shared" si="195"/>
        <v>861219.5925206237</v>
      </c>
      <c r="AJ197" s="9">
        <f t="shared" si="195"/>
        <v>901357.24455146829</v>
      </c>
      <c r="AK197" s="9">
        <f t="shared" si="195"/>
        <v>942765.4722668794</v>
      </c>
      <c r="AL197" s="9">
        <f t="shared" si="195"/>
        <v>985479.19998597249</v>
      </c>
      <c r="AM197" s="9">
        <f t="shared" si="195"/>
        <v>1029534.243346801</v>
      </c>
      <c r="AN197" s="9">
        <f t="shared" si="195"/>
        <v>1074967.3310324424</v>
      </c>
      <c r="AO197" s="9">
        <f t="shared" si="195"/>
        <v>1121816.1270103401</v>
      </c>
      <c r="AP197" s="9">
        <f t="shared" si="195"/>
        <v>1170119.2532967499</v>
      </c>
      <c r="AQ197" s="9">
        <f t="shared" si="195"/>
        <v>1219916.3132584109</v>
      </c>
    </row>
    <row r="198" spans="1:43" hidden="1" outlineLevel="5">
      <c r="A198" s="2"/>
      <c r="B198" s="2"/>
      <c r="C198" s="2"/>
      <c r="D198" s="2"/>
      <c r="E198" s="2"/>
      <c r="F198" s="2" t="s">
        <v>363</v>
      </c>
      <c r="G198" s="2"/>
      <c r="H198" s="9">
        <f t="shared" ref="H198:AQ198" si="196">H51</f>
        <v>27.0216409441081</v>
      </c>
      <c r="I198" s="9">
        <f t="shared" si="196"/>
        <v>29.833707101239344</v>
      </c>
      <c r="J198" s="9">
        <f t="shared" si="196"/>
        <v>32.733121193529733</v>
      </c>
      <c r="K198" s="9">
        <f t="shared" si="196"/>
        <v>35.722028328775025</v>
      </c>
      <c r="L198" s="9">
        <f t="shared" si="196"/>
        <v>38.802621048315309</v>
      </c>
      <c r="M198" s="9">
        <f t="shared" si="196"/>
        <v>41.977140314892132</v>
      </c>
      <c r="N198" s="9">
        <f t="shared" si="196"/>
        <v>45.247876520294163</v>
      </c>
      <c r="O198" s="9">
        <f t="shared" si="196"/>
        <v>48.617170513177555</v>
      </c>
      <c r="P198" s="9">
        <f t="shared" si="196"/>
        <v>52.087414647454331</v>
      </c>
      <c r="Q198" s="9">
        <f t="shared" si="196"/>
        <v>55.661053851648475</v>
      </c>
      <c r="R198" s="9">
        <f t="shared" si="196"/>
        <v>59.340586719629385</v>
      </c>
      <c r="S198" s="9">
        <f t="shared" si="196"/>
        <v>63.128566623137338</v>
      </c>
      <c r="T198" s="9">
        <f t="shared" si="196"/>
        <v>67.027602846526293</v>
      </c>
      <c r="U198" s="9">
        <f t="shared" si="196"/>
        <v>71.040361744155177</v>
      </c>
      <c r="V198" s="9">
        <f t="shared" si="196"/>
        <v>75.169567920868374</v>
      </c>
      <c r="W198" s="9">
        <f t="shared" si="196"/>
        <v>79.418005436014283</v>
      </c>
      <c r="X198" s="9">
        <f t="shared" si="196"/>
        <v>83.788519031458875</v>
      </c>
      <c r="Y198" s="9">
        <f t="shared" si="196"/>
        <v>88.28401538406068</v>
      </c>
      <c r="Z198" s="9">
        <f t="shared" si="196"/>
        <v>92.907464383081873</v>
      </c>
      <c r="AA198" s="9">
        <f t="shared" si="196"/>
        <v>97.66190043301917</v>
      </c>
      <c r="AB198" s="9">
        <f t="shared" si="196"/>
        <v>102.55042378234846</v>
      </c>
      <c r="AC198" s="9">
        <f t="shared" si="196"/>
        <v>107.57620187868437</v>
      </c>
      <c r="AD198" s="9">
        <f t="shared" si="196"/>
        <v>112.74247075086861</v>
      </c>
      <c r="AE198" s="9">
        <f t="shared" si="196"/>
        <v>118.05253641850682</v>
      </c>
      <c r="AF198" s="9">
        <f t="shared" si="196"/>
        <v>123.50977632948855</v>
      </c>
      <c r="AG198" s="9">
        <f t="shared" si="196"/>
        <v>129.11764082602878</v>
      </c>
      <c r="AH198" s="9">
        <f t="shared" si="196"/>
        <v>134.87965463978594</v>
      </c>
      <c r="AI198" s="9">
        <f t="shared" si="196"/>
        <v>140.79941841661818</v>
      </c>
      <c r="AJ198" s="9">
        <f t="shared" si="196"/>
        <v>146.88061027155058</v>
      </c>
      <c r="AK198" s="9">
        <f t="shared" si="196"/>
        <v>153.1269873745388</v>
      </c>
      <c r="AL198" s="9">
        <f t="shared" si="196"/>
        <v>159.54238756762339</v>
      </c>
      <c r="AM198" s="9">
        <f t="shared" si="196"/>
        <v>166.13073101408258</v>
      </c>
      <c r="AN198" s="9">
        <f t="shared" si="196"/>
        <v>172.89602188020007</v>
      </c>
      <c r="AO198" s="9">
        <f t="shared" si="196"/>
        <v>179.84235005027949</v>
      </c>
      <c r="AP198" s="9">
        <f t="shared" si="196"/>
        <v>186.9738928755466</v>
      </c>
      <c r="AQ198" s="9">
        <f t="shared" si="196"/>
        <v>194.29491695759253</v>
      </c>
    </row>
    <row r="199" spans="1:43" hidden="1" outlineLevel="5">
      <c r="A199" s="2"/>
      <c r="B199" s="2"/>
      <c r="C199" s="2"/>
      <c r="D199" s="2"/>
      <c r="E199" s="2"/>
      <c r="F199" s="2" t="s">
        <v>452</v>
      </c>
      <c r="G199" s="2"/>
      <c r="H199" s="9">
        <f t="shared" ref="H199:AQ199" si="197">northern_public_distribution_cost_per_dose*(1+northern_public_distribution_cost_per_dose_growth)^((COLUMN()-8)/12)</f>
        <v>5600</v>
      </c>
      <c r="I199" s="9">
        <f t="shared" si="197"/>
        <v>5618.3329427803137</v>
      </c>
      <c r="J199" s="9">
        <f t="shared" si="197"/>
        <v>5636.7259028447324</v>
      </c>
      <c r="K199" s="9">
        <f t="shared" si="197"/>
        <v>5655.1790766742251</v>
      </c>
      <c r="L199" s="9">
        <f t="shared" si="197"/>
        <v>5673.6926613929927</v>
      </c>
      <c r="M199" s="9">
        <f t="shared" si="197"/>
        <v>5692.2668547705644</v>
      </c>
      <c r="N199" s="9">
        <f t="shared" si="197"/>
        <v>5710.9018552239195</v>
      </c>
      <c r="O199" s="9">
        <f t="shared" si="197"/>
        <v>5729.5978618195986</v>
      </c>
      <c r="P199" s="9">
        <f t="shared" si="197"/>
        <v>5748.3550742758389</v>
      </c>
      <c r="Q199" s="9">
        <f t="shared" si="197"/>
        <v>5767.1736929647004</v>
      </c>
      <c r="R199" s="9">
        <f t="shared" si="197"/>
        <v>5786.053918914211</v>
      </c>
      <c r="S199" s="9">
        <f t="shared" si="197"/>
        <v>5804.9959538105077</v>
      </c>
      <c r="T199" s="9">
        <f t="shared" si="197"/>
        <v>5824</v>
      </c>
      <c r="U199" s="9">
        <f t="shared" si="197"/>
        <v>5843.0662604915269</v>
      </c>
      <c r="V199" s="9">
        <f t="shared" si="197"/>
        <v>5862.1949389585216</v>
      </c>
      <c r="W199" s="9">
        <f t="shared" si="197"/>
        <v>5881.3862397411949</v>
      </c>
      <c r="X199" s="9">
        <f t="shared" si="197"/>
        <v>5900.6403678487122</v>
      </c>
      <c r="Y199" s="9">
        <f t="shared" si="197"/>
        <v>5919.9575289613877</v>
      </c>
      <c r="Z199" s="9">
        <f t="shared" si="197"/>
        <v>5939.3379294328761</v>
      </c>
      <c r="AA199" s="9">
        <f t="shared" si="197"/>
        <v>5958.7817762923823</v>
      </c>
      <c r="AB199" s="9">
        <f t="shared" si="197"/>
        <v>5978.2892772468731</v>
      </c>
      <c r="AC199" s="9">
        <f t="shared" si="197"/>
        <v>5997.8606406832887</v>
      </c>
      <c r="AD199" s="9">
        <f t="shared" si="197"/>
        <v>6017.4960756707796</v>
      </c>
      <c r="AE199" s="9">
        <f t="shared" si="197"/>
        <v>6037.1957919629285</v>
      </c>
      <c r="AF199" s="9">
        <f t="shared" si="197"/>
        <v>6056.9600000000009</v>
      </c>
      <c r="AG199" s="9">
        <f t="shared" si="197"/>
        <v>6076.7889109111875</v>
      </c>
      <c r="AH199" s="9">
        <f t="shared" si="197"/>
        <v>6096.6827365168629</v>
      </c>
      <c r="AI199" s="9">
        <f t="shared" si="197"/>
        <v>6116.6416893308433</v>
      </c>
      <c r="AJ199" s="9">
        <f t="shared" si="197"/>
        <v>6136.6659825626612</v>
      </c>
      <c r="AK199" s="9">
        <f t="shared" si="197"/>
        <v>6156.7558301198433</v>
      </c>
      <c r="AL199" s="9">
        <f t="shared" si="197"/>
        <v>6176.9114466101919</v>
      </c>
      <c r="AM199" s="9">
        <f t="shared" si="197"/>
        <v>6197.1330473440785</v>
      </c>
      <c r="AN199" s="9">
        <f t="shared" si="197"/>
        <v>6217.4208483367483</v>
      </c>
      <c r="AO199" s="9">
        <f t="shared" si="197"/>
        <v>6237.7750663106208</v>
      </c>
      <c r="AP199" s="9">
        <f t="shared" si="197"/>
        <v>6258.1959186976101</v>
      </c>
      <c r="AQ199" s="9">
        <f t="shared" si="197"/>
        <v>6278.6836236414456</v>
      </c>
    </row>
    <row r="200" spans="1:43" hidden="1" outlineLevel="3" collapsed="1">
      <c r="A200" s="2"/>
      <c r="B200" s="2"/>
      <c r="C200" s="2"/>
      <c r="D200" s="2" t="s">
        <v>453</v>
      </c>
      <c r="E200" s="2"/>
      <c r="F200" s="2"/>
      <c r="G200" s="2"/>
      <c r="H200" s="9">
        <f t="shared" ref="H200:AQ200" si="198">(((H201+H204)+H207)+H210)</f>
        <v>168667.98938246095</v>
      </c>
      <c r="I200" s="9">
        <f t="shared" si="198"/>
        <v>214115.81541426823</v>
      </c>
      <c r="J200" s="9">
        <f t="shared" si="198"/>
        <v>261189.26318394934</v>
      </c>
      <c r="K200" s="9">
        <f t="shared" si="198"/>
        <v>309932.91356113588</v>
      </c>
      <c r="L200" s="9">
        <f t="shared" si="198"/>
        <v>360392.43969452404</v>
      </c>
      <c r="M200" s="9">
        <f t="shared" si="198"/>
        <v>412614.6321451132</v>
      </c>
      <c r="N200" s="9">
        <f t="shared" si="198"/>
        <v>466647.42457502824</v>
      </c>
      <c r="O200" s="9">
        <f t="shared" si="198"/>
        <v>522539.9200038659</v>
      </c>
      <c r="P200" s="9">
        <f t="shared" si="198"/>
        <v>580342.41764476616</v>
      </c>
      <c r="Q200" s="9">
        <f t="shared" si="198"/>
        <v>640106.44033265428</v>
      </c>
      <c r="R200" s="9">
        <f t="shared" si="198"/>
        <v>701884.76255737687</v>
      </c>
      <c r="S200" s="9">
        <f t="shared" si="198"/>
        <v>765731.43911470636</v>
      </c>
      <c r="T200" s="9">
        <f t="shared" si="198"/>
        <v>831701.83438847796</v>
      </c>
      <c r="U200" s="9">
        <f t="shared" si="198"/>
        <v>899852.65227738628</v>
      </c>
      <c r="V200" s="9">
        <f t="shared" si="198"/>
        <v>970241.9667802637</v>
      </c>
      <c r="W200" s="9">
        <f t="shared" si="198"/>
        <v>1042929.2532539527</v>
      </c>
      <c r="X200" s="9">
        <f t="shared" si="198"/>
        <v>1117975.4203581731</v>
      </c>
      <c r="Y200" s="9">
        <f t="shared" si="198"/>
        <v>1195442.8427020949</v>
      </c>
      <c r="Z200" s="9">
        <f t="shared" si="198"/>
        <v>1275395.3942076389</v>
      </c>
      <c r="AA200" s="9">
        <f t="shared" si="198"/>
        <v>1357898.4822048247</v>
      </c>
      <c r="AB200" s="9">
        <f t="shared" si="198"/>
        <v>1443019.0822748425</v>
      </c>
      <c r="AC200" s="9">
        <f t="shared" si="198"/>
        <v>1530825.7738568068</v>
      </c>
      <c r="AD200" s="9">
        <f t="shared" si="198"/>
        <v>1621388.7766345278</v>
      </c>
      <c r="AE200" s="9">
        <f t="shared" si="198"/>
        <v>1714779.9877199493</v>
      </c>
      <c r="AF200" s="9">
        <f t="shared" si="198"/>
        <v>1811073.0196502823</v>
      </c>
      <c r="AG200" s="9">
        <f t="shared" si="198"/>
        <v>1910343.2392161712</v>
      </c>
      <c r="AH200" s="9">
        <f t="shared" si="198"/>
        <v>2012667.8071386428</v>
      </c>
      <c r="AI200" s="9">
        <f t="shared" si="198"/>
        <v>2118125.7186129387</v>
      </c>
      <c r="AJ200" s="9">
        <f t="shared" si="198"/>
        <v>2226797.8447377025</v>
      </c>
      <c r="AK200" s="9">
        <f t="shared" si="198"/>
        <v>2338766.9748483896</v>
      </c>
      <c r="AL200" s="9">
        <f t="shared" si="198"/>
        <v>2454117.8597741746</v>
      </c>
      <c r="AM200" s="9">
        <f t="shared" si="198"/>
        <v>2572937.2560380036</v>
      </c>
      <c r="AN200" s="9">
        <f t="shared" si="198"/>
        <v>2695313.9710198711</v>
      </c>
      <c r="AO200" s="9">
        <f t="shared" si="198"/>
        <v>2821338.9091038378</v>
      </c>
      <c r="AP200" s="9">
        <f t="shared" si="198"/>
        <v>2951105.1188296708</v>
      </c>
      <c r="AQ200" s="9">
        <f t="shared" si="198"/>
        <v>3084707.8410705165</v>
      </c>
    </row>
    <row r="201" spans="1:43" hidden="1" outlineLevel="4" collapsed="1">
      <c r="A201" s="2"/>
      <c r="B201" s="2"/>
      <c r="C201" s="2"/>
      <c r="D201" s="2"/>
      <c r="E201" s="2" t="s">
        <v>454</v>
      </c>
      <c r="F201" s="2"/>
      <c r="G201" s="2"/>
      <c r="H201" s="9">
        <f t="shared" ref="H201:AQ201" si="199">(H202*H203)</f>
        <v>104146.27114763614</v>
      </c>
      <c r="I201" s="9">
        <f t="shared" si="199"/>
        <v>138285.519567368</v>
      </c>
      <c r="J201" s="9">
        <f t="shared" si="199"/>
        <v>173646.19291097624</v>
      </c>
      <c r="K201" s="9">
        <f t="shared" si="199"/>
        <v>210261.67501050606</v>
      </c>
      <c r="L201" s="9">
        <f t="shared" si="199"/>
        <v>248166.16444935391</v>
      </c>
      <c r="M201" s="9">
        <f t="shared" si="199"/>
        <v>287394.6932374654</v>
      </c>
      <c r="N201" s="9">
        <f t="shared" si="199"/>
        <v>327983.14589785977</v>
      </c>
      <c r="O201" s="9">
        <f t="shared" si="199"/>
        <v>369968.27897329</v>
      </c>
      <c r="P201" s="9">
        <f t="shared" si="199"/>
        <v>413387.74096204067</v>
      </c>
      <c r="Q201" s="9">
        <f t="shared" si="199"/>
        <v>458280.09269204637</v>
      </c>
      <c r="R201" s="9">
        <f t="shared" si="199"/>
        <v>504684.82814271597</v>
      </c>
      <c r="S201" s="9">
        <f t="shared" si="199"/>
        <v>552642.39572403394</v>
      </c>
      <c r="T201" s="9">
        <f t="shared" si="199"/>
        <v>602194.22002272285</v>
      </c>
      <c r="U201" s="9">
        <f t="shared" si="199"/>
        <v>653382.72402544308</v>
      </c>
      <c r="V201" s="9">
        <f t="shared" si="199"/>
        <v>706251.35182922601</v>
      </c>
      <c r="W201" s="9">
        <f t="shared" si="199"/>
        <v>760844.59184954676</v>
      </c>
      <c r="X201" s="9">
        <f t="shared" si="199"/>
        <v>817208.00053665577</v>
      </c>
      <c r="Y201" s="9">
        <f t="shared" si="199"/>
        <v>875388.22661101888</v>
      </c>
      <c r="Z201" s="9">
        <f t="shared" si="199"/>
        <v>935433.03582893906</v>
      </c>
      <c r="AA201" s="9">
        <f t="shared" si="199"/>
        <v>997391.33628966077</v>
      </c>
      <c r="AB201" s="9">
        <f t="shared" si="199"/>
        <v>1061313.2042955053</v>
      </c>
      <c r="AC201" s="9">
        <f t="shared" si="199"/>
        <v>1127249.9107768107</v>
      </c>
      <c r="AD201" s="9">
        <f t="shared" si="199"/>
        <v>1195253.9482937134</v>
      </c>
      <c r="AE201" s="9">
        <f t="shared" si="199"/>
        <v>1265379.0586270445</v>
      </c>
      <c r="AF201" s="9">
        <f t="shared" si="199"/>
        <v>1337680.2609708929</v>
      </c>
      <c r="AG201" s="9">
        <f t="shared" si="199"/>
        <v>1412213.8807396123</v>
      </c>
      <c r="AH201" s="9">
        <f t="shared" si="199"/>
        <v>1489037.5790023543</v>
      </c>
      <c r="AI201" s="9">
        <f t="shared" si="199"/>
        <v>1568210.3825584676</v>
      </c>
      <c r="AJ201" s="9">
        <f t="shared" si="199"/>
        <v>1649792.7146673703</v>
      </c>
      <c r="AK201" s="9">
        <f t="shared" si="199"/>
        <v>1733846.426446805</v>
      </c>
      <c r="AL201" s="9">
        <f t="shared" si="199"/>
        <v>1820434.8289536708</v>
      </c>
      <c r="AM201" s="9">
        <f t="shared" si="199"/>
        <v>1909622.725961915</v>
      </c>
      <c r="AN201" s="9">
        <f t="shared" si="199"/>
        <v>2001476.4474522702</v>
      </c>
      <c r="AO201" s="9">
        <f t="shared" si="199"/>
        <v>2096063.8838289552</v>
      </c>
      <c r="AP201" s="9">
        <f t="shared" si="199"/>
        <v>2193454.5208787215</v>
      </c>
      <c r="AQ201" s="9">
        <f t="shared" si="199"/>
        <v>2293719.4754880145</v>
      </c>
    </row>
    <row r="202" spans="1:43" hidden="1" outlineLevel="5">
      <c r="A202" s="2"/>
      <c r="B202" s="2"/>
      <c r="C202" s="2"/>
      <c r="D202" s="2"/>
      <c r="E202" s="2"/>
      <c r="F202" s="2" t="s">
        <v>377</v>
      </c>
      <c r="G202" s="2"/>
      <c r="H202" s="9">
        <f t="shared" ref="H202:AQ202" si="200">H67</f>
        <v>32.545709733636293</v>
      </c>
      <c r="I202" s="9">
        <f t="shared" si="200"/>
        <v>43.073214369374298</v>
      </c>
      <c r="J202" s="9">
        <f t="shared" si="200"/>
        <v>53.910877135403446</v>
      </c>
      <c r="K202" s="9">
        <f t="shared" si="200"/>
        <v>65.065655088818033</v>
      </c>
      <c r="L202" s="9">
        <f t="shared" si="200"/>
        <v>76.54464450313445</v>
      </c>
      <c r="M202" s="9">
        <f t="shared" si="200"/>
        <v>88.355083483842805</v>
      </c>
      <c r="N202" s="9">
        <f t="shared" si="200"/>
        <v>100.50435463117405</v>
      </c>
      <c r="O202" s="9">
        <f t="shared" si="200"/>
        <v>112.99998775091048</v>
      </c>
      <c r="P202" s="9">
        <f t="shared" si="200"/>
        <v>125.84966261408384</v>
      </c>
      <c r="Q202" s="9">
        <f t="shared" si="200"/>
        <v>139.06121176641835</v>
      </c>
      <c r="R202" s="9">
        <f t="shared" si="200"/>
        <v>152.64262338839225</v>
      </c>
      <c r="S202" s="9">
        <f t="shared" si="200"/>
        <v>166.60204420680446</v>
      </c>
      <c r="T202" s="9">
        <f t="shared" si="200"/>
        <v>180.94778245875085</v>
      </c>
      <c r="U202" s="9">
        <f t="shared" si="200"/>
        <v>195.68831090892664</v>
      </c>
      <c r="V202" s="9">
        <f t="shared" si="200"/>
        <v>210.83226992119145</v>
      </c>
      <c r="W202" s="9">
        <f t="shared" si="200"/>
        <v>226.38847058534577</v>
      </c>
      <c r="X202" s="9">
        <f t="shared" si="200"/>
        <v>242.36589790008608</v>
      </c>
      <c r="Y202" s="9">
        <f t="shared" si="200"/>
        <v>258.77371401312206</v>
      </c>
      <c r="Z202" s="9">
        <f t="shared" si="200"/>
        <v>275.62126151945603</v>
      </c>
      <c r="AA202" s="9">
        <f t="shared" si="200"/>
        <v>292.9180668188414</v>
      </c>
      <c r="AB202" s="9">
        <f t="shared" si="200"/>
        <v>310.67384353345625</v>
      </c>
      <c r="AC202" s="9">
        <f t="shared" si="200"/>
        <v>328.89849598684339</v>
      </c>
      <c r="AD202" s="9">
        <f t="shared" si="200"/>
        <v>347.60212274518756</v>
      </c>
      <c r="AE202" s="9">
        <f t="shared" si="200"/>
        <v>366.79502022201859</v>
      </c>
      <c r="AF202" s="9">
        <f t="shared" si="200"/>
        <v>386.48768634745193</v>
      </c>
      <c r="AG202" s="9">
        <f t="shared" si="200"/>
        <v>406.69082430308572</v>
      </c>
      <c r="AH202" s="9">
        <f t="shared" si="200"/>
        <v>427.4153463237069</v>
      </c>
      <c r="AI202" s="9">
        <f t="shared" si="200"/>
        <v>448.67237756697017</v>
      </c>
      <c r="AJ202" s="9">
        <f t="shared" si="200"/>
        <v>470.47326005223351</v>
      </c>
      <c r="AK202" s="9">
        <f t="shared" si="200"/>
        <v>492.82955666975772</v>
      </c>
      <c r="AL202" s="9">
        <f t="shared" si="200"/>
        <v>515.75305526149771</v>
      </c>
      <c r="AM202" s="9">
        <f t="shared" si="200"/>
        <v>539.25577277473042</v>
      </c>
      <c r="AN202" s="9">
        <f t="shared" si="200"/>
        <v>563.34995948978838</v>
      </c>
      <c r="AO202" s="9">
        <f t="shared" si="200"/>
        <v>588.04810332319414</v>
      </c>
      <c r="AP202" s="9">
        <f t="shared" si="200"/>
        <v>613.36293420749928</v>
      </c>
      <c r="AQ202" s="9">
        <f t="shared" si="200"/>
        <v>639.30742854917446</v>
      </c>
    </row>
    <row r="203" spans="1:43" hidden="1" outlineLevel="5">
      <c r="A203" s="2"/>
      <c r="B203" s="2"/>
      <c r="C203" s="2"/>
      <c r="D203" s="2"/>
      <c r="E203" s="2"/>
      <c r="F203" s="2" t="s">
        <v>455</v>
      </c>
      <c r="G203" s="2"/>
      <c r="H203" s="9">
        <f t="shared" ref="H203:AQ203" si="201">central_private_distribution_cost_per_dose*(1+central_private_distribution_cost_per_dose_growth)^((COLUMN()-8)/12)</f>
        <v>3200</v>
      </c>
      <c r="I203" s="9">
        <f t="shared" si="201"/>
        <v>3210.4759673030367</v>
      </c>
      <c r="J203" s="9">
        <f t="shared" si="201"/>
        <v>3220.9862301969897</v>
      </c>
      <c r="K203" s="9">
        <f t="shared" si="201"/>
        <v>3231.5309009567004</v>
      </c>
      <c r="L203" s="9">
        <f t="shared" si="201"/>
        <v>3242.1100922245669</v>
      </c>
      <c r="M203" s="9">
        <f t="shared" si="201"/>
        <v>3252.7239170117509</v>
      </c>
      <c r="N203" s="9">
        <f t="shared" si="201"/>
        <v>3263.3724886993823</v>
      </c>
      <c r="O203" s="9">
        <f t="shared" si="201"/>
        <v>3274.0559210397705</v>
      </c>
      <c r="P203" s="9">
        <f t="shared" si="201"/>
        <v>3284.7743281576222</v>
      </c>
      <c r="Q203" s="9">
        <f t="shared" si="201"/>
        <v>3295.5278245512573</v>
      </c>
      <c r="R203" s="9">
        <f t="shared" si="201"/>
        <v>3306.3165250938346</v>
      </c>
      <c r="S203" s="9">
        <f t="shared" si="201"/>
        <v>3317.140545034576</v>
      </c>
      <c r="T203" s="9">
        <f t="shared" si="201"/>
        <v>3328</v>
      </c>
      <c r="U203" s="9">
        <f t="shared" si="201"/>
        <v>3338.8950059951585</v>
      </c>
      <c r="V203" s="9">
        <f t="shared" si="201"/>
        <v>3349.8256794048693</v>
      </c>
      <c r="W203" s="9">
        <f t="shared" si="201"/>
        <v>3360.7921369949686</v>
      </c>
      <c r="X203" s="9">
        <f t="shared" si="201"/>
        <v>3371.7944959135502</v>
      </c>
      <c r="Y203" s="9">
        <f t="shared" si="201"/>
        <v>3382.8328736922217</v>
      </c>
      <c r="Z203" s="9">
        <f t="shared" si="201"/>
        <v>3393.9073882473581</v>
      </c>
      <c r="AA203" s="9">
        <f t="shared" si="201"/>
        <v>3405.0181578813613</v>
      </c>
      <c r="AB203" s="9">
        <f t="shared" si="201"/>
        <v>3416.1653012839274</v>
      </c>
      <c r="AC203" s="9">
        <f t="shared" si="201"/>
        <v>3427.3489375333079</v>
      </c>
      <c r="AD203" s="9">
        <f t="shared" si="201"/>
        <v>3438.569186097588</v>
      </c>
      <c r="AE203" s="9">
        <f t="shared" si="201"/>
        <v>3449.8261668359592</v>
      </c>
      <c r="AF203" s="9">
        <f t="shared" si="201"/>
        <v>3461.1200000000003</v>
      </c>
      <c r="AG203" s="9">
        <f t="shared" si="201"/>
        <v>3472.4508062349641</v>
      </c>
      <c r="AH203" s="9">
        <f t="shared" si="201"/>
        <v>3483.8187065810644</v>
      </c>
      <c r="AI203" s="9">
        <f t="shared" si="201"/>
        <v>3495.2238224747675</v>
      </c>
      <c r="AJ203" s="9">
        <f t="shared" si="201"/>
        <v>3506.6662757500922</v>
      </c>
      <c r="AK203" s="9">
        <f t="shared" si="201"/>
        <v>3518.1461886399106</v>
      </c>
      <c r="AL203" s="9">
        <f t="shared" si="201"/>
        <v>3529.6636837772526</v>
      </c>
      <c r="AM203" s="9">
        <f t="shared" si="201"/>
        <v>3541.2188841966163</v>
      </c>
      <c r="AN203" s="9">
        <f t="shared" si="201"/>
        <v>3552.8119133352848</v>
      </c>
      <c r="AO203" s="9">
        <f t="shared" si="201"/>
        <v>3564.4428950346401</v>
      </c>
      <c r="AP203" s="9">
        <f t="shared" si="201"/>
        <v>3576.1119535414914</v>
      </c>
      <c r="AQ203" s="9">
        <f t="shared" si="201"/>
        <v>3587.8192135093977</v>
      </c>
    </row>
    <row r="204" spans="1:43" hidden="1" outlineLevel="4" collapsed="1">
      <c r="A204" s="2"/>
      <c r="B204" s="2"/>
      <c r="C204" s="2"/>
      <c r="D204" s="2"/>
      <c r="E204" s="2" t="s">
        <v>456</v>
      </c>
      <c r="F204" s="2"/>
      <c r="G204" s="2"/>
      <c r="H204" s="9">
        <f t="shared" ref="H204:AQ204" si="202">(H205*H206)</f>
        <v>40655.986478068509</v>
      </c>
      <c r="I204" s="9">
        <f t="shared" si="202"/>
        <v>49052.285038631686</v>
      </c>
      <c r="J204" s="9">
        <f t="shared" si="202"/>
        <v>57748.784498130335</v>
      </c>
      <c r="K204" s="9">
        <f t="shared" si="202"/>
        <v>66753.764851088519</v>
      </c>
      <c r="L204" s="9">
        <f t="shared" si="202"/>
        <v>76075.710303114727</v>
      </c>
      <c r="M204" s="9">
        <f t="shared" si="202"/>
        <v>85723.314000158309</v>
      </c>
      <c r="N204" s="9">
        <f t="shared" si="202"/>
        <v>95705.482862939607</v>
      </c>
      <c r="O204" s="9">
        <f t="shared" si="202"/>
        <v>106031.34252882731</v>
      </c>
      <c r="P204" s="9">
        <f t="shared" si="202"/>
        <v>116710.24240348532</v>
      </c>
      <c r="Q204" s="9">
        <f t="shared" si="202"/>
        <v>127751.76082465929</v>
      </c>
      <c r="R204" s="9">
        <f t="shared" si="202"/>
        <v>139165.71034052412</v>
      </c>
      <c r="S204" s="9">
        <f t="shared" si="202"/>
        <v>150962.14310506516</v>
      </c>
      <c r="T204" s="9">
        <f t="shared" si="202"/>
        <v>163151.35639301763</v>
      </c>
      <c r="U204" s="9">
        <f t="shared" si="202"/>
        <v>175743.89823694134</v>
      </c>
      <c r="V204" s="9">
        <f t="shared" si="202"/>
        <v>188750.57318906469</v>
      </c>
      <c r="W204" s="9">
        <f t="shared" si="202"/>
        <v>202182.44821058403</v>
      </c>
      <c r="X204" s="9">
        <f t="shared" si="202"/>
        <v>216050.85869116479</v>
      </c>
      <c r="Y204" s="9">
        <f t="shared" si="202"/>
        <v>230367.41460144642</v>
      </c>
      <c r="Z204" s="9">
        <f t="shared" si="202"/>
        <v>245144.00678141351</v>
      </c>
      <c r="AA204" s="9">
        <f t="shared" si="202"/>
        <v>260392.81336755323</v>
      </c>
      <c r="AB204" s="9">
        <f t="shared" si="202"/>
        <v>276126.30636178743</v>
      </c>
      <c r="AC204" s="9">
        <f t="shared" si="202"/>
        <v>292357.25834522041</v>
      </c>
      <c r="AD204" s="9">
        <f t="shared" si="202"/>
        <v>309098.7493398189</v>
      </c>
      <c r="AE204" s="9">
        <f t="shared" si="202"/>
        <v>326364.17382119515</v>
      </c>
      <c r="AF204" s="9">
        <f t="shared" si="202"/>
        <v>344167.2478857438</v>
      </c>
      <c r="AG204" s="9">
        <f t="shared" si="202"/>
        <v>362522.01657543681</v>
      </c>
      <c r="AH204" s="9">
        <f t="shared" si="202"/>
        <v>381442.86136366241</v>
      </c>
      <c r="AI204" s="9">
        <f t="shared" si="202"/>
        <v>400944.50780555914</v>
      </c>
      <c r="AJ204" s="9">
        <f t="shared" si="202"/>
        <v>421042.03335637174</v>
      </c>
      <c r="AK204" s="9">
        <f t="shared" si="202"/>
        <v>441750.87536142615</v>
      </c>
      <c r="AL204" s="9">
        <f t="shared" si="202"/>
        <v>463086.83922140009</v>
      </c>
      <c r="AM204" s="9">
        <f t="shared" si="202"/>
        <v>485066.10673664144</v>
      </c>
      <c r="AN204" s="9">
        <f t="shared" si="202"/>
        <v>507705.24463436537</v>
      </c>
      <c r="AO204" s="9">
        <f t="shared" si="202"/>
        <v>531021.21328264265</v>
      </c>
      <c r="AP204" s="9">
        <f t="shared" si="202"/>
        <v>555031.37559516972</v>
      </c>
      <c r="AQ204" s="9">
        <f t="shared" si="202"/>
        <v>579753.50613090477</v>
      </c>
    </row>
    <row r="205" spans="1:43" hidden="1" outlineLevel="5">
      <c r="A205" s="2"/>
      <c r="B205" s="2"/>
      <c r="C205" s="2"/>
      <c r="D205" s="2"/>
      <c r="E205" s="2"/>
      <c r="F205" s="2" t="s">
        <v>386</v>
      </c>
      <c r="G205" s="2"/>
      <c r="H205" s="9">
        <f t="shared" ref="H205:AQ205" si="203">H78</f>
        <v>9.4548805762950021</v>
      </c>
      <c r="I205" s="9">
        <f t="shared" si="203"/>
        <v>11.370284794851163</v>
      </c>
      <c r="J205" s="9">
        <f t="shared" si="203"/>
        <v>13.34244748506338</v>
      </c>
      <c r="K205" s="9">
        <f t="shared" si="203"/>
        <v>15.372658308664604</v>
      </c>
      <c r="L205" s="9">
        <f t="shared" si="203"/>
        <v>17.462233075247905</v>
      </c>
      <c r="M205" s="9">
        <f t="shared" si="203"/>
        <v>19.612514239529979</v>
      </c>
      <c r="N205" s="9">
        <f t="shared" si="203"/>
        <v>21.824871407690022</v>
      </c>
      <c r="O205" s="9">
        <f t="shared" si="203"/>
        <v>24.100701852944841</v>
      </c>
      <c r="P205" s="9">
        <f t="shared" si="203"/>
        <v>26.441431040524055</v>
      </c>
      <c r="Q205" s="9">
        <f t="shared" si="203"/>
        <v>28.848513162211827</v>
      </c>
      <c r="R205" s="9">
        <f t="shared" si="203"/>
        <v>31.323431680624644</v>
      </c>
      <c r="S205" s="9">
        <f t="shared" si="203"/>
        <v>33.867699883397627</v>
      </c>
      <c r="T205" s="9">
        <f t="shared" si="203"/>
        <v>36.482861447454745</v>
      </c>
      <c r="U205" s="9">
        <f t="shared" si="203"/>
        <v>39.170491013541294</v>
      </c>
      <c r="V205" s="9">
        <f t="shared" si="203"/>
        <v>41.932194771200408</v>
      </c>
      <c r="W205" s="9">
        <f t="shared" si="203"/>
        <v>44.769611054377961</v>
      </c>
      <c r="X205" s="9">
        <f t="shared" si="203"/>
        <v>47.684410947844022</v>
      </c>
      <c r="Y205" s="9">
        <f t="shared" si="203"/>
        <v>50.678298904621904</v>
      </c>
      <c r="Z205" s="9">
        <f t="shared" si="203"/>
        <v>53.7530133746194</v>
      </c>
      <c r="AA205" s="9">
        <f t="shared" si="203"/>
        <v>56.910327444659508</v>
      </c>
      <c r="AB205" s="9">
        <f t="shared" si="203"/>
        <v>60.152049490112873</v>
      </c>
      <c r="AC205" s="9">
        <f t="shared" si="203"/>
        <v>63.480023838335491</v>
      </c>
      <c r="AD205" s="9">
        <f t="shared" si="203"/>
        <v>66.896131444121011</v>
      </c>
      <c r="AE205" s="9">
        <f t="shared" si="203"/>
        <v>70.40229057737848</v>
      </c>
      <c r="AF205" s="9">
        <f t="shared" si="203"/>
        <v>74.000457523252322</v>
      </c>
      <c r="AG205" s="9">
        <f t="shared" si="203"/>
        <v>77.692627294902621</v>
      </c>
      <c r="AH205" s="9">
        <f t="shared" si="203"/>
        <v>81.480834359169236</v>
      </c>
      <c r="AI205" s="9">
        <f t="shared" si="203"/>
        <v>85.367153375346859</v>
      </c>
      <c r="AJ205" s="9">
        <f t="shared" si="203"/>
        <v>89.353699947301578</v>
      </c>
      <c r="AK205" s="9">
        <f t="shared" si="203"/>
        <v>93.442631389163779</v>
      </c>
      <c r="AL205" s="9">
        <f t="shared" si="203"/>
        <v>97.636147504836273</v>
      </c>
      <c r="AM205" s="9">
        <f t="shared" si="203"/>
        <v>101.93649138156074</v>
      </c>
      <c r="AN205" s="9">
        <f t="shared" si="203"/>
        <v>106.34595019778946</v>
      </c>
      <c r="AO205" s="9">
        <f t="shared" si="203"/>
        <v>110.8668560456142</v>
      </c>
      <c r="AP205" s="9">
        <f t="shared" si="203"/>
        <v>115.50158676800706</v>
      </c>
      <c r="AQ205" s="9">
        <f t="shared" si="203"/>
        <v>120.25256681113504</v>
      </c>
    </row>
    <row r="206" spans="1:43" hidden="1" outlineLevel="5">
      <c r="A206" s="2"/>
      <c r="B206" s="2"/>
      <c r="C206" s="2"/>
      <c r="D206" s="2"/>
      <c r="E206" s="2"/>
      <c r="F206" s="2" t="s">
        <v>457</v>
      </c>
      <c r="G206" s="2"/>
      <c r="H206" s="9">
        <f t="shared" ref="H206:AQ206" si="204">western_private_distribution_cost_per_dose*(1+western_private_distribution_cost_per_dose_growth)^((COLUMN()-8)/12)</f>
        <v>4300</v>
      </c>
      <c r="I206" s="9">
        <f t="shared" si="204"/>
        <v>4314.0770810634549</v>
      </c>
      <c r="J206" s="9">
        <f t="shared" si="204"/>
        <v>4328.2002468272049</v>
      </c>
      <c r="K206" s="9">
        <f t="shared" si="204"/>
        <v>4342.3696481605657</v>
      </c>
      <c r="L206" s="9">
        <f t="shared" si="204"/>
        <v>4356.5854364267616</v>
      </c>
      <c r="M206" s="9">
        <f t="shared" si="204"/>
        <v>4370.8477634845403</v>
      </c>
      <c r="N206" s="9">
        <f t="shared" si="204"/>
        <v>4385.156781689795</v>
      </c>
      <c r="O206" s="9">
        <f t="shared" si="204"/>
        <v>4399.512643897192</v>
      </c>
      <c r="P206" s="9">
        <f t="shared" si="204"/>
        <v>4413.9155034618043</v>
      </c>
      <c r="Q206" s="9">
        <f t="shared" si="204"/>
        <v>4428.3655142407524</v>
      </c>
      <c r="R206" s="9">
        <f t="shared" si="204"/>
        <v>4442.8628305948405</v>
      </c>
      <c r="S206" s="9">
        <f t="shared" si="204"/>
        <v>4457.4076073902115</v>
      </c>
      <c r="T206" s="9">
        <f t="shared" si="204"/>
        <v>4472</v>
      </c>
      <c r="U206" s="9">
        <f t="shared" si="204"/>
        <v>4486.6401643059935</v>
      </c>
      <c r="V206" s="9">
        <f t="shared" si="204"/>
        <v>4501.3282567002934</v>
      </c>
      <c r="W206" s="9">
        <f t="shared" si="204"/>
        <v>4516.0644340869894</v>
      </c>
      <c r="X206" s="9">
        <f t="shared" si="204"/>
        <v>4530.8488538838328</v>
      </c>
      <c r="Y206" s="9">
        <f t="shared" si="204"/>
        <v>4545.6816740239228</v>
      </c>
      <c r="Z206" s="9">
        <f t="shared" si="204"/>
        <v>4560.5630529573873</v>
      </c>
      <c r="AA206" s="9">
        <f t="shared" si="204"/>
        <v>4575.4931496530799</v>
      </c>
      <c r="AB206" s="9">
        <f t="shared" si="204"/>
        <v>4590.4721236002779</v>
      </c>
      <c r="AC206" s="9">
        <f t="shared" si="204"/>
        <v>4605.5001348103824</v>
      </c>
      <c r="AD206" s="9">
        <f t="shared" si="204"/>
        <v>4620.5773438186343</v>
      </c>
      <c r="AE206" s="9">
        <f t="shared" si="204"/>
        <v>4635.7039116858195</v>
      </c>
      <c r="AF206" s="9">
        <f t="shared" si="204"/>
        <v>4650.88</v>
      </c>
      <c r="AG206" s="9">
        <f t="shared" si="204"/>
        <v>4666.1057708782328</v>
      </c>
      <c r="AH206" s="9">
        <f t="shared" si="204"/>
        <v>4681.3813869683054</v>
      </c>
      <c r="AI206" s="9">
        <f t="shared" si="204"/>
        <v>4696.7070114504686</v>
      </c>
      <c r="AJ206" s="9">
        <f t="shared" si="204"/>
        <v>4712.0828080391866</v>
      </c>
      <c r="AK206" s="9">
        <f t="shared" si="204"/>
        <v>4727.5089409848797</v>
      </c>
      <c r="AL206" s="9">
        <f t="shared" si="204"/>
        <v>4742.9855750756833</v>
      </c>
      <c r="AM206" s="9">
        <f t="shared" si="204"/>
        <v>4758.5128756392032</v>
      </c>
      <c r="AN206" s="9">
        <f t="shared" si="204"/>
        <v>4774.0910085442883</v>
      </c>
      <c r="AO206" s="9">
        <f t="shared" si="204"/>
        <v>4789.7201402027977</v>
      </c>
      <c r="AP206" s="9">
        <f t="shared" si="204"/>
        <v>4805.4004375713794</v>
      </c>
      <c r="AQ206" s="9">
        <f t="shared" si="204"/>
        <v>4821.1320681532534</v>
      </c>
    </row>
    <row r="207" spans="1:43" hidden="1" outlineLevel="4" collapsed="1">
      <c r="A207" s="2"/>
      <c r="B207" s="2"/>
      <c r="C207" s="2"/>
      <c r="D207" s="2"/>
      <c r="E207" s="2" t="s">
        <v>458</v>
      </c>
      <c r="F207" s="2"/>
      <c r="G207" s="2"/>
      <c r="H207" s="9">
        <f t="shared" ref="H207:AQ207" si="205">(H208*H209)</f>
        <v>16891.19438209245</v>
      </c>
      <c r="I207" s="9">
        <f t="shared" si="205"/>
        <v>19208.962299662988</v>
      </c>
      <c r="J207" s="9">
        <f t="shared" si="205"/>
        <v>21609.52436507952</v>
      </c>
      <c r="K207" s="9">
        <f t="shared" si="205"/>
        <v>24095.19242497125</v>
      </c>
      <c r="L207" s="9">
        <f t="shared" si="205"/>
        <v>26668.336140559411</v>
      </c>
      <c r="M207" s="9">
        <f t="shared" si="205"/>
        <v>29331.38434448605</v>
      </c>
      <c r="N207" s="9">
        <f t="shared" si="205"/>
        <v>32086.826428187342</v>
      </c>
      <c r="O207" s="9">
        <f t="shared" si="205"/>
        <v>34937.213760478851</v>
      </c>
      <c r="P207" s="9">
        <f t="shared" si="205"/>
        <v>37885.161138034964</v>
      </c>
      <c r="Q207" s="9">
        <f t="shared" si="205"/>
        <v>40933.348268458409</v>
      </c>
      <c r="R207" s="9">
        <f t="shared" si="205"/>
        <v>44084.521286651761</v>
      </c>
      <c r="S207" s="9">
        <f t="shared" si="205"/>
        <v>47341.494305217217</v>
      </c>
      <c r="T207" s="9">
        <f t="shared" si="205"/>
        <v>50707.150999626632</v>
      </c>
      <c r="U207" s="9">
        <f t="shared" si="205"/>
        <v>54184.44622891998</v>
      </c>
      <c r="V207" s="9">
        <f t="shared" si="205"/>
        <v>57776.407692705856</v>
      </c>
      <c r="W207" s="9">
        <f t="shared" si="205"/>
        <v>61486.137625255084</v>
      </c>
      <c r="X207" s="9">
        <f t="shared" si="205"/>
        <v>65316.814527494673</v>
      </c>
      <c r="Y207" s="9">
        <f t="shared" si="205"/>
        <v>69271.694937726337</v>
      </c>
      <c r="Z207" s="9">
        <f t="shared" si="205"/>
        <v>73354.115241912776</v>
      </c>
      <c r="AA207" s="9">
        <f t="shared" si="205"/>
        <v>77567.493524390637</v>
      </c>
      <c r="AB207" s="9">
        <f t="shared" si="205"/>
        <v>81915.331459889785</v>
      </c>
      <c r="AC207" s="9">
        <f t="shared" si="205"/>
        <v>86401.216247755088</v>
      </c>
      <c r="AD207" s="9">
        <f t="shared" si="205"/>
        <v>91028.822589287767</v>
      </c>
      <c r="AE207" s="9">
        <f t="shared" si="205"/>
        <v>95801.914709141129</v>
      </c>
      <c r="AF207" s="9">
        <f t="shared" si="205"/>
        <v>100724.34842172758</v>
      </c>
      <c r="AG207" s="9">
        <f t="shared" si="205"/>
        <v>105800.07324361167</v>
      </c>
      <c r="AH207" s="9">
        <f t="shared" si="205"/>
        <v>111033.13455288648</v>
      </c>
      <c r="AI207" s="9">
        <f t="shared" si="205"/>
        <v>116427.67579655095</v>
      </c>
      <c r="AJ207" s="9">
        <f t="shared" si="205"/>
        <v>121987.94074692843</v>
      </c>
      <c r="AK207" s="9">
        <f t="shared" si="205"/>
        <v>127718.27580818614</v>
      </c>
      <c r="AL207" s="9">
        <f t="shared" si="205"/>
        <v>133623.13237404221</v>
      </c>
      <c r="AM207" s="9">
        <f t="shared" si="205"/>
        <v>139707.06923776527</v>
      </c>
      <c r="AN207" s="9">
        <f t="shared" si="205"/>
        <v>145974.75505559766</v>
      </c>
      <c r="AO207" s="9">
        <f t="shared" si="205"/>
        <v>152430.97086475798</v>
      </c>
      <c r="AP207" s="9">
        <f t="shared" si="205"/>
        <v>159080.61265719988</v>
      </c>
      <c r="AQ207" s="9">
        <f t="shared" si="205"/>
        <v>165928.69401033327</v>
      </c>
    </row>
    <row r="208" spans="1:43" hidden="1" outlineLevel="5">
      <c r="A208" s="2"/>
      <c r="B208" s="2"/>
      <c r="C208" s="2"/>
      <c r="D208" s="2"/>
      <c r="E208" s="2"/>
      <c r="F208" s="2" t="s">
        <v>395</v>
      </c>
      <c r="G208" s="2"/>
      <c r="H208" s="9">
        <f t="shared" ref="H208:AQ208" si="206">H89</f>
        <v>3.3119988984494997</v>
      </c>
      <c r="I208" s="9">
        <f t="shared" si="206"/>
        <v>3.7541730104786892</v>
      </c>
      <c r="J208" s="9">
        <f t="shared" si="206"/>
        <v>4.2095545524415687</v>
      </c>
      <c r="K208" s="9">
        <f t="shared" si="206"/>
        <v>4.6784488755190328</v>
      </c>
      <c r="L208" s="9">
        <f t="shared" si="206"/>
        <v>5.1611676287464467</v>
      </c>
      <c r="M208" s="9">
        <f t="shared" si="206"/>
        <v>5.6580288806418375</v>
      </c>
      <c r="N208" s="9">
        <f t="shared" si="206"/>
        <v>6.1693572430841597</v>
      </c>
      <c r="O208" s="9">
        <f t="shared" si="206"/>
        <v>6.6954839974819498</v>
      </c>
      <c r="P208" s="9">
        <f t="shared" si="206"/>
        <v>7.2367472232735404</v>
      </c>
      <c r="Q208" s="9">
        <f t="shared" si="206"/>
        <v>7.79349192880054</v>
      </c>
      <c r="R208" s="9">
        <f t="shared" si="206"/>
        <v>8.3660701845972021</v>
      </c>
      <c r="S208" s="9">
        <f t="shared" si="206"/>
        <v>8.9548412591389415</v>
      </c>
      <c r="T208" s="9">
        <f t="shared" si="206"/>
        <v>9.560171757094011</v>
      </c>
      <c r="U208" s="9">
        <f t="shared" si="206"/>
        <v>10.182435760123225</v>
      </c>
      <c r="V208" s="9">
        <f t="shared" si="206"/>
        <v>10.822014970273246</v>
      </c>
      <c r="W208" s="9">
        <f t="shared" si="206"/>
        <v>11.479298856009892</v>
      </c>
      <c r="X208" s="9">
        <f t="shared" si="206"/>
        <v>12.154684800938705</v>
      </c>
      <c r="Y208" s="9">
        <f t="shared" si="206"/>
        <v>12.848578255260657</v>
      </c>
      <c r="Z208" s="9">
        <f t="shared" si="206"/>
        <v>13.561392890012151</v>
      </c>
      <c r="AA208" s="9">
        <f t="shared" si="206"/>
        <v>14.293550754138723</v>
      </c>
      <c r="AB208" s="9">
        <f t="shared" si="206"/>
        <v>15.045482434453341</v>
      </c>
      <c r="AC208" s="9">
        <f t="shared" si="206"/>
        <v>15.817627218530571</v>
      </c>
      <c r="AD208" s="9">
        <f t="shared" si="206"/>
        <v>16.610433260589144</v>
      </c>
      <c r="AE208" s="9">
        <f t="shared" si="206"/>
        <v>17.424357750416096</v>
      </c>
      <c r="AF208" s="9">
        <f t="shared" si="206"/>
        <v>18.259867085386858</v>
      </c>
      <c r="AG208" s="9">
        <f t="shared" si="206"/>
        <v>19.117437045636358</v>
      </c>
      <c r="AH208" s="9">
        <f t="shared" si="206"/>
        <v>19.997552972437315</v>
      </c>
      <c r="AI208" s="9">
        <f t="shared" si="206"/>
        <v>20.900709949842838</v>
      </c>
      <c r="AJ208" s="9">
        <f t="shared" si="206"/>
        <v>21.827412989651549</v>
      </c>
      <c r="AK208" s="9">
        <f t="shared" si="206"/>
        <v>22.778177219754088</v>
      </c>
      <c r="AL208" s="9">
        <f t="shared" si="206"/>
        <v>23.753528075921572</v>
      </c>
      <c r="AM208" s="9">
        <f t="shared" si="206"/>
        <v>24.754001497096873</v>
      </c>
      <c r="AN208" s="9">
        <f t="shared" si="206"/>
        <v>25.780144124251034</v>
      </c>
      <c r="AO208" s="9">
        <f t="shared" si="206"/>
        <v>26.832513502868505</v>
      </c>
      <c r="AP208" s="9">
        <f t="shared" si="206"/>
        <v>27.911678289125163</v>
      </c>
      <c r="AQ208" s="9">
        <f t="shared" si="206"/>
        <v>29.018218459825171</v>
      </c>
    </row>
    <row r="209" spans="1:43" hidden="1" outlineLevel="5">
      <c r="A209" s="2"/>
      <c r="B209" s="2"/>
      <c r="C209" s="2"/>
      <c r="D209" s="2"/>
      <c r="E209" s="2"/>
      <c r="F209" s="2" t="s">
        <v>459</v>
      </c>
      <c r="G209" s="2"/>
      <c r="H209" s="9">
        <f t="shared" ref="H209:AQ209" si="207">eastern_private_distribution_cost_per_dose*(1+eastern_private_distribution_cost_per_dose_growth)^((COLUMN()-8)/12)</f>
        <v>5100</v>
      </c>
      <c r="I209" s="9">
        <f t="shared" si="207"/>
        <v>5116.6960728892145</v>
      </c>
      <c r="J209" s="9">
        <f t="shared" si="207"/>
        <v>5133.4468043764527</v>
      </c>
      <c r="K209" s="9">
        <f t="shared" si="207"/>
        <v>5150.2523733997414</v>
      </c>
      <c r="L209" s="9">
        <f t="shared" si="207"/>
        <v>5167.1129594829035</v>
      </c>
      <c r="M209" s="9">
        <f t="shared" si="207"/>
        <v>5184.0287427374788</v>
      </c>
      <c r="N209" s="9">
        <f t="shared" si="207"/>
        <v>5200.9999038646411</v>
      </c>
      <c r="O209" s="9">
        <f t="shared" si="207"/>
        <v>5218.0266241571344</v>
      </c>
      <c r="P209" s="9">
        <f t="shared" si="207"/>
        <v>5235.1090855012098</v>
      </c>
      <c r="Q209" s="9">
        <f t="shared" si="207"/>
        <v>5252.2474703785665</v>
      </c>
      <c r="R209" s="9">
        <f t="shared" si="207"/>
        <v>5269.4419618682987</v>
      </c>
      <c r="S209" s="9">
        <f t="shared" si="207"/>
        <v>5286.692743648855</v>
      </c>
      <c r="T209" s="9">
        <f t="shared" si="207"/>
        <v>5304</v>
      </c>
      <c r="U209" s="9">
        <f t="shared" si="207"/>
        <v>5321.3639158047836</v>
      </c>
      <c r="V209" s="9">
        <f t="shared" si="207"/>
        <v>5338.7846765515105</v>
      </c>
      <c r="W209" s="9">
        <f t="shared" si="207"/>
        <v>5356.2624683357317</v>
      </c>
      <c r="X209" s="9">
        <f t="shared" si="207"/>
        <v>5373.7974778622201</v>
      </c>
      <c r="Y209" s="9">
        <f t="shared" si="207"/>
        <v>5391.3898924469786</v>
      </c>
      <c r="Z209" s="9">
        <f t="shared" si="207"/>
        <v>5409.0399000192265</v>
      </c>
      <c r="AA209" s="9">
        <f t="shared" si="207"/>
        <v>5426.7476891234201</v>
      </c>
      <c r="AB209" s="9">
        <f t="shared" si="207"/>
        <v>5444.5134489212596</v>
      </c>
      <c r="AC209" s="9">
        <f t="shared" si="207"/>
        <v>5462.3373691937095</v>
      </c>
      <c r="AD209" s="9">
        <f t="shared" si="207"/>
        <v>5480.2196403430316</v>
      </c>
      <c r="AE209" s="9">
        <f t="shared" si="207"/>
        <v>5498.1604533948093</v>
      </c>
      <c r="AF209" s="9">
        <f t="shared" si="207"/>
        <v>5516.1600000000008</v>
      </c>
      <c r="AG209" s="9">
        <f t="shared" si="207"/>
        <v>5534.2184724369745</v>
      </c>
      <c r="AH209" s="9">
        <f t="shared" si="207"/>
        <v>5552.3360636135712</v>
      </c>
      <c r="AI209" s="9">
        <f t="shared" si="207"/>
        <v>5570.5129670691604</v>
      </c>
      <c r="AJ209" s="9">
        <f t="shared" si="207"/>
        <v>5588.7493769767098</v>
      </c>
      <c r="AK209" s="9">
        <f t="shared" si="207"/>
        <v>5607.0454881448577</v>
      </c>
      <c r="AL209" s="9">
        <f t="shared" si="207"/>
        <v>5625.4014960199966</v>
      </c>
      <c r="AM209" s="9">
        <f t="shared" si="207"/>
        <v>5643.8175966883573</v>
      </c>
      <c r="AN209" s="9">
        <f t="shared" si="207"/>
        <v>5662.2939868781095</v>
      </c>
      <c r="AO209" s="9">
        <f t="shared" si="207"/>
        <v>5680.8308639614579</v>
      </c>
      <c r="AP209" s="9">
        <f t="shared" si="207"/>
        <v>5699.4284259567521</v>
      </c>
      <c r="AQ209" s="9">
        <f t="shared" si="207"/>
        <v>5718.0868715306024</v>
      </c>
    </row>
    <row r="210" spans="1:43" hidden="1" outlineLevel="4" collapsed="1">
      <c r="A210" s="2"/>
      <c r="B210" s="2"/>
      <c r="C210" s="2"/>
      <c r="D210" s="2"/>
      <c r="E210" s="2" t="s">
        <v>460</v>
      </c>
      <c r="F210" s="2"/>
      <c r="G210" s="2"/>
      <c r="H210" s="9">
        <f t="shared" ref="H210:AQ210" si="208">(H211*H212)</f>
        <v>6974.5373746638488</v>
      </c>
      <c r="I210" s="9">
        <f t="shared" si="208"/>
        <v>7569.0485086055787</v>
      </c>
      <c r="J210" s="9">
        <f t="shared" si="208"/>
        <v>8184.7614097632422</v>
      </c>
      <c r="K210" s="9">
        <f t="shared" si="208"/>
        <v>8822.2812745700212</v>
      </c>
      <c r="L210" s="9">
        <f t="shared" si="208"/>
        <v>9482.2288014959922</v>
      </c>
      <c r="M210" s="9">
        <f t="shared" si="208"/>
        <v>10165.240563003454</v>
      </c>
      <c r="N210" s="9">
        <f t="shared" si="208"/>
        <v>10871.969386041517</v>
      </c>
      <c r="O210" s="9">
        <f t="shared" si="208"/>
        <v>11603.084741269771</v>
      </c>
      <c r="P210" s="9">
        <f t="shared" si="208"/>
        <v>12359.273141205189</v>
      </c>
      <c r="Q210" s="9">
        <f t="shared" si="208"/>
        <v>13141.238547490255</v>
      </c>
      <c r="R210" s="9">
        <f t="shared" si="208"/>
        <v>13949.702787485046</v>
      </c>
      <c r="S210" s="9">
        <f t="shared" si="208"/>
        <v>14785.405980390005</v>
      </c>
      <c r="T210" s="9">
        <f t="shared" si="208"/>
        <v>15649.106973110893</v>
      </c>
      <c r="U210" s="9">
        <f t="shared" si="208"/>
        <v>16541.583786081843</v>
      </c>
      <c r="V210" s="9">
        <f t="shared" si="208"/>
        <v>17463.634069267067</v>
      </c>
      <c r="W210" s="9">
        <f t="shared" si="208"/>
        <v>18416.075568566877</v>
      </c>
      <c r="X210" s="9">
        <f t="shared" si="208"/>
        <v>19399.74660285794</v>
      </c>
      <c r="Y210" s="9">
        <f t="shared" si="208"/>
        <v>20415.506551903476</v>
      </c>
      <c r="Z210" s="9">
        <f t="shared" si="208"/>
        <v>21464.236355373334</v>
      </c>
      <c r="AA210" s="9">
        <f t="shared" si="208"/>
        <v>22546.839023219807</v>
      </c>
      <c r="AB210" s="9">
        <f t="shared" si="208"/>
        <v>23664.240157659966</v>
      </c>
      <c r="AC210" s="9">
        <f t="shared" si="208"/>
        <v>24817.388487020537</v>
      </c>
      <c r="AD210" s="9">
        <f t="shared" si="208"/>
        <v>26007.256411707709</v>
      </c>
      <c r="AE210" s="9">
        <f t="shared" si="208"/>
        <v>27234.840562568515</v>
      </c>
      <c r="AF210" s="9">
        <f t="shared" si="208"/>
        <v>28501.162371918035</v>
      </c>
      <c r="AG210" s="9">
        <f t="shared" si="208"/>
        <v>29807.268657510383</v>
      </c>
      <c r="AH210" s="9">
        <f t="shared" si="208"/>
        <v>31154.232219739599</v>
      </c>
      <c r="AI210" s="9">
        <f t="shared" si="208"/>
        <v>32543.152452361177</v>
      </c>
      <c r="AJ210" s="9">
        <f t="shared" si="208"/>
        <v>33975.155967031948</v>
      </c>
      <c r="AK210" s="9">
        <f t="shared" si="208"/>
        <v>35451.397231972354</v>
      </c>
      <c r="AL210" s="9">
        <f t="shared" si="208"/>
        <v>36973.059225061348</v>
      </c>
      <c r="AM210" s="9">
        <f t="shared" si="208"/>
        <v>38541.354101681514</v>
      </c>
      <c r="AN210" s="9">
        <f t="shared" si="208"/>
        <v>40157.523877637926</v>
      </c>
      <c r="AO210" s="9">
        <f t="shared" si="208"/>
        <v>41822.841127482228</v>
      </c>
      <c r="AP210" s="9">
        <f t="shared" si="208"/>
        <v>43538.609698579552</v>
      </c>
      <c r="AQ210" s="9">
        <f t="shared" si="208"/>
        <v>45306.165441263947</v>
      </c>
    </row>
    <row r="211" spans="1:43" hidden="1" outlineLevel="5">
      <c r="A211" s="2"/>
      <c r="B211" s="2"/>
      <c r="C211" s="2"/>
      <c r="D211" s="2"/>
      <c r="E211" s="2"/>
      <c r="F211" s="2" t="s">
        <v>404</v>
      </c>
      <c r="G211" s="2"/>
      <c r="H211" s="9">
        <f t="shared" ref="H211:AQ211" si="209">H100</f>
        <v>1.0567480870702801</v>
      </c>
      <c r="I211" s="9">
        <f t="shared" si="209"/>
        <v>1.1430833740907747</v>
      </c>
      <c r="J211" s="9">
        <f t="shared" si="209"/>
        <v>1.2320354341059565</v>
      </c>
      <c r="K211" s="9">
        <f t="shared" si="209"/>
        <v>1.3236666583061552</v>
      </c>
      <c r="L211" s="9">
        <f t="shared" si="209"/>
        <v>1.4180407625323634</v>
      </c>
      <c r="M211" s="9">
        <f t="shared" si="209"/>
        <v>1.5152228135059327</v>
      </c>
      <c r="N211" s="9">
        <f t="shared" si="209"/>
        <v>1.6152792555538771</v>
      </c>
      <c r="O211" s="9">
        <f t="shared" si="209"/>
        <v>1.7182779378388282</v>
      </c>
      <c r="P211" s="9">
        <f t="shared" si="209"/>
        <v>1.8242881421028816</v>
      </c>
      <c r="Q211" s="9">
        <f t="shared" si="209"/>
        <v>1.9333806109346821</v>
      </c>
      <c r="R211" s="9">
        <f t="shared" si="209"/>
        <v>2.0456275765693244</v>
      </c>
      <c r="S211" s="9">
        <f t="shared" si="209"/>
        <v>2.1611027902307645</v>
      </c>
      <c r="T211" s="9">
        <f t="shared" si="209"/>
        <v>2.2798815520266453</v>
      </c>
      <c r="U211" s="9">
        <f t="shared" si="209"/>
        <v>2.4020407414055942</v>
      </c>
      <c r="V211" s="9">
        <f t="shared" si="209"/>
        <v>2.5276588481872304</v>
      </c>
      <c r="W211" s="9">
        <f t="shared" si="209"/>
        <v>2.6568160041753326</v>
      </c>
      <c r="X211" s="9">
        <f t="shared" si="209"/>
        <v>2.7895940153647412</v>
      </c>
      <c r="Y211" s="9">
        <f t="shared" si="209"/>
        <v>2.9260763947528368</v>
      </c>
      <c r="Z211" s="9">
        <f t="shared" si="209"/>
        <v>3.0663483957665494</v>
      </c>
      <c r="AA211" s="9">
        <f t="shared" si="209"/>
        <v>3.2104970463161049</v>
      </c>
      <c r="AB211" s="9">
        <f t="shared" si="209"/>
        <v>3.3586111834869032</v>
      </c>
      <c r="AC211" s="9">
        <f t="shared" si="209"/>
        <v>3.51078148888107</v>
      </c>
      <c r="AD211" s="9">
        <f t="shared" si="209"/>
        <v>3.6671005246205506</v>
      </c>
      <c r="AE211" s="9">
        <f t="shared" si="209"/>
        <v>3.8276627700236516</v>
      </c>
      <c r="AF211" s="9">
        <f t="shared" si="209"/>
        <v>3.9925646589673596</v>
      </c>
      <c r="AG211" s="9">
        <f t="shared" si="209"/>
        <v>4.1619046179477373</v>
      </c>
      <c r="AH211" s="9">
        <f t="shared" si="209"/>
        <v>4.3357831048511581</v>
      </c>
      <c r="AI211" s="9">
        <f t="shared" si="209"/>
        <v>4.5143026484491973</v>
      </c>
      <c r="AJ211" s="9">
        <f t="shared" si="209"/>
        <v>4.6975678886302887</v>
      </c>
      <c r="AK211" s="9">
        <f t="shared" si="209"/>
        <v>4.8856856173815038</v>
      </c>
      <c r="AL211" s="9">
        <f t="shared" si="209"/>
        <v>5.0787648205339817</v>
      </c>
      <c r="AM211" s="9">
        <f t="shared" si="209"/>
        <v>5.2769167202858762</v>
      </c>
      <c r="AN211" s="9">
        <f t="shared" si="209"/>
        <v>5.480254818516805</v>
      </c>
      <c r="AO211" s="9">
        <f t="shared" si="209"/>
        <v>5.6888949409081757</v>
      </c>
      <c r="AP211" s="9">
        <f t="shared" si="209"/>
        <v>5.9029552818838846</v>
      </c>
      <c r="AQ211" s="9">
        <f t="shared" si="209"/>
        <v>6.12255645038623</v>
      </c>
    </row>
    <row r="212" spans="1:43" hidden="1" outlineLevel="5">
      <c r="A212" s="2"/>
      <c r="B212" s="2"/>
      <c r="C212" s="2"/>
      <c r="D212" s="2"/>
      <c r="E212" s="2"/>
      <c r="F212" s="2" t="s">
        <v>461</v>
      </c>
      <c r="G212" s="2"/>
      <c r="H212" s="9">
        <f t="shared" ref="H212:AQ212" si="210">northern_private_distribution_cost_per_dose*(1+northern_private_distribution_cost_per_dose_growth)^((COLUMN()-8)/12)</f>
        <v>6600</v>
      </c>
      <c r="I212" s="9">
        <f t="shared" si="210"/>
        <v>6621.606682562513</v>
      </c>
      <c r="J212" s="9">
        <f t="shared" si="210"/>
        <v>6643.2840997812918</v>
      </c>
      <c r="K212" s="9">
        <f t="shared" si="210"/>
        <v>6665.0324832231945</v>
      </c>
      <c r="L212" s="9">
        <f t="shared" si="210"/>
        <v>6686.8520652131692</v>
      </c>
      <c r="M212" s="9">
        <f t="shared" si="210"/>
        <v>6708.7430788367365</v>
      </c>
      <c r="N212" s="9">
        <f t="shared" si="210"/>
        <v>6730.7057579424763</v>
      </c>
      <c r="O212" s="9">
        <f t="shared" si="210"/>
        <v>6752.7403371445271</v>
      </c>
      <c r="P212" s="9">
        <f t="shared" si="210"/>
        <v>6774.8470518250961</v>
      </c>
      <c r="Q212" s="9">
        <f t="shared" si="210"/>
        <v>6797.0261381369683</v>
      </c>
      <c r="R212" s="9">
        <f t="shared" si="210"/>
        <v>6819.2778330060337</v>
      </c>
      <c r="S212" s="9">
        <f t="shared" si="210"/>
        <v>6841.6023741338131</v>
      </c>
      <c r="T212" s="9">
        <f t="shared" si="210"/>
        <v>6864</v>
      </c>
      <c r="U212" s="9">
        <f t="shared" si="210"/>
        <v>6886.4709498650136</v>
      </c>
      <c r="V212" s="9">
        <f t="shared" si="210"/>
        <v>6909.0154637725427</v>
      </c>
      <c r="W212" s="9">
        <f t="shared" si="210"/>
        <v>6931.6337825521232</v>
      </c>
      <c r="X212" s="9">
        <f t="shared" si="210"/>
        <v>6954.3261478216973</v>
      </c>
      <c r="Y212" s="9">
        <f t="shared" si="210"/>
        <v>6977.0928019902076</v>
      </c>
      <c r="Z212" s="9">
        <f t="shared" si="210"/>
        <v>6999.9339882601753</v>
      </c>
      <c r="AA212" s="9">
        <f t="shared" si="210"/>
        <v>7022.8499506303078</v>
      </c>
      <c r="AB212" s="9">
        <f t="shared" si="210"/>
        <v>7045.8409338981</v>
      </c>
      <c r="AC212" s="9">
        <f t="shared" si="210"/>
        <v>7068.9071836624471</v>
      </c>
      <c r="AD212" s="9">
        <f t="shared" si="210"/>
        <v>7092.0489463262757</v>
      </c>
      <c r="AE212" s="9">
        <f t="shared" si="210"/>
        <v>7115.2664690991651</v>
      </c>
      <c r="AF212" s="9">
        <f t="shared" si="210"/>
        <v>7138.56</v>
      </c>
      <c r="AG212" s="9">
        <f t="shared" si="210"/>
        <v>7161.9297878596135</v>
      </c>
      <c r="AH212" s="9">
        <f t="shared" si="210"/>
        <v>7185.3760823234452</v>
      </c>
      <c r="AI212" s="9">
        <f t="shared" si="210"/>
        <v>7208.8991338542082</v>
      </c>
      <c r="AJ212" s="9">
        <f t="shared" si="210"/>
        <v>7232.4991937345649</v>
      </c>
      <c r="AK212" s="9">
        <f t="shared" si="210"/>
        <v>7256.1765140698153</v>
      </c>
      <c r="AL212" s="9">
        <f t="shared" si="210"/>
        <v>7279.9313477905835</v>
      </c>
      <c r="AM212" s="9">
        <f t="shared" si="210"/>
        <v>7303.7639486555208</v>
      </c>
      <c r="AN212" s="9">
        <f t="shared" si="210"/>
        <v>7327.6745712540242</v>
      </c>
      <c r="AO212" s="9">
        <f t="shared" si="210"/>
        <v>7351.6634710089456</v>
      </c>
      <c r="AP212" s="9">
        <f t="shared" si="210"/>
        <v>7375.730904179326</v>
      </c>
      <c r="AQ212" s="9">
        <f t="shared" si="210"/>
        <v>7399.877127863132</v>
      </c>
    </row>
    <row r="213" spans="1:43" hidden="1" outlineLevel="3" collapsed="1">
      <c r="A213" s="2"/>
      <c r="B213" s="2"/>
      <c r="C213" s="2"/>
      <c r="D213" s="2" t="s">
        <v>462</v>
      </c>
      <c r="E213" s="2"/>
      <c r="F213" s="2"/>
      <c r="G213" s="2"/>
      <c r="H213" s="9">
        <f t="shared" ref="H213:AQ213" si="211">(((H214+H218)+H222)+H226)</f>
        <v>281245.01972337137</v>
      </c>
      <c r="I213" s="9">
        <f t="shared" si="211"/>
        <v>340508.85979479918</v>
      </c>
      <c r="J213" s="9">
        <f t="shared" si="211"/>
        <v>401968.90168244648</v>
      </c>
      <c r="K213" s="9">
        <f t="shared" si="211"/>
        <v>465688.12567659456</v>
      </c>
      <c r="L213" s="9">
        <f t="shared" si="211"/>
        <v>531731.13103649486</v>
      </c>
      <c r="M213" s="9">
        <f t="shared" si="211"/>
        <v>600164.17515087547</v>
      </c>
      <c r="N213" s="9">
        <f t="shared" si="211"/>
        <v>671055.21360972454</v>
      </c>
      <c r="O213" s="9">
        <f t="shared" si="211"/>
        <v>744473.94120799622</v>
      </c>
      <c r="P213" s="9">
        <f t="shared" si="211"/>
        <v>820491.83390234783</v>
      </c>
      <c r="Q213" s="9">
        <f t="shared" si="211"/>
        <v>899182.19174247514</v>
      </c>
      <c r="R213" s="9">
        <f t="shared" si="211"/>
        <v>980620.18279910949</v>
      </c>
      <c r="S213" s="9">
        <f t="shared" si="211"/>
        <v>1064882.8881112086</v>
      </c>
      <c r="T213" s="9">
        <f t="shared" si="211"/>
        <v>1152049.3476753931</v>
      </c>
      <c r="U213" s="9">
        <f t="shared" si="211"/>
        <v>1242200.6075011776</v>
      </c>
      <c r="V213" s="9">
        <f t="shared" si="211"/>
        <v>1335419.7677560786</v>
      </c>
      <c r="W213" s="9">
        <f t="shared" si="211"/>
        <v>1431792.0320251996</v>
      </c>
      <c r="X213" s="9">
        <f t="shared" si="211"/>
        <v>1531404.7577104645</v>
      </c>
      <c r="Y213" s="9">
        <f t="shared" si="211"/>
        <v>1634347.5075951929</v>
      </c>
      <c r="Z213" s="9">
        <f t="shared" si="211"/>
        <v>1740712.1026003247</v>
      </c>
      <c r="AA213" s="9">
        <f t="shared" si="211"/>
        <v>1850592.675759136</v>
      </c>
      <c r="AB213" s="9">
        <f t="shared" si="211"/>
        <v>1964085.7274379213</v>
      </c>
      <c r="AC213" s="9">
        <f t="shared" si="211"/>
        <v>2081290.1818306998</v>
      </c>
      <c r="AD213" s="9">
        <f t="shared" si="211"/>
        <v>2202307.4447566411</v>
      </c>
      <c r="AE213" s="9">
        <f t="shared" si="211"/>
        <v>2327241.4627895243</v>
      </c>
      <c r="AF213" s="9">
        <f t="shared" si="211"/>
        <v>2456198.7837492228</v>
      </c>
      <c r="AG213" s="9">
        <f t="shared" si="211"/>
        <v>2589288.6185858175</v>
      </c>
      <c r="AH213" s="9">
        <f t="shared" si="211"/>
        <v>2726622.9046876663</v>
      </c>
      <c r="AI213" s="9">
        <f t="shared" si="211"/>
        <v>2868316.3706454444</v>
      </c>
      <c r="AJ213" s="9">
        <f t="shared" si="211"/>
        <v>3014486.6025048341</v>
      </c>
      <c r="AK213" s="9">
        <f t="shared" si="211"/>
        <v>3165254.1115413201</v>
      </c>
      <c r="AL213" s="9">
        <f t="shared" si="211"/>
        <v>3320742.4035912594</v>
      </c>
      <c r="AM213" s="9">
        <f t="shared" si="211"/>
        <v>3481078.0499741295</v>
      </c>
      <c r="AN213" s="9">
        <f t="shared" si="211"/>
        <v>3646390.7600416546</v>
      </c>
      <c r="AO213" s="9">
        <f t="shared" si="211"/>
        <v>3816813.4553903257</v>
      </c>
      <c r="AP213" s="9">
        <f t="shared" si="211"/>
        <v>3992482.3457745262</v>
      </c>
      <c r="AQ213" s="9">
        <f t="shared" si="211"/>
        <v>4173537.0067584617</v>
      </c>
    </row>
    <row r="214" spans="1:43" hidden="1" outlineLevel="4" collapsed="1">
      <c r="A214" s="2"/>
      <c r="B214" s="2"/>
      <c r="C214" s="2"/>
      <c r="D214" s="2"/>
      <c r="E214" s="2" t="s">
        <v>463</v>
      </c>
      <c r="F214" s="2"/>
      <c r="G214" s="2"/>
      <c r="H214" s="9">
        <f t="shared" ref="H214:AQ214" si="212">((H215*H216)*H217)</f>
        <v>115168.33549540865</v>
      </c>
      <c r="I214" s="9">
        <f t="shared" si="212"/>
        <v>148083.05967247547</v>
      </c>
      <c r="J214" s="9">
        <f t="shared" si="212"/>
        <v>182227.18066727294</v>
      </c>
      <c r="K214" s="9">
        <f t="shared" si="212"/>
        <v>217635.9518727925</v>
      </c>
      <c r="L214" s="9">
        <f t="shared" si="212"/>
        <v>254345.53116365735</v>
      </c>
      <c r="M214" s="9">
        <f t="shared" si="212"/>
        <v>292393.00271926587</v>
      </c>
      <c r="N214" s="9">
        <f t="shared" si="212"/>
        <v>331816.39935340587</v>
      </c>
      <c r="O214" s="9">
        <f t="shared" si="212"/>
        <v>372654.72536178282</v>
      </c>
      <c r="P214" s="9">
        <f t="shared" si="212"/>
        <v>414947.97989916161</v>
      </c>
      <c r="Q214" s="9">
        <f t="shared" si="212"/>
        <v>458737.18089807569</v>
      </c>
      <c r="R214" s="9">
        <f t="shared" si="212"/>
        <v>504064.38954133057</v>
      </c>
      <c r="S214" s="9">
        <f t="shared" si="212"/>
        <v>550972.73530078935</v>
      </c>
      <c r="T214" s="9">
        <f t="shared" si="212"/>
        <v>599506.44155521237</v>
      </c>
      <c r="U214" s="9">
        <f t="shared" si="212"/>
        <v>649710.85180020076</v>
      </c>
      <c r="V214" s="9">
        <f t="shared" si="212"/>
        <v>701632.4564635884</v>
      </c>
      <c r="W214" s="9">
        <f t="shared" si="212"/>
        <v>755318.9203399095</v>
      </c>
      <c r="X214" s="9">
        <f t="shared" si="212"/>
        <v>810819.11065788963</v>
      </c>
      <c r="Y214" s="9">
        <f t="shared" si="212"/>
        <v>868183.1257951915</v>
      </c>
      <c r="Z214" s="9">
        <f t="shared" si="212"/>
        <v>927462.32465499104</v>
      </c>
      <c r="AA214" s="9">
        <f t="shared" si="212"/>
        <v>988709.35671925091</v>
      </c>
      <c r="AB214" s="9">
        <f t="shared" si="212"/>
        <v>1051978.1927939078</v>
      </c>
      <c r="AC214" s="9">
        <f t="shared" si="212"/>
        <v>1117324.1564615208</v>
      </c>
      <c r="AD214" s="9">
        <f t="shared" si="212"/>
        <v>1184803.9562572613</v>
      </c>
      <c r="AE214" s="9">
        <f t="shared" si="212"/>
        <v>1254475.71858449</v>
      </c>
      <c r="AF214" s="9">
        <f t="shared" si="212"/>
        <v>1326399.0213865261</v>
      </c>
      <c r="AG214" s="9">
        <f t="shared" si="212"/>
        <v>1400634.9285915478</v>
      </c>
      <c r="AH214" s="9">
        <f t="shared" si="212"/>
        <v>1477246.0253479844</v>
      </c>
      <c r="AI214" s="9">
        <f t="shared" si="212"/>
        <v>1556296.4540681129</v>
      </c>
      <c r="AJ214" s="9">
        <f t="shared" si="212"/>
        <v>1637851.9512979588</v>
      </c>
      <c r="AK214" s="9">
        <f t="shared" si="212"/>
        <v>1721979.8854320198</v>
      </c>
      <c r="AL214" s="9">
        <f t="shared" si="212"/>
        <v>1808749.2952917335</v>
      </c>
      <c r="AM214" s="9">
        <f t="shared" si="212"/>
        <v>1898230.9295869984</v>
      </c>
      <c r="AN214" s="9">
        <f t="shared" si="212"/>
        <v>1990497.2872805267</v>
      </c>
      <c r="AO214" s="9">
        <f t="shared" si="212"/>
        <v>2085622.6588752221</v>
      </c>
      <c r="AP214" s="9">
        <f t="shared" si="212"/>
        <v>2183683.1686451929</v>
      </c>
      <c r="AQ214" s="9">
        <f t="shared" si="212"/>
        <v>2284756.8178315312</v>
      </c>
    </row>
    <row r="215" spans="1:43" hidden="1" outlineLevel="5">
      <c r="A215" s="2"/>
      <c r="B215" s="2"/>
      <c r="C215" s="2"/>
      <c r="D215" s="2"/>
      <c r="E215" s="2"/>
      <c r="F215" s="2" t="s">
        <v>324</v>
      </c>
      <c r="G215" s="2"/>
      <c r="H215" s="9">
        <f t="shared" ref="H215:AQ215" si="213">H6</f>
        <v>160.51335957548241</v>
      </c>
      <c r="I215" s="9">
        <f t="shared" si="213"/>
        <v>205.79671807888334</v>
      </c>
      <c r="J215" s="9">
        <f t="shared" si="213"/>
        <v>252.52314662590396</v>
      </c>
      <c r="K215" s="9">
        <f t="shared" si="213"/>
        <v>300.72784791742691</v>
      </c>
      <c r="L215" s="9">
        <f t="shared" si="213"/>
        <v>350.4467925713771</v>
      </c>
      <c r="M215" s="9">
        <f t="shared" si="213"/>
        <v>401.71673487527056</v>
      </c>
      <c r="N215" s="9">
        <f t="shared" si="213"/>
        <v>454.57522884962327</v>
      </c>
      <c r="O215" s="9">
        <f t="shared" si="213"/>
        <v>509.06064462819165</v>
      </c>
      <c r="P215" s="9">
        <f t="shared" si="213"/>
        <v>565.21218516113368</v>
      </c>
      <c r="Q215" s="9">
        <f t="shared" si="213"/>
        <v>623.06990324728713</v>
      </c>
      <c r="R215" s="9">
        <f t="shared" si="213"/>
        <v>682.67471890189177</v>
      </c>
      <c r="S215" s="9">
        <f t="shared" si="213"/>
        <v>744.06843706618258</v>
      </c>
      <c r="T215" s="9">
        <f t="shared" si="213"/>
        <v>807.29376566542078</v>
      </c>
      <c r="U215" s="9">
        <f t="shared" si="213"/>
        <v>872.39433402203872</v>
      </c>
      <c r="V215" s="9">
        <f t="shared" si="213"/>
        <v>939.41471163071344</v>
      </c>
      <c r="W215" s="9">
        <f t="shared" si="213"/>
        <v>1008.4004273022929</v>
      </c>
      <c r="X215" s="9">
        <f t="shared" si="213"/>
        <v>1079.397988683658</v>
      </c>
      <c r="Y215" s="9">
        <f t="shared" si="213"/>
        <v>1152.4549021607002</v>
      </c>
      <c r="Z215" s="9">
        <f t="shared" si="213"/>
        <v>1227.6196931517686</v>
      </c>
      <c r="AA215" s="9">
        <f t="shared" si="213"/>
        <v>1304.9419267990445</v>
      </c>
      <c r="AB215" s="9">
        <f t="shared" si="213"/>
        <v>1384.4722290654624</v>
      </c>
      <c r="AC215" s="9">
        <f t="shared" si="213"/>
        <v>1466.2623082449377</v>
      </c>
      <c r="AD215" s="9">
        <f t="shared" si="213"/>
        <v>1550.3649768937896</v>
      </c>
      <c r="AE215" s="9">
        <f t="shared" si="213"/>
        <v>1636.8341741914207</v>
      </c>
      <c r="AF215" s="9">
        <f t="shared" si="213"/>
        <v>1725.7249887384635</v>
      </c>
      <c r="AG215" s="9">
        <f t="shared" si="213"/>
        <v>1817.0936818007167</v>
      </c>
      <c r="AH215" s="9">
        <f t="shared" si="213"/>
        <v>1910.997711007418</v>
      </c>
      <c r="AI215" s="9">
        <f t="shared" si="213"/>
        <v>2007.4957545125096</v>
      </c>
      <c r="AJ215" s="9">
        <f t="shared" si="213"/>
        <v>2106.6477356277283</v>
      </c>
      <c r="AK215" s="9">
        <f t="shared" si="213"/>
        <v>2208.5148479365212</v>
      </c>
      <c r="AL215" s="9">
        <f t="shared" si="213"/>
        <v>2313.1595808979741</v>
      </c>
      <c r="AM215" s="9">
        <f t="shared" si="213"/>
        <v>2420.6457459500621</v>
      </c>
      <c r="AN215" s="9">
        <f t="shared" si="213"/>
        <v>2531.038503121757</v>
      </c>
      <c r="AO215" s="9">
        <f t="shared" si="213"/>
        <v>2644.4043881636935</v>
      </c>
      <c r="AP215" s="9">
        <f t="shared" si="213"/>
        <v>2760.8113402072418</v>
      </c>
      <c r="AQ215" s="9">
        <f t="shared" si="213"/>
        <v>2880.3287299620847</v>
      </c>
    </row>
    <row r="216" spans="1:43" hidden="1" outlineLevel="5">
      <c r="A216" s="2"/>
      <c r="B216" s="2"/>
      <c r="C216" s="2"/>
      <c r="D216" s="2"/>
      <c r="E216" s="2"/>
      <c r="F216" s="2" t="s">
        <v>464</v>
      </c>
      <c r="G216" s="2"/>
      <c r="H216" s="9">
        <f t="shared" ref="H216:AQ216" si="214">central_public_wastage_rate*(1+central_public_wastage_rate_growth)^((COLUMN()-8)/12)</f>
        <v>3.5000000000000003E-2</v>
      </c>
      <c r="I216" s="9">
        <f t="shared" si="214"/>
        <v>3.5000000000000003E-2</v>
      </c>
      <c r="J216" s="9">
        <f t="shared" si="214"/>
        <v>3.5000000000000003E-2</v>
      </c>
      <c r="K216" s="9">
        <f t="shared" si="214"/>
        <v>3.5000000000000003E-2</v>
      </c>
      <c r="L216" s="9">
        <f t="shared" si="214"/>
        <v>3.5000000000000003E-2</v>
      </c>
      <c r="M216" s="9">
        <f t="shared" si="214"/>
        <v>3.5000000000000003E-2</v>
      </c>
      <c r="N216" s="9">
        <f t="shared" si="214"/>
        <v>3.5000000000000003E-2</v>
      </c>
      <c r="O216" s="9">
        <f t="shared" si="214"/>
        <v>3.5000000000000003E-2</v>
      </c>
      <c r="P216" s="9">
        <f t="shared" si="214"/>
        <v>3.5000000000000003E-2</v>
      </c>
      <c r="Q216" s="9">
        <f t="shared" si="214"/>
        <v>3.5000000000000003E-2</v>
      </c>
      <c r="R216" s="9">
        <f t="shared" si="214"/>
        <v>3.5000000000000003E-2</v>
      </c>
      <c r="S216" s="9">
        <f t="shared" si="214"/>
        <v>3.5000000000000003E-2</v>
      </c>
      <c r="T216" s="9">
        <f t="shared" si="214"/>
        <v>3.5000000000000003E-2</v>
      </c>
      <c r="U216" s="9">
        <f t="shared" si="214"/>
        <v>3.5000000000000003E-2</v>
      </c>
      <c r="V216" s="9">
        <f t="shared" si="214"/>
        <v>3.5000000000000003E-2</v>
      </c>
      <c r="W216" s="9">
        <f t="shared" si="214"/>
        <v>3.5000000000000003E-2</v>
      </c>
      <c r="X216" s="9">
        <f t="shared" si="214"/>
        <v>3.5000000000000003E-2</v>
      </c>
      <c r="Y216" s="9">
        <f t="shared" si="214"/>
        <v>3.5000000000000003E-2</v>
      </c>
      <c r="Z216" s="9">
        <f t="shared" si="214"/>
        <v>3.5000000000000003E-2</v>
      </c>
      <c r="AA216" s="9">
        <f t="shared" si="214"/>
        <v>3.5000000000000003E-2</v>
      </c>
      <c r="AB216" s="9">
        <f t="shared" si="214"/>
        <v>3.5000000000000003E-2</v>
      </c>
      <c r="AC216" s="9">
        <f t="shared" si="214"/>
        <v>3.5000000000000003E-2</v>
      </c>
      <c r="AD216" s="9">
        <f t="shared" si="214"/>
        <v>3.5000000000000003E-2</v>
      </c>
      <c r="AE216" s="9">
        <f t="shared" si="214"/>
        <v>3.5000000000000003E-2</v>
      </c>
      <c r="AF216" s="9">
        <f t="shared" si="214"/>
        <v>3.5000000000000003E-2</v>
      </c>
      <c r="AG216" s="9">
        <f t="shared" si="214"/>
        <v>3.5000000000000003E-2</v>
      </c>
      <c r="AH216" s="9">
        <f t="shared" si="214"/>
        <v>3.5000000000000003E-2</v>
      </c>
      <c r="AI216" s="9">
        <f t="shared" si="214"/>
        <v>3.5000000000000003E-2</v>
      </c>
      <c r="AJ216" s="9">
        <f t="shared" si="214"/>
        <v>3.5000000000000003E-2</v>
      </c>
      <c r="AK216" s="9">
        <f t="shared" si="214"/>
        <v>3.5000000000000003E-2</v>
      </c>
      <c r="AL216" s="9">
        <f t="shared" si="214"/>
        <v>3.5000000000000003E-2</v>
      </c>
      <c r="AM216" s="9">
        <f t="shared" si="214"/>
        <v>3.5000000000000003E-2</v>
      </c>
      <c r="AN216" s="9">
        <f t="shared" si="214"/>
        <v>3.5000000000000003E-2</v>
      </c>
      <c r="AO216" s="9">
        <f t="shared" si="214"/>
        <v>3.5000000000000003E-2</v>
      </c>
      <c r="AP216" s="9">
        <f t="shared" si="214"/>
        <v>3.5000000000000003E-2</v>
      </c>
      <c r="AQ216" s="9">
        <f t="shared" si="214"/>
        <v>3.5000000000000003E-2</v>
      </c>
    </row>
    <row r="217" spans="1:43" hidden="1" outlineLevel="5">
      <c r="A217" s="2"/>
      <c r="B217" s="2"/>
      <c r="C217" s="2"/>
      <c r="D217" s="2"/>
      <c r="E217" s="2"/>
      <c r="F217" s="2" t="s">
        <v>416</v>
      </c>
      <c r="G217" s="2"/>
      <c r="H217" s="9">
        <f t="shared" ref="H217:AQ217" si="215">H115</f>
        <v>20500</v>
      </c>
      <c r="I217" s="9">
        <f t="shared" si="215"/>
        <v>20558.853423741071</v>
      </c>
      <c r="J217" s="9">
        <f t="shared" si="215"/>
        <v>20617.875809700974</v>
      </c>
      <c r="K217" s="9">
        <f t="shared" si="215"/>
        <v>20677.067642953127</v>
      </c>
      <c r="L217" s="9">
        <f t="shared" si="215"/>
        <v>20736.429409963537</v>
      </c>
      <c r="M217" s="9">
        <f t="shared" si="215"/>
        <v>20795.961598594826</v>
      </c>
      <c r="N217" s="9">
        <f t="shared" si="215"/>
        <v>20855.664698110199</v>
      </c>
      <c r="O217" s="9">
        <f t="shared" si="215"/>
        <v>20915.539199177496</v>
      </c>
      <c r="P217" s="9">
        <f t="shared" si="215"/>
        <v>20975.585593873209</v>
      </c>
      <c r="Q217" s="9">
        <f t="shared" si="215"/>
        <v>21035.804375686545</v>
      </c>
      <c r="R217" s="9">
        <f t="shared" si="215"/>
        <v>21096.196039523449</v>
      </c>
      <c r="S217" s="9">
        <f t="shared" si="215"/>
        <v>21156.761081710705</v>
      </c>
      <c r="T217" s="9">
        <f t="shared" si="215"/>
        <v>21217.5</v>
      </c>
      <c r="U217" s="9">
        <f t="shared" si="215"/>
        <v>21278.413293572008</v>
      </c>
      <c r="V217" s="9">
        <f t="shared" si="215"/>
        <v>21339.501463040506</v>
      </c>
      <c r="W217" s="9">
        <f t="shared" si="215"/>
        <v>21400.765010456478</v>
      </c>
      <c r="X217" s="9">
        <f t="shared" si="215"/>
        <v>21462.20443931226</v>
      </c>
      <c r="Y217" s="9">
        <f t="shared" si="215"/>
        <v>21523.820254545644</v>
      </c>
      <c r="Z217" s="9">
        <f t="shared" si="215"/>
        <v>21585.612962544055</v>
      </c>
      <c r="AA217" s="9">
        <f t="shared" si="215"/>
        <v>21647.583071148703</v>
      </c>
      <c r="AB217" s="9">
        <f t="shared" si="215"/>
        <v>21709.73108965877</v>
      </c>
      <c r="AC217" s="9">
        <f t="shared" si="215"/>
        <v>21772.057528835572</v>
      </c>
      <c r="AD217" s="9">
        <f t="shared" si="215"/>
        <v>21834.562900906767</v>
      </c>
      <c r="AE217" s="9">
        <f t="shared" si="215"/>
        <v>21897.24771957058</v>
      </c>
      <c r="AF217" s="9">
        <f t="shared" si="215"/>
        <v>21960.112499999996</v>
      </c>
      <c r="AG217" s="9">
        <f t="shared" si="215"/>
        <v>22023.157758847025</v>
      </c>
      <c r="AH217" s="9">
        <f t="shared" si="215"/>
        <v>22086.38401424692</v>
      </c>
      <c r="AI217" s="9">
        <f t="shared" si="215"/>
        <v>22149.791785822461</v>
      </c>
      <c r="AJ217" s="9">
        <f t="shared" si="215"/>
        <v>22213.381594688191</v>
      </c>
      <c r="AK217" s="9">
        <f t="shared" si="215"/>
        <v>22277.153963454737</v>
      </c>
      <c r="AL217" s="9">
        <f t="shared" si="215"/>
        <v>22341.109416233092</v>
      </c>
      <c r="AM217" s="9">
        <f t="shared" si="215"/>
        <v>22405.24847863891</v>
      </c>
      <c r="AN217" s="9">
        <f t="shared" si="215"/>
        <v>22469.571677796823</v>
      </c>
      <c r="AO217" s="9">
        <f t="shared" si="215"/>
        <v>22534.079542344814</v>
      </c>
      <c r="AP217" s="9">
        <f t="shared" si="215"/>
        <v>22598.772602438501</v>
      </c>
      <c r="AQ217" s="9">
        <f t="shared" si="215"/>
        <v>22663.651389755545</v>
      </c>
    </row>
    <row r="218" spans="1:43" hidden="1" outlineLevel="4" collapsed="1">
      <c r="A218" s="2"/>
      <c r="B218" s="2"/>
      <c r="C218" s="2"/>
      <c r="D218" s="2"/>
      <c r="E218" s="2" t="s">
        <v>465</v>
      </c>
      <c r="F218" s="2"/>
      <c r="G218" s="2"/>
      <c r="H218" s="9">
        <f t="shared" ref="H218:AQ218" si="216">((H219*H220)*H221)</f>
        <v>71911.104260585998</v>
      </c>
      <c r="I218" s="9">
        <f t="shared" si="216"/>
        <v>86042.840736260667</v>
      </c>
      <c r="J218" s="9">
        <f t="shared" si="216"/>
        <v>100697.1327928332</v>
      </c>
      <c r="K218" s="9">
        <f t="shared" si="216"/>
        <v>115888.96593772205</v>
      </c>
      <c r="L218" s="9">
        <f t="shared" si="216"/>
        <v>131633.71110085747</v>
      </c>
      <c r="M218" s="9">
        <f t="shared" si="216"/>
        <v>147947.13396398319</v>
      </c>
      <c r="N218" s="9">
        <f t="shared" si="216"/>
        <v>164845.40450721403</v>
      </c>
      <c r="O218" s="9">
        <f t="shared" si="216"/>
        <v>182345.10677777638</v>
      </c>
      <c r="P218" s="9">
        <f t="shared" si="216"/>
        <v>200463.24888596652</v>
      </c>
      <c r="Q218" s="9">
        <f t="shared" si="216"/>
        <v>219217.27323347356</v>
      </c>
      <c r="R218" s="9">
        <f t="shared" si="216"/>
        <v>238625.06697932995</v>
      </c>
      <c r="S218" s="9">
        <f t="shared" si="216"/>
        <v>258704.97274886802</v>
      </c>
      <c r="T218" s="9">
        <f t="shared" si="216"/>
        <v>279475.79959117912</v>
      </c>
      <c r="U218" s="9">
        <f t="shared" si="216"/>
        <v>300956.83419069881</v>
      </c>
      <c r="V218" s="9">
        <f t="shared" si="216"/>
        <v>323167.85233866028</v>
      </c>
      <c r="W218" s="9">
        <f t="shared" si="216"/>
        <v>346129.13067028823</v>
      </c>
      <c r="X218" s="9">
        <f t="shared" si="216"/>
        <v>369861.45867373911</v>
      </c>
      <c r="Y218" s="9">
        <f t="shared" si="216"/>
        <v>394386.1509769187</v>
      </c>
      <c r="Z218" s="9">
        <f t="shared" si="216"/>
        <v>419725.05991845421</v>
      </c>
      <c r="AA218" s="9">
        <f t="shared" si="216"/>
        <v>445900.58840922581</v>
      </c>
      <c r="AB218" s="9">
        <f t="shared" si="216"/>
        <v>472935.70309101668</v>
      </c>
      <c r="AC218" s="9">
        <f t="shared" si="216"/>
        <v>500853.94779897277</v>
      </c>
      <c r="AD218" s="9">
        <f t="shared" si="216"/>
        <v>529679.45733472356</v>
      </c>
      <c r="AE218" s="9">
        <f t="shared" si="216"/>
        <v>559436.97155715921</v>
      </c>
      <c r="AF218" s="9">
        <f t="shared" si="216"/>
        <v>590151.84979801811</v>
      </c>
      <c r="AG218" s="9">
        <f t="shared" si="216"/>
        <v>621850.08560959389</v>
      </c>
      <c r="AH218" s="9">
        <f t="shared" si="216"/>
        <v>654558.32185203314</v>
      </c>
      <c r="AI218" s="9">
        <f t="shared" si="216"/>
        <v>688303.8661278662</v>
      </c>
      <c r="AJ218" s="9">
        <f t="shared" si="216"/>
        <v>723114.70657157339</v>
      </c>
      <c r="AK218" s="9">
        <f t="shared" si="216"/>
        <v>759019.52800216398</v>
      </c>
      <c r="AL218" s="9">
        <f t="shared" si="216"/>
        <v>796047.72844693041</v>
      </c>
      <c r="AM218" s="9">
        <f t="shared" si="216"/>
        <v>834229.43604470557</v>
      </c>
      <c r="AN218" s="9">
        <f t="shared" si="216"/>
        <v>873595.52633714164</v>
      </c>
      <c r="AO218" s="9">
        <f t="shared" si="216"/>
        <v>914177.63995672751</v>
      </c>
      <c r="AP218" s="9">
        <f t="shared" si="216"/>
        <v>956008.20072043058</v>
      </c>
      <c r="AQ218" s="9">
        <f t="shared" si="216"/>
        <v>999120.43413807033</v>
      </c>
    </row>
    <row r="219" spans="1:43" hidden="1" outlineLevel="5">
      <c r="A219" s="2"/>
      <c r="B219" s="2"/>
      <c r="C219" s="2"/>
      <c r="D219" s="2"/>
      <c r="E219" s="2"/>
      <c r="F219" s="2" t="s">
        <v>337</v>
      </c>
      <c r="G219" s="2"/>
      <c r="H219" s="9">
        <f t="shared" ref="H219:AQ219" si="217">H21</f>
        <v>77.952416542640648</v>
      </c>
      <c r="I219" s="9">
        <f t="shared" si="217"/>
        <v>93.004365956733551</v>
      </c>
      <c r="J219" s="9">
        <f t="shared" si="217"/>
        <v>108.53271611084627</v>
      </c>
      <c r="K219" s="9">
        <f t="shared" si="217"/>
        <v>124.54910912134501</v>
      </c>
      <c r="L219" s="9">
        <f t="shared" si="217"/>
        <v>141.06544199039129</v>
      </c>
      <c r="M219" s="9">
        <f t="shared" si="217"/>
        <v>158.09387185590228</v>
      </c>
      <c r="N219" s="9">
        <f t="shared" si="217"/>
        <v>175.64682134553883</v>
      </c>
      <c r="O219" s="9">
        <f t="shared" si="217"/>
        <v>193.73698403672688</v>
      </c>
      <c r="P219" s="9">
        <f t="shared" si="217"/>
        <v>212.37733002475892</v>
      </c>
      <c r="Q219" s="9">
        <f t="shared" si="217"/>
        <v>231.58111160105645</v>
      </c>
      <c r="R219" s="9">
        <f t="shared" si="217"/>
        <v>251.36186904371974</v>
      </c>
      <c r="S219" s="9">
        <f t="shared" si="217"/>
        <v>271.73343652252623</v>
      </c>
      <c r="T219" s="9">
        <f t="shared" si="217"/>
        <v>292.70994812058086</v>
      </c>
      <c r="U219" s="9">
        <f t="shared" si="217"/>
        <v>314.3058439748678</v>
      </c>
      <c r="V219" s="9">
        <f t="shared" si="217"/>
        <v>336.53587653798763</v>
      </c>
      <c r="W219" s="9">
        <f t="shared" si="217"/>
        <v>359.41511696341331</v>
      </c>
      <c r="X219" s="9">
        <f t="shared" si="217"/>
        <v>382.95896161664126</v>
      </c>
      <c r="Y219" s="9">
        <f t="shared" si="217"/>
        <v>407.18313871465551</v>
      </c>
      <c r="Z219" s="9">
        <f t="shared" si="217"/>
        <v>432.10371509617448</v>
      </c>
      <c r="AA219" s="9">
        <f t="shared" si="217"/>
        <v>457.73710312518773</v>
      </c>
      <c r="AB219" s="9">
        <f t="shared" si="217"/>
        <v>484.10006773034945</v>
      </c>
      <c r="AC219" s="9">
        <f t="shared" si="217"/>
        <v>511.20973358282913</v>
      </c>
      <c r="AD219" s="9">
        <f t="shared" si="217"/>
        <v>539.08359241528387</v>
      </c>
      <c r="AE219" s="9">
        <f t="shared" si="217"/>
        <v>567.73951048465392</v>
      </c>
      <c r="AF219" s="9">
        <f t="shared" si="217"/>
        <v>597.19573618154607</v>
      </c>
      <c r="AG219" s="9">
        <f t="shared" si="217"/>
        <v>627.47090778900952</v>
      </c>
      <c r="AH219" s="9">
        <f t="shared" si="217"/>
        <v>658.58406139356919</v>
      </c>
      <c r="AI219" s="9">
        <f t="shared" si="217"/>
        <v>690.55463895143714</v>
      </c>
      <c r="AJ219" s="9">
        <f t="shared" si="217"/>
        <v>723.40249651287206</v>
      </c>
      <c r="AK219" s="9">
        <f t="shared" si="217"/>
        <v>757.14791260770926</v>
      </c>
      <c r="AL219" s="9">
        <f t="shared" si="217"/>
        <v>791.81159679515952</v>
      </c>
      <c r="AM219" s="9">
        <f t="shared" si="217"/>
        <v>827.41469838100875</v>
      </c>
      <c r="AN219" s="9">
        <f t="shared" si="217"/>
        <v>863.97881530542134</v>
      </c>
      <c r="AO219" s="9">
        <f t="shared" si="217"/>
        <v>901.5260032046175</v>
      </c>
      <c r="AP219" s="9">
        <f t="shared" si="217"/>
        <v>940.07878464974033</v>
      </c>
      <c r="AQ219" s="9">
        <f t="shared" si="217"/>
        <v>979.66015856630349</v>
      </c>
    </row>
    <row r="220" spans="1:43" hidden="1" outlineLevel="5">
      <c r="A220" s="2"/>
      <c r="B220" s="2"/>
      <c r="C220" s="2"/>
      <c r="D220" s="2"/>
      <c r="E220" s="2"/>
      <c r="F220" s="2" t="s">
        <v>466</v>
      </c>
      <c r="G220" s="2"/>
      <c r="H220" s="9">
        <f t="shared" ref="H220:AQ220" si="218">western_public_wastage_rate*(1+western_public_wastage_rate_growth)^((COLUMN()-8)/12)</f>
        <v>4.4999999999999998E-2</v>
      </c>
      <c r="I220" s="9">
        <f t="shared" si="218"/>
        <v>4.4999999999999998E-2</v>
      </c>
      <c r="J220" s="9">
        <f t="shared" si="218"/>
        <v>4.4999999999999998E-2</v>
      </c>
      <c r="K220" s="9">
        <f t="shared" si="218"/>
        <v>4.4999999999999998E-2</v>
      </c>
      <c r="L220" s="9">
        <f t="shared" si="218"/>
        <v>4.4999999999999998E-2</v>
      </c>
      <c r="M220" s="9">
        <f t="shared" si="218"/>
        <v>4.4999999999999998E-2</v>
      </c>
      <c r="N220" s="9">
        <f t="shared" si="218"/>
        <v>4.4999999999999998E-2</v>
      </c>
      <c r="O220" s="9">
        <f t="shared" si="218"/>
        <v>4.4999999999999998E-2</v>
      </c>
      <c r="P220" s="9">
        <f t="shared" si="218"/>
        <v>4.4999999999999998E-2</v>
      </c>
      <c r="Q220" s="9">
        <f t="shared" si="218"/>
        <v>4.4999999999999998E-2</v>
      </c>
      <c r="R220" s="9">
        <f t="shared" si="218"/>
        <v>4.4999999999999998E-2</v>
      </c>
      <c r="S220" s="9">
        <f t="shared" si="218"/>
        <v>4.4999999999999998E-2</v>
      </c>
      <c r="T220" s="9">
        <f t="shared" si="218"/>
        <v>4.4999999999999998E-2</v>
      </c>
      <c r="U220" s="9">
        <f t="shared" si="218"/>
        <v>4.4999999999999998E-2</v>
      </c>
      <c r="V220" s="9">
        <f t="shared" si="218"/>
        <v>4.4999999999999998E-2</v>
      </c>
      <c r="W220" s="9">
        <f t="shared" si="218"/>
        <v>4.4999999999999998E-2</v>
      </c>
      <c r="X220" s="9">
        <f t="shared" si="218"/>
        <v>4.4999999999999998E-2</v>
      </c>
      <c r="Y220" s="9">
        <f t="shared" si="218"/>
        <v>4.4999999999999998E-2</v>
      </c>
      <c r="Z220" s="9">
        <f t="shared" si="218"/>
        <v>4.4999999999999998E-2</v>
      </c>
      <c r="AA220" s="9">
        <f t="shared" si="218"/>
        <v>4.4999999999999998E-2</v>
      </c>
      <c r="AB220" s="9">
        <f t="shared" si="218"/>
        <v>4.4999999999999998E-2</v>
      </c>
      <c r="AC220" s="9">
        <f t="shared" si="218"/>
        <v>4.4999999999999998E-2</v>
      </c>
      <c r="AD220" s="9">
        <f t="shared" si="218"/>
        <v>4.4999999999999998E-2</v>
      </c>
      <c r="AE220" s="9">
        <f t="shared" si="218"/>
        <v>4.4999999999999998E-2</v>
      </c>
      <c r="AF220" s="9">
        <f t="shared" si="218"/>
        <v>4.4999999999999998E-2</v>
      </c>
      <c r="AG220" s="9">
        <f t="shared" si="218"/>
        <v>4.4999999999999998E-2</v>
      </c>
      <c r="AH220" s="9">
        <f t="shared" si="218"/>
        <v>4.4999999999999998E-2</v>
      </c>
      <c r="AI220" s="9">
        <f t="shared" si="218"/>
        <v>4.4999999999999998E-2</v>
      </c>
      <c r="AJ220" s="9">
        <f t="shared" si="218"/>
        <v>4.4999999999999998E-2</v>
      </c>
      <c r="AK220" s="9">
        <f t="shared" si="218"/>
        <v>4.4999999999999998E-2</v>
      </c>
      <c r="AL220" s="9">
        <f t="shared" si="218"/>
        <v>4.4999999999999998E-2</v>
      </c>
      <c r="AM220" s="9">
        <f t="shared" si="218"/>
        <v>4.4999999999999998E-2</v>
      </c>
      <c r="AN220" s="9">
        <f t="shared" si="218"/>
        <v>4.4999999999999998E-2</v>
      </c>
      <c r="AO220" s="9">
        <f t="shared" si="218"/>
        <v>4.4999999999999998E-2</v>
      </c>
      <c r="AP220" s="9">
        <f t="shared" si="218"/>
        <v>4.4999999999999998E-2</v>
      </c>
      <c r="AQ220" s="9">
        <f t="shared" si="218"/>
        <v>4.4999999999999998E-2</v>
      </c>
    </row>
    <row r="221" spans="1:43" hidden="1" outlineLevel="5">
      <c r="A221" s="2"/>
      <c r="B221" s="2"/>
      <c r="C221" s="2"/>
      <c r="D221" s="2"/>
      <c r="E221" s="2"/>
      <c r="F221" s="2" t="s">
        <v>416</v>
      </c>
      <c r="G221" s="2"/>
      <c r="H221" s="9">
        <f t="shared" ref="H221:AQ221" si="219">H115</f>
        <v>20500</v>
      </c>
      <c r="I221" s="9">
        <f t="shared" si="219"/>
        <v>20558.853423741071</v>
      </c>
      <c r="J221" s="9">
        <f t="shared" si="219"/>
        <v>20617.875809700974</v>
      </c>
      <c r="K221" s="9">
        <f t="shared" si="219"/>
        <v>20677.067642953127</v>
      </c>
      <c r="L221" s="9">
        <f t="shared" si="219"/>
        <v>20736.429409963537</v>
      </c>
      <c r="M221" s="9">
        <f t="shared" si="219"/>
        <v>20795.961598594826</v>
      </c>
      <c r="N221" s="9">
        <f t="shared" si="219"/>
        <v>20855.664698110199</v>
      </c>
      <c r="O221" s="9">
        <f t="shared" si="219"/>
        <v>20915.539199177496</v>
      </c>
      <c r="P221" s="9">
        <f t="shared" si="219"/>
        <v>20975.585593873209</v>
      </c>
      <c r="Q221" s="9">
        <f t="shared" si="219"/>
        <v>21035.804375686545</v>
      </c>
      <c r="R221" s="9">
        <f t="shared" si="219"/>
        <v>21096.196039523449</v>
      </c>
      <c r="S221" s="9">
        <f t="shared" si="219"/>
        <v>21156.761081710705</v>
      </c>
      <c r="T221" s="9">
        <f t="shared" si="219"/>
        <v>21217.5</v>
      </c>
      <c r="U221" s="9">
        <f t="shared" si="219"/>
        <v>21278.413293572008</v>
      </c>
      <c r="V221" s="9">
        <f t="shared" si="219"/>
        <v>21339.501463040506</v>
      </c>
      <c r="W221" s="9">
        <f t="shared" si="219"/>
        <v>21400.765010456478</v>
      </c>
      <c r="X221" s="9">
        <f t="shared" si="219"/>
        <v>21462.20443931226</v>
      </c>
      <c r="Y221" s="9">
        <f t="shared" si="219"/>
        <v>21523.820254545644</v>
      </c>
      <c r="Z221" s="9">
        <f t="shared" si="219"/>
        <v>21585.612962544055</v>
      </c>
      <c r="AA221" s="9">
        <f t="shared" si="219"/>
        <v>21647.583071148703</v>
      </c>
      <c r="AB221" s="9">
        <f t="shared" si="219"/>
        <v>21709.73108965877</v>
      </c>
      <c r="AC221" s="9">
        <f t="shared" si="219"/>
        <v>21772.057528835572</v>
      </c>
      <c r="AD221" s="9">
        <f t="shared" si="219"/>
        <v>21834.562900906767</v>
      </c>
      <c r="AE221" s="9">
        <f t="shared" si="219"/>
        <v>21897.24771957058</v>
      </c>
      <c r="AF221" s="9">
        <f t="shared" si="219"/>
        <v>21960.112499999996</v>
      </c>
      <c r="AG221" s="9">
        <f t="shared" si="219"/>
        <v>22023.157758847025</v>
      </c>
      <c r="AH221" s="9">
        <f t="shared" si="219"/>
        <v>22086.38401424692</v>
      </c>
      <c r="AI221" s="9">
        <f t="shared" si="219"/>
        <v>22149.791785822461</v>
      </c>
      <c r="AJ221" s="9">
        <f t="shared" si="219"/>
        <v>22213.381594688191</v>
      </c>
      <c r="AK221" s="9">
        <f t="shared" si="219"/>
        <v>22277.153963454737</v>
      </c>
      <c r="AL221" s="9">
        <f t="shared" si="219"/>
        <v>22341.109416233092</v>
      </c>
      <c r="AM221" s="9">
        <f t="shared" si="219"/>
        <v>22405.24847863891</v>
      </c>
      <c r="AN221" s="9">
        <f t="shared" si="219"/>
        <v>22469.571677796823</v>
      </c>
      <c r="AO221" s="9">
        <f t="shared" si="219"/>
        <v>22534.079542344814</v>
      </c>
      <c r="AP221" s="9">
        <f t="shared" si="219"/>
        <v>22598.772602438501</v>
      </c>
      <c r="AQ221" s="9">
        <f t="shared" si="219"/>
        <v>22663.651389755545</v>
      </c>
    </row>
    <row r="222" spans="1:43" hidden="1" outlineLevel="4" collapsed="1">
      <c r="A222" s="2"/>
      <c r="B222" s="2"/>
      <c r="C222" s="2"/>
      <c r="D222" s="2"/>
      <c r="E222" s="2" t="s">
        <v>467</v>
      </c>
      <c r="F222" s="2"/>
      <c r="G222" s="2"/>
      <c r="H222" s="9">
        <f t="shared" ref="H222:AQ222" si="220">((H223*H224)*H225)</f>
        <v>55389.52521258156</v>
      </c>
      <c r="I222" s="9">
        <f t="shared" si="220"/>
        <v>63448.682589378819</v>
      </c>
      <c r="J222" s="9">
        <f t="shared" si="220"/>
        <v>71802.468288094227</v>
      </c>
      <c r="K222" s="9">
        <f t="shared" si="220"/>
        <v>80459.332139250168</v>
      </c>
      <c r="L222" s="9">
        <f t="shared" si="220"/>
        <v>89427.941911683141</v>
      </c>
      <c r="M222" s="9">
        <f t="shared" si="220"/>
        <v>98717.1886071138</v>
      </c>
      <c r="N222" s="9">
        <f t="shared" si="220"/>
        <v>108336.1918784923</v>
      </c>
      <c r="O222" s="9">
        <f t="shared" si="220"/>
        <v>118294.30557493467</v>
      </c>
      <c r="P222" s="9">
        <f t="shared" si="220"/>
        <v>128601.1234161326</v>
      </c>
      <c r="Q222" s="9">
        <f t="shared" si="220"/>
        <v>139266.48479917774</v>
      </c>
      <c r="R222" s="9">
        <f t="shared" si="220"/>
        <v>150300.48074081386</v>
      </c>
      <c r="S222" s="9">
        <f t="shared" si="220"/>
        <v>161713.459958191</v>
      </c>
      <c r="T222" s="9">
        <f t="shared" si="220"/>
        <v>173516.03509126941</v>
      </c>
      <c r="U222" s="9">
        <f t="shared" si="220"/>
        <v>185719.0890700882</v>
      </c>
      <c r="V222" s="9">
        <f t="shared" si="220"/>
        <v>198333.78163018537</v>
      </c>
      <c r="W222" s="9">
        <f t="shared" si="220"/>
        <v>211371.55597953108</v>
      </c>
      <c r="X222" s="9">
        <f t="shared" si="220"/>
        <v>224844.1456204094</v>
      </c>
      <c r="Y222" s="9">
        <f t="shared" si="220"/>
        <v>238763.58132975805</v>
      </c>
      <c r="Z222" s="9">
        <f t="shared" si="220"/>
        <v>253142.19830156071</v>
      </c>
      <c r="AA222" s="9">
        <f t="shared" si="220"/>
        <v>267992.64345495694</v>
      </c>
      <c r="AB222" s="9">
        <f t="shared" si="220"/>
        <v>283327.8829118234</v>
      </c>
      <c r="AC222" s="9">
        <f t="shared" si="220"/>
        <v>299161.20964766201</v>
      </c>
      <c r="AD222" s="9">
        <f t="shared" si="220"/>
        <v>315506.25131971249</v>
      </c>
      <c r="AE222" s="9">
        <f t="shared" si="220"/>
        <v>332376.97827629792</v>
      </c>
      <c r="AF222" s="9">
        <f t="shared" si="220"/>
        <v>349787.71175150032</v>
      </c>
      <c r="AG222" s="9">
        <f t="shared" si="220"/>
        <v>367753.13224935136</v>
      </c>
      <c r="AH222" s="9">
        <f t="shared" si="220"/>
        <v>386288.28812181694</v>
      </c>
      <c r="AI222" s="9">
        <f t="shared" si="220"/>
        <v>405408.60434495599</v>
      </c>
      <c r="AJ222" s="9">
        <f t="shared" si="220"/>
        <v>425129.89149771788</v>
      </c>
      <c r="AK222" s="9">
        <f t="shared" si="220"/>
        <v>445468.35494795494</v>
      </c>
      <c r="AL222" s="9">
        <f t="shared" si="220"/>
        <v>466440.60425032198</v>
      </c>
      <c r="AM222" s="9">
        <f t="shared" si="220"/>
        <v>488063.66276083438</v>
      </c>
      <c r="AN222" s="9">
        <f t="shared" si="220"/>
        <v>510354.97747297067</v>
      </c>
      <c r="AO222" s="9">
        <f t="shared" si="220"/>
        <v>533332.42908031063</v>
      </c>
      <c r="AP222" s="9">
        <f t="shared" si="220"/>
        <v>557014.34227080096</v>
      </c>
      <c r="AQ222" s="9">
        <f t="shared" si="220"/>
        <v>581419.49625787383</v>
      </c>
    </row>
    <row r="223" spans="1:43" hidden="1" outlineLevel="5">
      <c r="A223" s="2"/>
      <c r="B223" s="2"/>
      <c r="C223" s="2"/>
      <c r="D223" s="2"/>
      <c r="E223" s="2"/>
      <c r="F223" s="2" t="s">
        <v>350</v>
      </c>
      <c r="G223" s="2"/>
      <c r="H223" s="9">
        <f t="shared" ref="H223:AQ223" si="221">H36</f>
        <v>49.125964711823997</v>
      </c>
      <c r="I223" s="9">
        <f t="shared" si="221"/>
        <v>56.112682304734143</v>
      </c>
      <c r="J223" s="9">
        <f t="shared" si="221"/>
        <v>63.318813027559358</v>
      </c>
      <c r="K223" s="9">
        <f t="shared" si="221"/>
        <v>70.749729760879859</v>
      </c>
      <c r="L223" s="9">
        <f t="shared" si="221"/>
        <v>78.410923504080728</v>
      </c>
      <c r="M223" s="9">
        <f t="shared" si="221"/>
        <v>86.308005819556527</v>
      </c>
      <c r="N223" s="9">
        <f t="shared" si="221"/>
        <v>94.446711325570945</v>
      </c>
      <c r="O223" s="9">
        <f t="shared" si="221"/>
        <v>102.83290023871263</v>
      </c>
      <c r="P223" s="9">
        <f t="shared" si="221"/>
        <v>111.47256096691062</v>
      </c>
      <c r="Q223" s="9">
        <f t="shared" si="221"/>
        <v>120.37181275398481</v>
      </c>
      <c r="R223" s="9">
        <f t="shared" si="221"/>
        <v>129.53690837673281</v>
      </c>
      <c r="S223" s="9">
        <f t="shared" si="221"/>
        <v>138.97423689556641</v>
      </c>
      <c r="T223" s="9">
        <f t="shared" si="221"/>
        <v>148.69032645973576</v>
      </c>
      <c r="U223" s="9">
        <f t="shared" si="221"/>
        <v>158.69184716819603</v>
      </c>
      <c r="V223" s="9">
        <f t="shared" si="221"/>
        <v>168.98561398719102</v>
      </c>
      <c r="W223" s="9">
        <f t="shared" si="221"/>
        <v>179.57858972565131</v>
      </c>
      <c r="X223" s="9">
        <f t="shared" si="221"/>
        <v>190.47788806952275</v>
      </c>
      <c r="Y223" s="9">
        <f t="shared" si="221"/>
        <v>201.69077667616205</v>
      </c>
      <c r="Z223" s="9">
        <f t="shared" si="221"/>
        <v>213.22468032996201</v>
      </c>
      <c r="AA223" s="9">
        <f t="shared" si="221"/>
        <v>225.08718416038371</v>
      </c>
      <c r="AB223" s="9">
        <f t="shared" si="221"/>
        <v>237.2860369236021</v>
      </c>
      <c r="AC223" s="9">
        <f t="shared" si="221"/>
        <v>249.82915434899141</v>
      </c>
      <c r="AD223" s="9">
        <f t="shared" si="221"/>
        <v>262.7246225516983</v>
      </c>
      <c r="AE223" s="9">
        <f t="shared" si="221"/>
        <v>275.9807015125777</v>
      </c>
      <c r="AF223" s="9">
        <f t="shared" si="221"/>
        <v>289.60582862678899</v>
      </c>
      <c r="AG223" s="9">
        <f t="shared" si="221"/>
        <v>303.60862232237383</v>
      </c>
      <c r="AH223" s="9">
        <f t="shared" si="221"/>
        <v>317.99788575016089</v>
      </c>
      <c r="AI223" s="9">
        <f t="shared" si="221"/>
        <v>332.78261054637511</v>
      </c>
      <c r="AJ223" s="9">
        <f t="shared" si="221"/>
        <v>347.97198066934385</v>
      </c>
      <c r="AK223" s="9">
        <f t="shared" si="221"/>
        <v>363.57537631172818</v>
      </c>
      <c r="AL223" s="9">
        <f t="shared" si="221"/>
        <v>379.60237788973194</v>
      </c>
      <c r="AM223" s="9">
        <f t="shared" si="221"/>
        <v>396.0627701107644</v>
      </c>
      <c r="AN223" s="9">
        <f t="shared" si="221"/>
        <v>412.96654612106539</v>
      </c>
      <c r="AO223" s="9">
        <f t="shared" si="221"/>
        <v>430.32391173483086</v>
      </c>
      <c r="AP223" s="9">
        <f t="shared" si="221"/>
        <v>448.14528974639717</v>
      </c>
      <c r="AQ223" s="9">
        <f t="shared" si="221"/>
        <v>466.44132432708591</v>
      </c>
    </row>
    <row r="224" spans="1:43" hidden="1" outlineLevel="5">
      <c r="A224" s="2"/>
      <c r="B224" s="2"/>
      <c r="C224" s="2"/>
      <c r="D224" s="2"/>
      <c r="E224" s="2"/>
      <c r="F224" s="2" t="s">
        <v>468</v>
      </c>
      <c r="G224" s="2"/>
      <c r="H224" s="9">
        <f t="shared" ref="H224:AQ224" si="222">eastern_public_wastage_rate*(1+eastern_public_wastage_rate_growth)^((COLUMN()-8)/12)</f>
        <v>5.5E-2</v>
      </c>
      <c r="I224" s="9">
        <f t="shared" si="222"/>
        <v>5.5E-2</v>
      </c>
      <c r="J224" s="9">
        <f t="shared" si="222"/>
        <v>5.5E-2</v>
      </c>
      <c r="K224" s="9">
        <f t="shared" si="222"/>
        <v>5.5E-2</v>
      </c>
      <c r="L224" s="9">
        <f t="shared" si="222"/>
        <v>5.5E-2</v>
      </c>
      <c r="M224" s="9">
        <f t="shared" si="222"/>
        <v>5.5E-2</v>
      </c>
      <c r="N224" s="9">
        <f t="shared" si="222"/>
        <v>5.5E-2</v>
      </c>
      <c r="O224" s="9">
        <f t="shared" si="222"/>
        <v>5.5E-2</v>
      </c>
      <c r="P224" s="9">
        <f t="shared" si="222"/>
        <v>5.5E-2</v>
      </c>
      <c r="Q224" s="9">
        <f t="shared" si="222"/>
        <v>5.5E-2</v>
      </c>
      <c r="R224" s="9">
        <f t="shared" si="222"/>
        <v>5.5E-2</v>
      </c>
      <c r="S224" s="9">
        <f t="shared" si="222"/>
        <v>5.5E-2</v>
      </c>
      <c r="T224" s="9">
        <f t="shared" si="222"/>
        <v>5.5E-2</v>
      </c>
      <c r="U224" s="9">
        <f t="shared" si="222"/>
        <v>5.5E-2</v>
      </c>
      <c r="V224" s="9">
        <f t="shared" si="222"/>
        <v>5.5E-2</v>
      </c>
      <c r="W224" s="9">
        <f t="shared" si="222"/>
        <v>5.5E-2</v>
      </c>
      <c r="X224" s="9">
        <f t="shared" si="222"/>
        <v>5.5E-2</v>
      </c>
      <c r="Y224" s="9">
        <f t="shared" si="222"/>
        <v>5.5E-2</v>
      </c>
      <c r="Z224" s="9">
        <f t="shared" si="222"/>
        <v>5.5E-2</v>
      </c>
      <c r="AA224" s="9">
        <f t="shared" si="222"/>
        <v>5.5E-2</v>
      </c>
      <c r="AB224" s="9">
        <f t="shared" si="222"/>
        <v>5.5E-2</v>
      </c>
      <c r="AC224" s="9">
        <f t="shared" si="222"/>
        <v>5.5E-2</v>
      </c>
      <c r="AD224" s="9">
        <f t="shared" si="222"/>
        <v>5.5E-2</v>
      </c>
      <c r="AE224" s="9">
        <f t="shared" si="222"/>
        <v>5.5E-2</v>
      </c>
      <c r="AF224" s="9">
        <f t="shared" si="222"/>
        <v>5.5E-2</v>
      </c>
      <c r="AG224" s="9">
        <f t="shared" si="222"/>
        <v>5.5E-2</v>
      </c>
      <c r="AH224" s="9">
        <f t="shared" si="222"/>
        <v>5.5E-2</v>
      </c>
      <c r="AI224" s="9">
        <f t="shared" si="222"/>
        <v>5.5E-2</v>
      </c>
      <c r="AJ224" s="9">
        <f t="shared" si="222"/>
        <v>5.5E-2</v>
      </c>
      <c r="AK224" s="9">
        <f t="shared" si="222"/>
        <v>5.5E-2</v>
      </c>
      <c r="AL224" s="9">
        <f t="shared" si="222"/>
        <v>5.5E-2</v>
      </c>
      <c r="AM224" s="9">
        <f t="shared" si="222"/>
        <v>5.5E-2</v>
      </c>
      <c r="AN224" s="9">
        <f t="shared" si="222"/>
        <v>5.5E-2</v>
      </c>
      <c r="AO224" s="9">
        <f t="shared" si="222"/>
        <v>5.5E-2</v>
      </c>
      <c r="AP224" s="9">
        <f t="shared" si="222"/>
        <v>5.5E-2</v>
      </c>
      <c r="AQ224" s="9">
        <f t="shared" si="222"/>
        <v>5.5E-2</v>
      </c>
    </row>
    <row r="225" spans="1:43" hidden="1" outlineLevel="5">
      <c r="A225" s="2"/>
      <c r="B225" s="2"/>
      <c r="C225" s="2"/>
      <c r="D225" s="2"/>
      <c r="E225" s="2"/>
      <c r="F225" s="2" t="s">
        <v>416</v>
      </c>
      <c r="G225" s="2"/>
      <c r="H225" s="9">
        <f t="shared" ref="H225:AQ225" si="223">H115</f>
        <v>20500</v>
      </c>
      <c r="I225" s="9">
        <f t="shared" si="223"/>
        <v>20558.853423741071</v>
      </c>
      <c r="J225" s="9">
        <f t="shared" si="223"/>
        <v>20617.875809700974</v>
      </c>
      <c r="K225" s="9">
        <f t="shared" si="223"/>
        <v>20677.067642953127</v>
      </c>
      <c r="L225" s="9">
        <f t="shared" si="223"/>
        <v>20736.429409963537</v>
      </c>
      <c r="M225" s="9">
        <f t="shared" si="223"/>
        <v>20795.961598594826</v>
      </c>
      <c r="N225" s="9">
        <f t="shared" si="223"/>
        <v>20855.664698110199</v>
      </c>
      <c r="O225" s="9">
        <f t="shared" si="223"/>
        <v>20915.539199177496</v>
      </c>
      <c r="P225" s="9">
        <f t="shared" si="223"/>
        <v>20975.585593873209</v>
      </c>
      <c r="Q225" s="9">
        <f t="shared" si="223"/>
        <v>21035.804375686545</v>
      </c>
      <c r="R225" s="9">
        <f t="shared" si="223"/>
        <v>21096.196039523449</v>
      </c>
      <c r="S225" s="9">
        <f t="shared" si="223"/>
        <v>21156.761081710705</v>
      </c>
      <c r="T225" s="9">
        <f t="shared" si="223"/>
        <v>21217.5</v>
      </c>
      <c r="U225" s="9">
        <f t="shared" si="223"/>
        <v>21278.413293572008</v>
      </c>
      <c r="V225" s="9">
        <f t="shared" si="223"/>
        <v>21339.501463040506</v>
      </c>
      <c r="W225" s="9">
        <f t="shared" si="223"/>
        <v>21400.765010456478</v>
      </c>
      <c r="X225" s="9">
        <f t="shared" si="223"/>
        <v>21462.20443931226</v>
      </c>
      <c r="Y225" s="9">
        <f t="shared" si="223"/>
        <v>21523.820254545644</v>
      </c>
      <c r="Z225" s="9">
        <f t="shared" si="223"/>
        <v>21585.612962544055</v>
      </c>
      <c r="AA225" s="9">
        <f t="shared" si="223"/>
        <v>21647.583071148703</v>
      </c>
      <c r="AB225" s="9">
        <f t="shared" si="223"/>
        <v>21709.73108965877</v>
      </c>
      <c r="AC225" s="9">
        <f t="shared" si="223"/>
        <v>21772.057528835572</v>
      </c>
      <c r="AD225" s="9">
        <f t="shared" si="223"/>
        <v>21834.562900906767</v>
      </c>
      <c r="AE225" s="9">
        <f t="shared" si="223"/>
        <v>21897.24771957058</v>
      </c>
      <c r="AF225" s="9">
        <f t="shared" si="223"/>
        <v>21960.112499999996</v>
      </c>
      <c r="AG225" s="9">
        <f t="shared" si="223"/>
        <v>22023.157758847025</v>
      </c>
      <c r="AH225" s="9">
        <f t="shared" si="223"/>
        <v>22086.38401424692</v>
      </c>
      <c r="AI225" s="9">
        <f t="shared" si="223"/>
        <v>22149.791785822461</v>
      </c>
      <c r="AJ225" s="9">
        <f t="shared" si="223"/>
        <v>22213.381594688191</v>
      </c>
      <c r="AK225" s="9">
        <f t="shared" si="223"/>
        <v>22277.153963454737</v>
      </c>
      <c r="AL225" s="9">
        <f t="shared" si="223"/>
        <v>22341.109416233092</v>
      </c>
      <c r="AM225" s="9">
        <f t="shared" si="223"/>
        <v>22405.24847863891</v>
      </c>
      <c r="AN225" s="9">
        <f t="shared" si="223"/>
        <v>22469.571677796823</v>
      </c>
      <c r="AO225" s="9">
        <f t="shared" si="223"/>
        <v>22534.079542344814</v>
      </c>
      <c r="AP225" s="9">
        <f t="shared" si="223"/>
        <v>22598.772602438501</v>
      </c>
      <c r="AQ225" s="9">
        <f t="shared" si="223"/>
        <v>22663.651389755545</v>
      </c>
    </row>
    <row r="226" spans="1:43" hidden="1" outlineLevel="4" collapsed="1">
      <c r="A226" s="2"/>
      <c r="B226" s="2"/>
      <c r="C226" s="2"/>
      <c r="D226" s="2"/>
      <c r="E226" s="2" t="s">
        <v>469</v>
      </c>
      <c r="F226" s="2"/>
      <c r="G226" s="2"/>
      <c r="H226" s="9">
        <f t="shared" ref="H226:AQ226" si="224">((H227*H228)*H229)</f>
        <v>38776.054754795128</v>
      </c>
      <c r="I226" s="9">
        <f t="shared" si="224"/>
        <v>42934.276796684208</v>
      </c>
      <c r="J226" s="9">
        <f t="shared" si="224"/>
        <v>47242.11993424609</v>
      </c>
      <c r="K226" s="9">
        <f t="shared" si="224"/>
        <v>51703.875726829836</v>
      </c>
      <c r="L226" s="9">
        <f t="shared" si="224"/>
        <v>56323.946860296906</v>
      </c>
      <c r="M226" s="9">
        <f t="shared" si="224"/>
        <v>61106.849860512652</v>
      </c>
      <c r="N226" s="9">
        <f t="shared" si="224"/>
        <v>66057.217870612381</v>
      </c>
      <c r="O226" s="9">
        <f t="shared" si="224"/>
        <v>71179.803493502302</v>
      </c>
      <c r="P226" s="9">
        <f t="shared" si="224"/>
        <v>76479.481701087047</v>
      </c>
      <c r="Q226" s="9">
        <f t="shared" si="224"/>
        <v>81961.2528117482</v>
      </c>
      <c r="R226" s="9">
        <f t="shared" si="224"/>
        <v>87630.245537635041</v>
      </c>
      <c r="S226" s="9">
        <f t="shared" si="224"/>
        <v>93491.720103360145</v>
      </c>
      <c r="T226" s="9">
        <f t="shared" si="224"/>
        <v>99551.071437732026</v>
      </c>
      <c r="U226" s="9">
        <f t="shared" si="224"/>
        <v>105813.83244018971</v>
      </c>
      <c r="V226" s="9">
        <f t="shared" si="224"/>
        <v>112285.67732364456</v>
      </c>
      <c r="W226" s="9">
        <f t="shared" si="224"/>
        <v>118972.42503547079</v>
      </c>
      <c r="X226" s="9">
        <f t="shared" si="224"/>
        <v>125880.04275842637</v>
      </c>
      <c r="Y226" s="9">
        <f t="shared" si="224"/>
        <v>133014.64949332454</v>
      </c>
      <c r="Z226" s="9">
        <f t="shared" si="224"/>
        <v>140382.51972531868</v>
      </c>
      <c r="AA226" s="9">
        <f t="shared" si="224"/>
        <v>147990.08717570253</v>
      </c>
      <c r="AB226" s="9">
        <f t="shared" si="224"/>
        <v>155843.94864117328</v>
      </c>
      <c r="AC226" s="9">
        <f t="shared" si="224"/>
        <v>163950.86792254419</v>
      </c>
      <c r="AD226" s="9">
        <f t="shared" si="224"/>
        <v>172317.77984494375</v>
      </c>
      <c r="AE226" s="9">
        <f t="shared" si="224"/>
        <v>180951.79437157701</v>
      </c>
      <c r="AF226" s="9">
        <f t="shared" si="224"/>
        <v>189860.20081317835</v>
      </c>
      <c r="AG226" s="9">
        <f t="shared" si="224"/>
        <v>199050.47213532455</v>
      </c>
      <c r="AH226" s="9">
        <f t="shared" si="224"/>
        <v>208530.26936583198</v>
      </c>
      <c r="AI226" s="9">
        <f t="shared" si="224"/>
        <v>218307.44610450926</v>
      </c>
      <c r="AJ226" s="9">
        <f t="shared" si="224"/>
        <v>228390.05313758418</v>
      </c>
      <c r="AK226" s="9">
        <f t="shared" si="224"/>
        <v>238786.34315918136</v>
      </c>
      <c r="AL226" s="9">
        <f t="shared" si="224"/>
        <v>249504.77560227385</v>
      </c>
      <c r="AM226" s="9">
        <f t="shared" si="224"/>
        <v>260554.02158159111</v>
      </c>
      <c r="AN226" s="9">
        <f t="shared" si="224"/>
        <v>271942.96895101585</v>
      </c>
      <c r="AO226" s="9">
        <f t="shared" si="224"/>
        <v>283680.7274780653</v>
      </c>
      <c r="AP226" s="9">
        <f t="shared" si="224"/>
        <v>295776.63413810218</v>
      </c>
      <c r="AQ226" s="9">
        <f t="shared" si="224"/>
        <v>308240.25853098667</v>
      </c>
    </row>
    <row r="227" spans="1:43" hidden="1" outlineLevel="5">
      <c r="A227" s="2"/>
      <c r="B227" s="2"/>
      <c r="C227" s="2"/>
      <c r="D227" s="2"/>
      <c r="E227" s="2"/>
      <c r="F227" s="2" t="s">
        <v>363</v>
      </c>
      <c r="G227" s="2"/>
      <c r="H227" s="9">
        <f t="shared" ref="H227:AQ227" si="225">H51</f>
        <v>27.0216409441081</v>
      </c>
      <c r="I227" s="9">
        <f t="shared" si="225"/>
        <v>29.833707101239344</v>
      </c>
      <c r="J227" s="9">
        <f t="shared" si="225"/>
        <v>32.733121193529733</v>
      </c>
      <c r="K227" s="9">
        <f t="shared" si="225"/>
        <v>35.722028328775025</v>
      </c>
      <c r="L227" s="9">
        <f t="shared" si="225"/>
        <v>38.802621048315309</v>
      </c>
      <c r="M227" s="9">
        <f t="shared" si="225"/>
        <v>41.977140314892132</v>
      </c>
      <c r="N227" s="9">
        <f t="shared" si="225"/>
        <v>45.247876520294163</v>
      </c>
      <c r="O227" s="9">
        <f t="shared" si="225"/>
        <v>48.617170513177555</v>
      </c>
      <c r="P227" s="9">
        <f t="shared" si="225"/>
        <v>52.087414647454331</v>
      </c>
      <c r="Q227" s="9">
        <f t="shared" si="225"/>
        <v>55.661053851648475</v>
      </c>
      <c r="R227" s="9">
        <f t="shared" si="225"/>
        <v>59.340586719629385</v>
      </c>
      <c r="S227" s="9">
        <f t="shared" si="225"/>
        <v>63.128566623137338</v>
      </c>
      <c r="T227" s="9">
        <f t="shared" si="225"/>
        <v>67.027602846526293</v>
      </c>
      <c r="U227" s="9">
        <f t="shared" si="225"/>
        <v>71.040361744155177</v>
      </c>
      <c r="V227" s="9">
        <f t="shared" si="225"/>
        <v>75.169567920868374</v>
      </c>
      <c r="W227" s="9">
        <f t="shared" si="225"/>
        <v>79.418005436014283</v>
      </c>
      <c r="X227" s="9">
        <f t="shared" si="225"/>
        <v>83.788519031458875</v>
      </c>
      <c r="Y227" s="9">
        <f t="shared" si="225"/>
        <v>88.28401538406068</v>
      </c>
      <c r="Z227" s="9">
        <f t="shared" si="225"/>
        <v>92.907464383081873</v>
      </c>
      <c r="AA227" s="9">
        <f t="shared" si="225"/>
        <v>97.66190043301917</v>
      </c>
      <c r="AB227" s="9">
        <f t="shared" si="225"/>
        <v>102.55042378234846</v>
      </c>
      <c r="AC227" s="9">
        <f t="shared" si="225"/>
        <v>107.57620187868437</v>
      </c>
      <c r="AD227" s="9">
        <f t="shared" si="225"/>
        <v>112.74247075086861</v>
      </c>
      <c r="AE227" s="9">
        <f t="shared" si="225"/>
        <v>118.05253641850682</v>
      </c>
      <c r="AF227" s="9">
        <f t="shared" si="225"/>
        <v>123.50977632948855</v>
      </c>
      <c r="AG227" s="9">
        <f t="shared" si="225"/>
        <v>129.11764082602878</v>
      </c>
      <c r="AH227" s="9">
        <f t="shared" si="225"/>
        <v>134.87965463978594</v>
      </c>
      <c r="AI227" s="9">
        <f t="shared" si="225"/>
        <v>140.79941841661818</v>
      </c>
      <c r="AJ227" s="9">
        <f t="shared" si="225"/>
        <v>146.88061027155058</v>
      </c>
      <c r="AK227" s="9">
        <f t="shared" si="225"/>
        <v>153.1269873745388</v>
      </c>
      <c r="AL227" s="9">
        <f t="shared" si="225"/>
        <v>159.54238756762339</v>
      </c>
      <c r="AM227" s="9">
        <f t="shared" si="225"/>
        <v>166.13073101408258</v>
      </c>
      <c r="AN227" s="9">
        <f t="shared" si="225"/>
        <v>172.89602188020007</v>
      </c>
      <c r="AO227" s="9">
        <f t="shared" si="225"/>
        <v>179.84235005027949</v>
      </c>
      <c r="AP227" s="9">
        <f t="shared" si="225"/>
        <v>186.9738928755466</v>
      </c>
      <c r="AQ227" s="9">
        <f t="shared" si="225"/>
        <v>194.29491695759253</v>
      </c>
    </row>
    <row r="228" spans="1:43" hidden="1" outlineLevel="5">
      <c r="A228" s="2"/>
      <c r="B228" s="2"/>
      <c r="C228" s="2"/>
      <c r="D228" s="2"/>
      <c r="E228" s="2"/>
      <c r="F228" s="2" t="s">
        <v>470</v>
      </c>
      <c r="G228" s="2"/>
      <c r="H228" s="9">
        <f t="shared" ref="H228:AQ228" si="226">northern_public_wastage_rate*(1+northern_public_wastage_rate_growth)^((COLUMN()-8)/12)</f>
        <v>7.0000000000000007E-2</v>
      </c>
      <c r="I228" s="9">
        <f t="shared" si="226"/>
        <v>7.0000000000000007E-2</v>
      </c>
      <c r="J228" s="9">
        <f t="shared" si="226"/>
        <v>7.0000000000000007E-2</v>
      </c>
      <c r="K228" s="9">
        <f t="shared" si="226"/>
        <v>7.0000000000000007E-2</v>
      </c>
      <c r="L228" s="9">
        <f t="shared" si="226"/>
        <v>7.0000000000000007E-2</v>
      </c>
      <c r="M228" s="9">
        <f t="shared" si="226"/>
        <v>7.0000000000000007E-2</v>
      </c>
      <c r="N228" s="9">
        <f t="shared" si="226"/>
        <v>7.0000000000000007E-2</v>
      </c>
      <c r="O228" s="9">
        <f t="shared" si="226"/>
        <v>7.0000000000000007E-2</v>
      </c>
      <c r="P228" s="9">
        <f t="shared" si="226"/>
        <v>7.0000000000000007E-2</v>
      </c>
      <c r="Q228" s="9">
        <f t="shared" si="226"/>
        <v>7.0000000000000007E-2</v>
      </c>
      <c r="R228" s="9">
        <f t="shared" si="226"/>
        <v>7.0000000000000007E-2</v>
      </c>
      <c r="S228" s="9">
        <f t="shared" si="226"/>
        <v>7.0000000000000007E-2</v>
      </c>
      <c r="T228" s="9">
        <f t="shared" si="226"/>
        <v>7.0000000000000007E-2</v>
      </c>
      <c r="U228" s="9">
        <f t="shared" si="226"/>
        <v>7.0000000000000007E-2</v>
      </c>
      <c r="V228" s="9">
        <f t="shared" si="226"/>
        <v>7.0000000000000007E-2</v>
      </c>
      <c r="W228" s="9">
        <f t="shared" si="226"/>
        <v>7.0000000000000007E-2</v>
      </c>
      <c r="X228" s="9">
        <f t="shared" si="226"/>
        <v>7.0000000000000007E-2</v>
      </c>
      <c r="Y228" s="9">
        <f t="shared" si="226"/>
        <v>7.0000000000000007E-2</v>
      </c>
      <c r="Z228" s="9">
        <f t="shared" si="226"/>
        <v>7.0000000000000007E-2</v>
      </c>
      <c r="AA228" s="9">
        <f t="shared" si="226"/>
        <v>7.0000000000000007E-2</v>
      </c>
      <c r="AB228" s="9">
        <f t="shared" si="226"/>
        <v>7.0000000000000007E-2</v>
      </c>
      <c r="AC228" s="9">
        <f t="shared" si="226"/>
        <v>7.0000000000000007E-2</v>
      </c>
      <c r="AD228" s="9">
        <f t="shared" si="226"/>
        <v>7.0000000000000007E-2</v>
      </c>
      <c r="AE228" s="9">
        <f t="shared" si="226"/>
        <v>7.0000000000000007E-2</v>
      </c>
      <c r="AF228" s="9">
        <f t="shared" si="226"/>
        <v>7.0000000000000007E-2</v>
      </c>
      <c r="AG228" s="9">
        <f t="shared" si="226"/>
        <v>7.0000000000000007E-2</v>
      </c>
      <c r="AH228" s="9">
        <f t="shared" si="226"/>
        <v>7.0000000000000007E-2</v>
      </c>
      <c r="AI228" s="9">
        <f t="shared" si="226"/>
        <v>7.0000000000000007E-2</v>
      </c>
      <c r="AJ228" s="9">
        <f t="shared" si="226"/>
        <v>7.0000000000000007E-2</v>
      </c>
      <c r="AK228" s="9">
        <f t="shared" si="226"/>
        <v>7.0000000000000007E-2</v>
      </c>
      <c r="AL228" s="9">
        <f t="shared" si="226"/>
        <v>7.0000000000000007E-2</v>
      </c>
      <c r="AM228" s="9">
        <f t="shared" si="226"/>
        <v>7.0000000000000007E-2</v>
      </c>
      <c r="AN228" s="9">
        <f t="shared" si="226"/>
        <v>7.0000000000000007E-2</v>
      </c>
      <c r="AO228" s="9">
        <f t="shared" si="226"/>
        <v>7.0000000000000007E-2</v>
      </c>
      <c r="AP228" s="9">
        <f t="shared" si="226"/>
        <v>7.0000000000000007E-2</v>
      </c>
      <c r="AQ228" s="9">
        <f t="shared" si="226"/>
        <v>7.0000000000000007E-2</v>
      </c>
    </row>
    <row r="229" spans="1:43" hidden="1" outlineLevel="5">
      <c r="A229" s="2"/>
      <c r="B229" s="2"/>
      <c r="C229" s="2"/>
      <c r="D229" s="2"/>
      <c r="E229" s="2"/>
      <c r="F229" s="2" t="s">
        <v>416</v>
      </c>
      <c r="G229" s="2"/>
      <c r="H229" s="9">
        <f t="shared" ref="H229:AQ229" si="227">H115</f>
        <v>20500</v>
      </c>
      <c r="I229" s="9">
        <f t="shared" si="227"/>
        <v>20558.853423741071</v>
      </c>
      <c r="J229" s="9">
        <f t="shared" si="227"/>
        <v>20617.875809700974</v>
      </c>
      <c r="K229" s="9">
        <f t="shared" si="227"/>
        <v>20677.067642953127</v>
      </c>
      <c r="L229" s="9">
        <f t="shared" si="227"/>
        <v>20736.429409963537</v>
      </c>
      <c r="M229" s="9">
        <f t="shared" si="227"/>
        <v>20795.961598594826</v>
      </c>
      <c r="N229" s="9">
        <f t="shared" si="227"/>
        <v>20855.664698110199</v>
      </c>
      <c r="O229" s="9">
        <f t="shared" si="227"/>
        <v>20915.539199177496</v>
      </c>
      <c r="P229" s="9">
        <f t="shared" si="227"/>
        <v>20975.585593873209</v>
      </c>
      <c r="Q229" s="9">
        <f t="shared" si="227"/>
        <v>21035.804375686545</v>
      </c>
      <c r="R229" s="9">
        <f t="shared" si="227"/>
        <v>21096.196039523449</v>
      </c>
      <c r="S229" s="9">
        <f t="shared" si="227"/>
        <v>21156.761081710705</v>
      </c>
      <c r="T229" s="9">
        <f t="shared" si="227"/>
        <v>21217.5</v>
      </c>
      <c r="U229" s="9">
        <f t="shared" si="227"/>
        <v>21278.413293572008</v>
      </c>
      <c r="V229" s="9">
        <f t="shared" si="227"/>
        <v>21339.501463040506</v>
      </c>
      <c r="W229" s="9">
        <f t="shared" si="227"/>
        <v>21400.765010456478</v>
      </c>
      <c r="X229" s="9">
        <f t="shared" si="227"/>
        <v>21462.20443931226</v>
      </c>
      <c r="Y229" s="9">
        <f t="shared" si="227"/>
        <v>21523.820254545644</v>
      </c>
      <c r="Z229" s="9">
        <f t="shared" si="227"/>
        <v>21585.612962544055</v>
      </c>
      <c r="AA229" s="9">
        <f t="shared" si="227"/>
        <v>21647.583071148703</v>
      </c>
      <c r="AB229" s="9">
        <f t="shared" si="227"/>
        <v>21709.73108965877</v>
      </c>
      <c r="AC229" s="9">
        <f t="shared" si="227"/>
        <v>21772.057528835572</v>
      </c>
      <c r="AD229" s="9">
        <f t="shared" si="227"/>
        <v>21834.562900906767</v>
      </c>
      <c r="AE229" s="9">
        <f t="shared" si="227"/>
        <v>21897.24771957058</v>
      </c>
      <c r="AF229" s="9">
        <f t="shared" si="227"/>
        <v>21960.112499999996</v>
      </c>
      <c r="AG229" s="9">
        <f t="shared" si="227"/>
        <v>22023.157758847025</v>
      </c>
      <c r="AH229" s="9">
        <f t="shared" si="227"/>
        <v>22086.38401424692</v>
      </c>
      <c r="AI229" s="9">
        <f t="shared" si="227"/>
        <v>22149.791785822461</v>
      </c>
      <c r="AJ229" s="9">
        <f t="shared" si="227"/>
        <v>22213.381594688191</v>
      </c>
      <c r="AK229" s="9">
        <f t="shared" si="227"/>
        <v>22277.153963454737</v>
      </c>
      <c r="AL229" s="9">
        <f t="shared" si="227"/>
        <v>22341.109416233092</v>
      </c>
      <c r="AM229" s="9">
        <f t="shared" si="227"/>
        <v>22405.24847863891</v>
      </c>
      <c r="AN229" s="9">
        <f t="shared" si="227"/>
        <v>22469.571677796823</v>
      </c>
      <c r="AO229" s="9">
        <f t="shared" si="227"/>
        <v>22534.079542344814</v>
      </c>
      <c r="AP229" s="9">
        <f t="shared" si="227"/>
        <v>22598.772602438501</v>
      </c>
      <c r="AQ229" s="9">
        <f t="shared" si="227"/>
        <v>22663.651389755545</v>
      </c>
    </row>
    <row r="230" spans="1:43" hidden="1" outlineLevel="3" collapsed="1">
      <c r="A230" s="2"/>
      <c r="B230" s="2"/>
      <c r="C230" s="2"/>
      <c r="D230" s="2" t="s">
        <v>471</v>
      </c>
      <c r="E230" s="2"/>
      <c r="F230" s="2"/>
      <c r="G230" s="2"/>
      <c r="H230" s="9">
        <f t="shared" ref="H230:AQ230" si="228">(((H231+H235)+H239)+H243)</f>
        <v>32571.529255680107</v>
      </c>
      <c r="I230" s="9">
        <f t="shared" si="228"/>
        <v>41303.083823149689</v>
      </c>
      <c r="J230" s="9">
        <f t="shared" si="228"/>
        <v>50340.280727974321</v>
      </c>
      <c r="K230" s="9">
        <f t="shared" si="228"/>
        <v>59691.318993290901</v>
      </c>
      <c r="L230" s="9">
        <f t="shared" si="228"/>
        <v>69364.594115258573</v>
      </c>
      <c r="M230" s="9">
        <f t="shared" si="228"/>
        <v>79368.702484277819</v>
      </c>
      <c r="N230" s="9">
        <f t="shared" si="228"/>
        <v>89712.445901785904</v>
      </c>
      <c r="O230" s="9">
        <f t="shared" si="228"/>
        <v>100404.83619463733</v>
      </c>
      <c r="P230" s="9">
        <f t="shared" si="228"/>
        <v>111455.09992912054</v>
      </c>
      <c r="Q230" s="9">
        <f t="shared" si="228"/>
        <v>122872.68322670303</v>
      </c>
      <c r="R230" s="9">
        <f t="shared" si="228"/>
        <v>134667.25668364242</v>
      </c>
      <c r="S230" s="9">
        <f t="shared" si="228"/>
        <v>146848.7203966419</v>
      </c>
      <c r="T230" s="9">
        <f t="shared" si="228"/>
        <v>159427.2090967765</v>
      </c>
      <c r="U230" s="9">
        <f t="shared" si="228"/>
        <v>172413.09739395909</v>
      </c>
      <c r="V230" s="9">
        <f t="shared" si="228"/>
        <v>185817.00513426564</v>
      </c>
      <c r="W230" s="9">
        <f t="shared" si="228"/>
        <v>199649.80287248275</v>
      </c>
      <c r="X230" s="9">
        <f t="shared" si="228"/>
        <v>213922.6174622922</v>
      </c>
      <c r="Y230" s="9">
        <f t="shared" si="228"/>
        <v>228646.83776655502</v>
      </c>
      <c r="Z230" s="9">
        <f t="shared" si="228"/>
        <v>243834.12049020969</v>
      </c>
      <c r="AA230" s="9">
        <f t="shared" si="228"/>
        <v>259496.39613834853</v>
      </c>
      <c r="AB230" s="9">
        <f t="shared" si="228"/>
        <v>275645.87510209234</v>
      </c>
      <c r="AC230" s="9">
        <f t="shared" si="228"/>
        <v>292295.05387493217</v>
      </c>
      <c r="AD230" s="9">
        <f t="shared" si="228"/>
        <v>309456.72140226763</v>
      </c>
      <c r="AE230" s="9">
        <f t="shared" si="228"/>
        <v>327143.96556692122</v>
      </c>
      <c r="AF230" s="9">
        <f t="shared" si="228"/>
        <v>345370.17981347261</v>
      </c>
      <c r="AG230" s="9">
        <f t="shared" si="228"/>
        <v>364149.06991430529</v>
      </c>
      <c r="AH230" s="9">
        <f t="shared" si="228"/>
        <v>383494.66088032571</v>
      </c>
      <c r="AI230" s="9">
        <f t="shared" si="228"/>
        <v>403421.30401937268</v>
      </c>
      <c r="AJ230" s="9">
        <f t="shared" si="228"/>
        <v>423943.68414539483</v>
      </c>
      <c r="AK230" s="9">
        <f t="shared" si="228"/>
        <v>445076.82694153977</v>
      </c>
      <c r="AL230" s="9">
        <f t="shared" si="228"/>
        <v>466836.10648036242</v>
      </c>
      <c r="AM230" s="9">
        <f t="shared" si="228"/>
        <v>489237.25290442194</v>
      </c>
      <c r="AN230" s="9">
        <f t="shared" si="228"/>
        <v>512296.36027060886</v>
      </c>
      <c r="AO230" s="9">
        <f t="shared" si="228"/>
        <v>536029.89456161263</v>
      </c>
      <c r="AP230" s="9">
        <f t="shared" si="228"/>
        <v>560454.70186799776</v>
      </c>
      <c r="AQ230" s="9">
        <f t="shared" si="228"/>
        <v>585588.01674444997</v>
      </c>
    </row>
    <row r="231" spans="1:43" hidden="1" outlineLevel="4" collapsed="1">
      <c r="A231" s="2"/>
      <c r="B231" s="2"/>
      <c r="C231" s="2"/>
      <c r="D231" s="2"/>
      <c r="E231" s="2" t="s">
        <v>472</v>
      </c>
      <c r="F231" s="2"/>
      <c r="G231" s="2"/>
      <c r="H231" s="9">
        <f t="shared" ref="H231:AQ231" si="229">((H232*H233)*H234)</f>
        <v>20015.611486186321</v>
      </c>
      <c r="I231" s="9">
        <f t="shared" si="229"/>
        <v>26566.077021280315</v>
      </c>
      <c r="J231" s="9">
        <f t="shared" si="229"/>
        <v>33345.833087093881</v>
      </c>
      <c r="K231" s="9">
        <f t="shared" si="229"/>
        <v>40361.008545136436</v>
      </c>
      <c r="L231" s="9">
        <f t="shared" si="229"/>
        <v>47617.878523500032</v>
      </c>
      <c r="M231" s="9">
        <f t="shared" si="229"/>
        <v>55122.86769511905</v>
      </c>
      <c r="N231" s="9">
        <f t="shared" si="229"/>
        <v>62882.553626631743</v>
      </c>
      <c r="O231" s="9">
        <f t="shared" si="229"/>
        <v>70903.67019932234</v>
      </c>
      <c r="P231" s="9">
        <f t="shared" si="229"/>
        <v>79193.111103653428</v>
      </c>
      <c r="Q231" s="9">
        <f t="shared" si="229"/>
        <v>87757.93340892889</v>
      </c>
      <c r="R231" s="9">
        <f t="shared" si="229"/>
        <v>96605.361209660099</v>
      </c>
      <c r="S231" s="9">
        <f t="shared" si="229"/>
        <v>105742.78935023901</v>
      </c>
      <c r="T231" s="9">
        <f t="shared" si="229"/>
        <v>115177.78722955639</v>
      </c>
      <c r="U231" s="9">
        <f t="shared" si="229"/>
        <v>124918.1026872347</v>
      </c>
      <c r="V231" s="9">
        <f t="shared" si="229"/>
        <v>134971.66597318248</v>
      </c>
      <c r="W231" s="9">
        <f t="shared" si="229"/>
        <v>145346.59380220869</v>
      </c>
      <c r="X231" s="9">
        <f t="shared" si="229"/>
        <v>156051.19349547388</v>
      </c>
      <c r="Y231" s="9">
        <f t="shared" si="229"/>
        <v>167093.96721058915</v>
      </c>
      <c r="Z231" s="9">
        <f t="shared" si="229"/>
        <v>178483.61626221347</v>
      </c>
      <c r="AA231" s="9">
        <f t="shared" si="229"/>
        <v>190229.04553503465</v>
      </c>
      <c r="AB231" s="9">
        <f t="shared" si="229"/>
        <v>202339.36799106176</v>
      </c>
      <c r="AC231" s="9">
        <f t="shared" si="229"/>
        <v>214823.90927319147</v>
      </c>
      <c r="AD231" s="9">
        <f t="shared" si="229"/>
        <v>227692.21240705537</v>
      </c>
      <c r="AE231" s="9">
        <f t="shared" si="229"/>
        <v>240954.04260319326</v>
      </c>
      <c r="AF231" s="9">
        <f t="shared" si="229"/>
        <v>254619.3921616427</v>
      </c>
      <c r="AG231" s="9">
        <f t="shared" si="229"/>
        <v>268698.48548107181</v>
      </c>
      <c r="AH231" s="9">
        <f t="shared" si="229"/>
        <v>283201.78417463193</v>
      </c>
      <c r="AI231" s="9">
        <f t="shared" si="229"/>
        <v>298139.9922947493</v>
      </c>
      <c r="AJ231" s="9">
        <f t="shared" si="229"/>
        <v>313524.06166911707</v>
      </c>
      <c r="AK231" s="9">
        <f t="shared" si="229"/>
        <v>329365.19735019997</v>
      </c>
      <c r="AL231" s="9">
        <f t="shared" si="229"/>
        <v>345674.86318060895</v>
      </c>
      <c r="AM231" s="9">
        <f t="shared" si="229"/>
        <v>362464.78747674834</v>
      </c>
      <c r="AN231" s="9">
        <f t="shared" si="229"/>
        <v>379746.96883319208</v>
      </c>
      <c r="AO231" s="9">
        <f t="shared" si="229"/>
        <v>397533.68205029576</v>
      </c>
      <c r="AP231" s="9">
        <f t="shared" si="229"/>
        <v>415837.48418759165</v>
      </c>
      <c r="AQ231" s="9">
        <f t="shared" si="229"/>
        <v>434671.22074558621</v>
      </c>
    </row>
    <row r="232" spans="1:43" hidden="1" outlineLevel="5">
      <c r="A232" s="2"/>
      <c r="B232" s="2"/>
      <c r="C232" s="2"/>
      <c r="D232" s="2"/>
      <c r="E232" s="2"/>
      <c r="F232" s="2" t="s">
        <v>377</v>
      </c>
      <c r="G232" s="2"/>
      <c r="H232" s="9">
        <f t="shared" ref="H232:AQ232" si="230">H67</f>
        <v>32.545709733636293</v>
      </c>
      <c r="I232" s="9">
        <f t="shared" si="230"/>
        <v>43.073214369374298</v>
      </c>
      <c r="J232" s="9">
        <f t="shared" si="230"/>
        <v>53.910877135403446</v>
      </c>
      <c r="K232" s="9">
        <f t="shared" si="230"/>
        <v>65.065655088818033</v>
      </c>
      <c r="L232" s="9">
        <f t="shared" si="230"/>
        <v>76.54464450313445</v>
      </c>
      <c r="M232" s="9">
        <f t="shared" si="230"/>
        <v>88.355083483842805</v>
      </c>
      <c r="N232" s="9">
        <f t="shared" si="230"/>
        <v>100.50435463117405</v>
      </c>
      <c r="O232" s="9">
        <f t="shared" si="230"/>
        <v>112.99998775091048</v>
      </c>
      <c r="P232" s="9">
        <f t="shared" si="230"/>
        <v>125.84966261408384</v>
      </c>
      <c r="Q232" s="9">
        <f t="shared" si="230"/>
        <v>139.06121176641835</v>
      </c>
      <c r="R232" s="9">
        <f t="shared" si="230"/>
        <v>152.64262338839225</v>
      </c>
      <c r="S232" s="9">
        <f t="shared" si="230"/>
        <v>166.60204420680446</v>
      </c>
      <c r="T232" s="9">
        <f t="shared" si="230"/>
        <v>180.94778245875085</v>
      </c>
      <c r="U232" s="9">
        <f t="shared" si="230"/>
        <v>195.68831090892664</v>
      </c>
      <c r="V232" s="9">
        <f t="shared" si="230"/>
        <v>210.83226992119145</v>
      </c>
      <c r="W232" s="9">
        <f t="shared" si="230"/>
        <v>226.38847058534577</v>
      </c>
      <c r="X232" s="9">
        <f t="shared" si="230"/>
        <v>242.36589790008608</v>
      </c>
      <c r="Y232" s="9">
        <f t="shared" si="230"/>
        <v>258.77371401312206</v>
      </c>
      <c r="Z232" s="9">
        <f t="shared" si="230"/>
        <v>275.62126151945603</v>
      </c>
      <c r="AA232" s="9">
        <f t="shared" si="230"/>
        <v>292.9180668188414</v>
      </c>
      <c r="AB232" s="9">
        <f t="shared" si="230"/>
        <v>310.67384353345625</v>
      </c>
      <c r="AC232" s="9">
        <f t="shared" si="230"/>
        <v>328.89849598684339</v>
      </c>
      <c r="AD232" s="9">
        <f t="shared" si="230"/>
        <v>347.60212274518756</v>
      </c>
      <c r="AE232" s="9">
        <f t="shared" si="230"/>
        <v>366.79502022201859</v>
      </c>
      <c r="AF232" s="9">
        <f t="shared" si="230"/>
        <v>386.48768634745193</v>
      </c>
      <c r="AG232" s="9">
        <f t="shared" si="230"/>
        <v>406.69082430308572</v>
      </c>
      <c r="AH232" s="9">
        <f t="shared" si="230"/>
        <v>427.4153463237069</v>
      </c>
      <c r="AI232" s="9">
        <f t="shared" si="230"/>
        <v>448.67237756697017</v>
      </c>
      <c r="AJ232" s="9">
        <f t="shared" si="230"/>
        <v>470.47326005223351</v>
      </c>
      <c r="AK232" s="9">
        <f t="shared" si="230"/>
        <v>492.82955666975772</v>
      </c>
      <c r="AL232" s="9">
        <f t="shared" si="230"/>
        <v>515.75305526149771</v>
      </c>
      <c r="AM232" s="9">
        <f t="shared" si="230"/>
        <v>539.25577277473042</v>
      </c>
      <c r="AN232" s="9">
        <f t="shared" si="230"/>
        <v>563.34995948978838</v>
      </c>
      <c r="AO232" s="9">
        <f t="shared" si="230"/>
        <v>588.04810332319414</v>
      </c>
      <c r="AP232" s="9">
        <f t="shared" si="230"/>
        <v>613.36293420749928</v>
      </c>
      <c r="AQ232" s="9">
        <f t="shared" si="230"/>
        <v>639.30742854917446</v>
      </c>
    </row>
    <row r="233" spans="1:43" hidden="1" outlineLevel="5">
      <c r="A233" s="2"/>
      <c r="B233" s="2"/>
      <c r="C233" s="2"/>
      <c r="D233" s="2"/>
      <c r="E233" s="2"/>
      <c r="F233" s="2" t="s">
        <v>473</v>
      </c>
      <c r="G233" s="2"/>
      <c r="H233" s="9">
        <f t="shared" ref="H233:AQ233" si="231">central_private_wastage_rate*(1+central_private_wastage_rate_growth)^((COLUMN()-8)/12)</f>
        <v>0.03</v>
      </c>
      <c r="I233" s="9">
        <f t="shared" si="231"/>
        <v>0.03</v>
      </c>
      <c r="J233" s="9">
        <f t="shared" si="231"/>
        <v>0.03</v>
      </c>
      <c r="K233" s="9">
        <f t="shared" si="231"/>
        <v>0.03</v>
      </c>
      <c r="L233" s="9">
        <f t="shared" si="231"/>
        <v>0.03</v>
      </c>
      <c r="M233" s="9">
        <f t="shared" si="231"/>
        <v>0.03</v>
      </c>
      <c r="N233" s="9">
        <f t="shared" si="231"/>
        <v>0.03</v>
      </c>
      <c r="O233" s="9">
        <f t="shared" si="231"/>
        <v>0.03</v>
      </c>
      <c r="P233" s="9">
        <f t="shared" si="231"/>
        <v>0.03</v>
      </c>
      <c r="Q233" s="9">
        <f t="shared" si="231"/>
        <v>0.03</v>
      </c>
      <c r="R233" s="9">
        <f t="shared" si="231"/>
        <v>0.03</v>
      </c>
      <c r="S233" s="9">
        <f t="shared" si="231"/>
        <v>0.03</v>
      </c>
      <c r="T233" s="9">
        <f t="shared" si="231"/>
        <v>0.03</v>
      </c>
      <c r="U233" s="9">
        <f t="shared" si="231"/>
        <v>0.03</v>
      </c>
      <c r="V233" s="9">
        <f t="shared" si="231"/>
        <v>0.03</v>
      </c>
      <c r="W233" s="9">
        <f t="shared" si="231"/>
        <v>0.03</v>
      </c>
      <c r="X233" s="9">
        <f t="shared" si="231"/>
        <v>0.03</v>
      </c>
      <c r="Y233" s="9">
        <f t="shared" si="231"/>
        <v>0.03</v>
      </c>
      <c r="Z233" s="9">
        <f t="shared" si="231"/>
        <v>0.03</v>
      </c>
      <c r="AA233" s="9">
        <f t="shared" si="231"/>
        <v>0.03</v>
      </c>
      <c r="AB233" s="9">
        <f t="shared" si="231"/>
        <v>0.03</v>
      </c>
      <c r="AC233" s="9">
        <f t="shared" si="231"/>
        <v>0.03</v>
      </c>
      <c r="AD233" s="9">
        <f t="shared" si="231"/>
        <v>0.03</v>
      </c>
      <c r="AE233" s="9">
        <f t="shared" si="231"/>
        <v>0.03</v>
      </c>
      <c r="AF233" s="9">
        <f t="shared" si="231"/>
        <v>0.03</v>
      </c>
      <c r="AG233" s="9">
        <f t="shared" si="231"/>
        <v>0.03</v>
      </c>
      <c r="AH233" s="9">
        <f t="shared" si="231"/>
        <v>0.03</v>
      </c>
      <c r="AI233" s="9">
        <f t="shared" si="231"/>
        <v>0.03</v>
      </c>
      <c r="AJ233" s="9">
        <f t="shared" si="231"/>
        <v>0.03</v>
      </c>
      <c r="AK233" s="9">
        <f t="shared" si="231"/>
        <v>0.03</v>
      </c>
      <c r="AL233" s="9">
        <f t="shared" si="231"/>
        <v>0.03</v>
      </c>
      <c r="AM233" s="9">
        <f t="shared" si="231"/>
        <v>0.03</v>
      </c>
      <c r="AN233" s="9">
        <f t="shared" si="231"/>
        <v>0.03</v>
      </c>
      <c r="AO233" s="9">
        <f t="shared" si="231"/>
        <v>0.03</v>
      </c>
      <c r="AP233" s="9">
        <f t="shared" si="231"/>
        <v>0.03</v>
      </c>
      <c r="AQ233" s="9">
        <f t="shared" si="231"/>
        <v>0.03</v>
      </c>
    </row>
    <row r="234" spans="1:43" hidden="1" outlineLevel="5">
      <c r="A234" s="2"/>
      <c r="B234" s="2"/>
      <c r="C234" s="2"/>
      <c r="D234" s="2"/>
      <c r="E234" s="2"/>
      <c r="F234" s="2" t="s">
        <v>416</v>
      </c>
      <c r="G234" s="2"/>
      <c r="H234" s="9">
        <f t="shared" ref="H234:AQ234" si="232">H115</f>
        <v>20500</v>
      </c>
      <c r="I234" s="9">
        <f t="shared" si="232"/>
        <v>20558.853423741071</v>
      </c>
      <c r="J234" s="9">
        <f t="shared" si="232"/>
        <v>20617.875809700974</v>
      </c>
      <c r="K234" s="9">
        <f t="shared" si="232"/>
        <v>20677.067642953127</v>
      </c>
      <c r="L234" s="9">
        <f t="shared" si="232"/>
        <v>20736.429409963537</v>
      </c>
      <c r="M234" s="9">
        <f t="shared" si="232"/>
        <v>20795.961598594826</v>
      </c>
      <c r="N234" s="9">
        <f t="shared" si="232"/>
        <v>20855.664698110199</v>
      </c>
      <c r="O234" s="9">
        <f t="shared" si="232"/>
        <v>20915.539199177496</v>
      </c>
      <c r="P234" s="9">
        <f t="shared" si="232"/>
        <v>20975.585593873209</v>
      </c>
      <c r="Q234" s="9">
        <f t="shared" si="232"/>
        <v>21035.804375686545</v>
      </c>
      <c r="R234" s="9">
        <f t="shared" si="232"/>
        <v>21096.196039523449</v>
      </c>
      <c r="S234" s="9">
        <f t="shared" si="232"/>
        <v>21156.761081710705</v>
      </c>
      <c r="T234" s="9">
        <f t="shared" si="232"/>
        <v>21217.5</v>
      </c>
      <c r="U234" s="9">
        <f t="shared" si="232"/>
        <v>21278.413293572008</v>
      </c>
      <c r="V234" s="9">
        <f t="shared" si="232"/>
        <v>21339.501463040506</v>
      </c>
      <c r="W234" s="9">
        <f t="shared" si="232"/>
        <v>21400.765010456478</v>
      </c>
      <c r="X234" s="9">
        <f t="shared" si="232"/>
        <v>21462.20443931226</v>
      </c>
      <c r="Y234" s="9">
        <f t="shared" si="232"/>
        <v>21523.820254545644</v>
      </c>
      <c r="Z234" s="9">
        <f t="shared" si="232"/>
        <v>21585.612962544055</v>
      </c>
      <c r="AA234" s="9">
        <f t="shared" si="232"/>
        <v>21647.583071148703</v>
      </c>
      <c r="AB234" s="9">
        <f t="shared" si="232"/>
        <v>21709.73108965877</v>
      </c>
      <c r="AC234" s="9">
        <f t="shared" si="232"/>
        <v>21772.057528835572</v>
      </c>
      <c r="AD234" s="9">
        <f t="shared" si="232"/>
        <v>21834.562900906767</v>
      </c>
      <c r="AE234" s="9">
        <f t="shared" si="232"/>
        <v>21897.24771957058</v>
      </c>
      <c r="AF234" s="9">
        <f t="shared" si="232"/>
        <v>21960.112499999996</v>
      </c>
      <c r="AG234" s="9">
        <f t="shared" si="232"/>
        <v>22023.157758847025</v>
      </c>
      <c r="AH234" s="9">
        <f t="shared" si="232"/>
        <v>22086.38401424692</v>
      </c>
      <c r="AI234" s="9">
        <f t="shared" si="232"/>
        <v>22149.791785822461</v>
      </c>
      <c r="AJ234" s="9">
        <f t="shared" si="232"/>
        <v>22213.381594688191</v>
      </c>
      <c r="AK234" s="9">
        <f t="shared" si="232"/>
        <v>22277.153963454737</v>
      </c>
      <c r="AL234" s="9">
        <f t="shared" si="232"/>
        <v>22341.109416233092</v>
      </c>
      <c r="AM234" s="9">
        <f t="shared" si="232"/>
        <v>22405.24847863891</v>
      </c>
      <c r="AN234" s="9">
        <f t="shared" si="232"/>
        <v>22469.571677796823</v>
      </c>
      <c r="AO234" s="9">
        <f t="shared" si="232"/>
        <v>22534.079542344814</v>
      </c>
      <c r="AP234" s="9">
        <f t="shared" si="232"/>
        <v>22598.772602438501</v>
      </c>
      <c r="AQ234" s="9">
        <f t="shared" si="232"/>
        <v>22663.651389755545</v>
      </c>
    </row>
    <row r="235" spans="1:43" hidden="1" outlineLevel="4" collapsed="1">
      <c r="A235" s="2"/>
      <c r="B235" s="2"/>
      <c r="C235" s="2"/>
      <c r="D235" s="2"/>
      <c r="E235" s="2" t="s">
        <v>474</v>
      </c>
      <c r="F235" s="2"/>
      <c r="G235" s="2"/>
      <c r="H235" s="9">
        <f t="shared" ref="H235:AQ235" si="233">((H236*H237)*H238)</f>
        <v>7753.0020725619015</v>
      </c>
      <c r="I235" s="9">
        <f t="shared" si="233"/>
        <v>9350.400739341474</v>
      </c>
      <c r="J235" s="9">
        <f t="shared" si="233"/>
        <v>11003.717009779755</v>
      </c>
      <c r="K235" s="9">
        <f t="shared" si="233"/>
        <v>12714.459828010538</v>
      </c>
      <c r="L235" s="9">
        <f t="shared" si="233"/>
        <v>14484.174540208347</v>
      </c>
      <c r="M235" s="9">
        <f t="shared" si="233"/>
        <v>16314.443719086386</v>
      </c>
      <c r="N235" s="9">
        <f t="shared" si="233"/>
        <v>18206.888006326219</v>
      </c>
      <c r="O235" s="9">
        <f t="shared" si="233"/>
        <v>20163.166973318301</v>
      </c>
      <c r="P235" s="9">
        <f t="shared" si="233"/>
        <v>22184.980000600332</v>
      </c>
      <c r="Q235" s="9">
        <f t="shared" si="233"/>
        <v>24274.067176388256</v>
      </c>
      <c r="R235" s="9">
        <f t="shared" si="233"/>
        <v>26432.210214603081</v>
      </c>
      <c r="S235" s="9">
        <f t="shared" si="233"/>
        <v>28661.233392805007</v>
      </c>
      <c r="T235" s="9">
        <f t="shared" si="233"/>
        <v>30963.004510454841</v>
      </c>
      <c r="U235" s="9">
        <f t="shared" si="233"/>
        <v>33339.435867931199</v>
      </c>
      <c r="V235" s="9">
        <f t="shared" si="233"/>
        <v>35792.485266741227</v>
      </c>
      <c r="W235" s="9">
        <f t="shared" si="233"/>
        <v>38324.157031371098</v>
      </c>
      <c r="X235" s="9">
        <f t="shared" si="233"/>
        <v>40936.503053232329</v>
      </c>
      <c r="Y235" s="9">
        <f t="shared" si="233"/>
        <v>43631.623857168779</v>
      </c>
      <c r="Z235" s="9">
        <f t="shared" si="233"/>
        <v>46411.669690999537</v>
      </c>
      <c r="AA235" s="9">
        <f t="shared" si="233"/>
        <v>49278.841638581631</v>
      </c>
      <c r="AB235" s="9">
        <f t="shared" si="233"/>
        <v>52235.39275688785</v>
      </c>
      <c r="AC235" s="9">
        <f t="shared" si="233"/>
        <v>55283.62923760376</v>
      </c>
      <c r="AD235" s="9">
        <f t="shared" si="233"/>
        <v>58425.911593759491</v>
      </c>
      <c r="AE235" s="9">
        <f t="shared" si="233"/>
        <v>61664.655871921852</v>
      </c>
      <c r="AF235" s="9">
        <f t="shared" si="233"/>
        <v>65002.334890483689</v>
      </c>
      <c r="AG235" s="9">
        <f t="shared" si="233"/>
        <v>68441.479504597795</v>
      </c>
      <c r="AH235" s="9">
        <f t="shared" si="233"/>
        <v>71984.679898314265</v>
      </c>
      <c r="AI235" s="9">
        <f t="shared" si="233"/>
        <v>75634.586904492156</v>
      </c>
      <c r="AJ235" s="9">
        <f t="shared" si="233"/>
        <v>79393.913353067212</v>
      </c>
      <c r="AK235" s="9">
        <f t="shared" si="233"/>
        <v>83265.43544827</v>
      </c>
      <c r="AL235" s="9">
        <f t="shared" si="233"/>
        <v>87251.994175400832</v>
      </c>
      <c r="AM235" s="9">
        <f t="shared" si="233"/>
        <v>91356.496737780079</v>
      </c>
      <c r="AN235" s="9">
        <f t="shared" si="233"/>
        <v>95581.918024505678</v>
      </c>
      <c r="AO235" s="9">
        <f t="shared" si="233"/>
        <v>99931.302109662487</v>
      </c>
      <c r="AP235" s="9">
        <f t="shared" si="233"/>
        <v>104407.76378364045</v>
      </c>
      <c r="AQ235" s="9">
        <f t="shared" si="233"/>
        <v>109014.49011723411</v>
      </c>
    </row>
    <row r="236" spans="1:43" hidden="1" outlineLevel="5">
      <c r="A236" s="2"/>
      <c r="B236" s="2"/>
      <c r="C236" s="2"/>
      <c r="D236" s="2"/>
      <c r="E236" s="2"/>
      <c r="F236" s="2" t="s">
        <v>386</v>
      </c>
      <c r="G236" s="2"/>
      <c r="H236" s="9">
        <f t="shared" ref="H236:AQ236" si="234">H78</f>
        <v>9.4548805762950021</v>
      </c>
      <c r="I236" s="9">
        <f t="shared" si="234"/>
        <v>11.370284794851163</v>
      </c>
      <c r="J236" s="9">
        <f t="shared" si="234"/>
        <v>13.34244748506338</v>
      </c>
      <c r="K236" s="9">
        <f t="shared" si="234"/>
        <v>15.372658308664604</v>
      </c>
      <c r="L236" s="9">
        <f t="shared" si="234"/>
        <v>17.462233075247905</v>
      </c>
      <c r="M236" s="9">
        <f t="shared" si="234"/>
        <v>19.612514239529979</v>
      </c>
      <c r="N236" s="9">
        <f t="shared" si="234"/>
        <v>21.824871407690022</v>
      </c>
      <c r="O236" s="9">
        <f t="shared" si="234"/>
        <v>24.100701852944841</v>
      </c>
      <c r="P236" s="9">
        <f t="shared" si="234"/>
        <v>26.441431040524055</v>
      </c>
      <c r="Q236" s="9">
        <f t="shared" si="234"/>
        <v>28.848513162211827</v>
      </c>
      <c r="R236" s="9">
        <f t="shared" si="234"/>
        <v>31.323431680624644</v>
      </c>
      <c r="S236" s="9">
        <f t="shared" si="234"/>
        <v>33.867699883397627</v>
      </c>
      <c r="T236" s="9">
        <f t="shared" si="234"/>
        <v>36.482861447454745</v>
      </c>
      <c r="U236" s="9">
        <f t="shared" si="234"/>
        <v>39.170491013541294</v>
      </c>
      <c r="V236" s="9">
        <f t="shared" si="234"/>
        <v>41.932194771200408</v>
      </c>
      <c r="W236" s="9">
        <f t="shared" si="234"/>
        <v>44.769611054377961</v>
      </c>
      <c r="X236" s="9">
        <f t="shared" si="234"/>
        <v>47.684410947844022</v>
      </c>
      <c r="Y236" s="9">
        <f t="shared" si="234"/>
        <v>50.678298904621904</v>
      </c>
      <c r="Z236" s="9">
        <f t="shared" si="234"/>
        <v>53.7530133746194</v>
      </c>
      <c r="AA236" s="9">
        <f t="shared" si="234"/>
        <v>56.910327444659508</v>
      </c>
      <c r="AB236" s="9">
        <f t="shared" si="234"/>
        <v>60.152049490112873</v>
      </c>
      <c r="AC236" s="9">
        <f t="shared" si="234"/>
        <v>63.480023838335491</v>
      </c>
      <c r="AD236" s="9">
        <f t="shared" si="234"/>
        <v>66.896131444121011</v>
      </c>
      <c r="AE236" s="9">
        <f t="shared" si="234"/>
        <v>70.40229057737848</v>
      </c>
      <c r="AF236" s="9">
        <f t="shared" si="234"/>
        <v>74.000457523252322</v>
      </c>
      <c r="AG236" s="9">
        <f t="shared" si="234"/>
        <v>77.692627294902621</v>
      </c>
      <c r="AH236" s="9">
        <f t="shared" si="234"/>
        <v>81.480834359169236</v>
      </c>
      <c r="AI236" s="9">
        <f t="shared" si="234"/>
        <v>85.367153375346859</v>
      </c>
      <c r="AJ236" s="9">
        <f t="shared" si="234"/>
        <v>89.353699947301578</v>
      </c>
      <c r="AK236" s="9">
        <f t="shared" si="234"/>
        <v>93.442631389163779</v>
      </c>
      <c r="AL236" s="9">
        <f t="shared" si="234"/>
        <v>97.636147504836273</v>
      </c>
      <c r="AM236" s="9">
        <f t="shared" si="234"/>
        <v>101.93649138156074</v>
      </c>
      <c r="AN236" s="9">
        <f t="shared" si="234"/>
        <v>106.34595019778946</v>
      </c>
      <c r="AO236" s="9">
        <f t="shared" si="234"/>
        <v>110.8668560456142</v>
      </c>
      <c r="AP236" s="9">
        <f t="shared" si="234"/>
        <v>115.50158676800706</v>
      </c>
      <c r="AQ236" s="9">
        <f t="shared" si="234"/>
        <v>120.25256681113504</v>
      </c>
    </row>
    <row r="237" spans="1:43" hidden="1" outlineLevel="5">
      <c r="A237" s="2"/>
      <c r="B237" s="2"/>
      <c r="C237" s="2"/>
      <c r="D237" s="2"/>
      <c r="E237" s="2"/>
      <c r="F237" s="2" t="s">
        <v>475</v>
      </c>
      <c r="G237" s="2"/>
      <c r="H237" s="9">
        <f t="shared" ref="H237:AQ237" si="235">western_private_wastage_rate*(1+western_private_wastage_rate_growth)^((COLUMN()-8)/12)</f>
        <v>0.04</v>
      </c>
      <c r="I237" s="9">
        <f t="shared" si="235"/>
        <v>0.04</v>
      </c>
      <c r="J237" s="9">
        <f t="shared" si="235"/>
        <v>0.04</v>
      </c>
      <c r="K237" s="9">
        <f t="shared" si="235"/>
        <v>0.04</v>
      </c>
      <c r="L237" s="9">
        <f t="shared" si="235"/>
        <v>0.04</v>
      </c>
      <c r="M237" s="9">
        <f t="shared" si="235"/>
        <v>0.04</v>
      </c>
      <c r="N237" s="9">
        <f t="shared" si="235"/>
        <v>0.04</v>
      </c>
      <c r="O237" s="9">
        <f t="shared" si="235"/>
        <v>0.04</v>
      </c>
      <c r="P237" s="9">
        <f t="shared" si="235"/>
        <v>0.04</v>
      </c>
      <c r="Q237" s="9">
        <f t="shared" si="235"/>
        <v>0.04</v>
      </c>
      <c r="R237" s="9">
        <f t="shared" si="235"/>
        <v>0.04</v>
      </c>
      <c r="S237" s="9">
        <f t="shared" si="235"/>
        <v>0.04</v>
      </c>
      <c r="T237" s="9">
        <f t="shared" si="235"/>
        <v>0.04</v>
      </c>
      <c r="U237" s="9">
        <f t="shared" si="235"/>
        <v>0.04</v>
      </c>
      <c r="V237" s="9">
        <f t="shared" si="235"/>
        <v>0.04</v>
      </c>
      <c r="W237" s="9">
        <f t="shared" si="235"/>
        <v>0.04</v>
      </c>
      <c r="X237" s="9">
        <f t="shared" si="235"/>
        <v>0.04</v>
      </c>
      <c r="Y237" s="9">
        <f t="shared" si="235"/>
        <v>0.04</v>
      </c>
      <c r="Z237" s="9">
        <f t="shared" si="235"/>
        <v>0.04</v>
      </c>
      <c r="AA237" s="9">
        <f t="shared" si="235"/>
        <v>0.04</v>
      </c>
      <c r="AB237" s="9">
        <f t="shared" si="235"/>
        <v>0.04</v>
      </c>
      <c r="AC237" s="9">
        <f t="shared" si="235"/>
        <v>0.04</v>
      </c>
      <c r="AD237" s="9">
        <f t="shared" si="235"/>
        <v>0.04</v>
      </c>
      <c r="AE237" s="9">
        <f t="shared" si="235"/>
        <v>0.04</v>
      </c>
      <c r="AF237" s="9">
        <f t="shared" si="235"/>
        <v>0.04</v>
      </c>
      <c r="AG237" s="9">
        <f t="shared" si="235"/>
        <v>0.04</v>
      </c>
      <c r="AH237" s="9">
        <f t="shared" si="235"/>
        <v>0.04</v>
      </c>
      <c r="AI237" s="9">
        <f t="shared" si="235"/>
        <v>0.04</v>
      </c>
      <c r="AJ237" s="9">
        <f t="shared" si="235"/>
        <v>0.04</v>
      </c>
      <c r="AK237" s="9">
        <f t="shared" si="235"/>
        <v>0.04</v>
      </c>
      <c r="AL237" s="9">
        <f t="shared" si="235"/>
        <v>0.04</v>
      </c>
      <c r="AM237" s="9">
        <f t="shared" si="235"/>
        <v>0.04</v>
      </c>
      <c r="AN237" s="9">
        <f t="shared" si="235"/>
        <v>0.04</v>
      </c>
      <c r="AO237" s="9">
        <f t="shared" si="235"/>
        <v>0.04</v>
      </c>
      <c r="AP237" s="9">
        <f t="shared" si="235"/>
        <v>0.04</v>
      </c>
      <c r="AQ237" s="9">
        <f t="shared" si="235"/>
        <v>0.04</v>
      </c>
    </row>
    <row r="238" spans="1:43" hidden="1" outlineLevel="5">
      <c r="A238" s="2"/>
      <c r="B238" s="2"/>
      <c r="C238" s="2"/>
      <c r="D238" s="2"/>
      <c r="E238" s="2"/>
      <c r="F238" s="2" t="s">
        <v>416</v>
      </c>
      <c r="G238" s="2"/>
      <c r="H238" s="9">
        <f t="shared" ref="H238:AQ238" si="236">H115</f>
        <v>20500</v>
      </c>
      <c r="I238" s="9">
        <f t="shared" si="236"/>
        <v>20558.853423741071</v>
      </c>
      <c r="J238" s="9">
        <f t="shared" si="236"/>
        <v>20617.875809700974</v>
      </c>
      <c r="K238" s="9">
        <f t="shared" si="236"/>
        <v>20677.067642953127</v>
      </c>
      <c r="L238" s="9">
        <f t="shared" si="236"/>
        <v>20736.429409963537</v>
      </c>
      <c r="M238" s="9">
        <f t="shared" si="236"/>
        <v>20795.961598594826</v>
      </c>
      <c r="N238" s="9">
        <f t="shared" si="236"/>
        <v>20855.664698110199</v>
      </c>
      <c r="O238" s="9">
        <f t="shared" si="236"/>
        <v>20915.539199177496</v>
      </c>
      <c r="P238" s="9">
        <f t="shared" si="236"/>
        <v>20975.585593873209</v>
      </c>
      <c r="Q238" s="9">
        <f t="shared" si="236"/>
        <v>21035.804375686545</v>
      </c>
      <c r="R238" s="9">
        <f t="shared" si="236"/>
        <v>21096.196039523449</v>
      </c>
      <c r="S238" s="9">
        <f t="shared" si="236"/>
        <v>21156.761081710705</v>
      </c>
      <c r="T238" s="9">
        <f t="shared" si="236"/>
        <v>21217.5</v>
      </c>
      <c r="U238" s="9">
        <f t="shared" si="236"/>
        <v>21278.413293572008</v>
      </c>
      <c r="V238" s="9">
        <f t="shared" si="236"/>
        <v>21339.501463040506</v>
      </c>
      <c r="W238" s="9">
        <f t="shared" si="236"/>
        <v>21400.765010456478</v>
      </c>
      <c r="X238" s="9">
        <f t="shared" si="236"/>
        <v>21462.20443931226</v>
      </c>
      <c r="Y238" s="9">
        <f t="shared" si="236"/>
        <v>21523.820254545644</v>
      </c>
      <c r="Z238" s="9">
        <f t="shared" si="236"/>
        <v>21585.612962544055</v>
      </c>
      <c r="AA238" s="9">
        <f t="shared" si="236"/>
        <v>21647.583071148703</v>
      </c>
      <c r="AB238" s="9">
        <f t="shared" si="236"/>
        <v>21709.73108965877</v>
      </c>
      <c r="AC238" s="9">
        <f t="shared" si="236"/>
        <v>21772.057528835572</v>
      </c>
      <c r="AD238" s="9">
        <f t="shared" si="236"/>
        <v>21834.562900906767</v>
      </c>
      <c r="AE238" s="9">
        <f t="shared" si="236"/>
        <v>21897.24771957058</v>
      </c>
      <c r="AF238" s="9">
        <f t="shared" si="236"/>
        <v>21960.112499999996</v>
      </c>
      <c r="AG238" s="9">
        <f t="shared" si="236"/>
        <v>22023.157758847025</v>
      </c>
      <c r="AH238" s="9">
        <f t="shared" si="236"/>
        <v>22086.38401424692</v>
      </c>
      <c r="AI238" s="9">
        <f t="shared" si="236"/>
        <v>22149.791785822461</v>
      </c>
      <c r="AJ238" s="9">
        <f t="shared" si="236"/>
        <v>22213.381594688191</v>
      </c>
      <c r="AK238" s="9">
        <f t="shared" si="236"/>
        <v>22277.153963454737</v>
      </c>
      <c r="AL238" s="9">
        <f t="shared" si="236"/>
        <v>22341.109416233092</v>
      </c>
      <c r="AM238" s="9">
        <f t="shared" si="236"/>
        <v>22405.24847863891</v>
      </c>
      <c r="AN238" s="9">
        <f t="shared" si="236"/>
        <v>22469.571677796823</v>
      </c>
      <c r="AO238" s="9">
        <f t="shared" si="236"/>
        <v>22534.079542344814</v>
      </c>
      <c r="AP238" s="9">
        <f t="shared" si="236"/>
        <v>22598.772602438501</v>
      </c>
      <c r="AQ238" s="9">
        <f t="shared" si="236"/>
        <v>22663.651389755545</v>
      </c>
    </row>
    <row r="239" spans="1:43" hidden="1" outlineLevel="4" collapsed="1">
      <c r="A239" s="2"/>
      <c r="B239" s="2"/>
      <c r="C239" s="2"/>
      <c r="D239" s="2"/>
      <c r="E239" s="2" t="s">
        <v>476</v>
      </c>
      <c r="F239" s="2"/>
      <c r="G239" s="2"/>
      <c r="H239" s="9">
        <f t="shared" ref="H239:AQ239" si="237">((H240*H241)*H242)</f>
        <v>3394.7988709107372</v>
      </c>
      <c r="I239" s="9">
        <f t="shared" si="237"/>
        <v>3859.0746324898068</v>
      </c>
      <c r="J239" s="9">
        <f t="shared" si="237"/>
        <v>4339.6036488200816</v>
      </c>
      <c r="K239" s="9">
        <f t="shared" si="237"/>
        <v>4836.8301931602518</v>
      </c>
      <c r="L239" s="9">
        <f t="shared" si="237"/>
        <v>5351.2094103244799</v>
      </c>
      <c r="M239" s="9">
        <f t="shared" si="237"/>
        <v>5883.2075662784064</v>
      </c>
      <c r="N239" s="9">
        <f t="shared" si="237"/>
        <v>6433.3023032310393</v>
      </c>
      <c r="O239" s="9">
        <f t="shared" si="237"/>
        <v>7001.9829003399682</v>
      </c>
      <c r="P239" s="9">
        <f t="shared" si="237"/>
        <v>7589.750540149922</v>
      </c>
      <c r="Q239" s="9">
        <f t="shared" si="237"/>
        <v>8197.1185808870086</v>
      </c>
      <c r="R239" s="9">
        <f t="shared" si="237"/>
        <v>8824.6128347337362</v>
      </c>
      <c r="S239" s="9">
        <f t="shared" si="237"/>
        <v>9472.7718522124014</v>
      </c>
      <c r="T239" s="9">
        <f t="shared" si="237"/>
        <v>10142.147212807109</v>
      </c>
      <c r="U239" s="9">
        <f t="shared" si="237"/>
        <v>10833.303821957452</v>
      </c>
      <c r="V239" s="9">
        <f t="shared" si="237"/>
        <v>11546.82021455961</v>
      </c>
      <c r="W239" s="9">
        <f t="shared" si="237"/>
        <v>12283.288865113478</v>
      </c>
      <c r="X239" s="9">
        <f t="shared" si="237"/>
        <v>13043.316504657398</v>
      </c>
      <c r="Y239" s="9">
        <f t="shared" si="237"/>
        <v>13827.524444634704</v>
      </c>
      <c r="Z239" s="9">
        <f t="shared" si="237"/>
        <v>14636.548907839955</v>
      </c>
      <c r="AA239" s="9">
        <f t="shared" si="237"/>
        <v>15471.041366594911</v>
      </c>
      <c r="AB239" s="9">
        <f t="shared" si="237"/>
        <v>16331.66888830833</v>
      </c>
      <c r="AC239" s="9">
        <f t="shared" si="237"/>
        <v>17219.11448857615</v>
      </c>
      <c r="AD239" s="9">
        <f t="shared" si="237"/>
        <v>18134.077491982378</v>
      </c>
      <c r="AE239" s="9">
        <f t="shared" si="237"/>
        <v>19077.273900764041</v>
      </c>
      <c r="AF239" s="9">
        <f t="shared" si="237"/>
        <v>20049.43677150712</v>
      </c>
      <c r="AG239" s="9">
        <f t="shared" si="237"/>
        <v>21051.316600043796</v>
      </c>
      <c r="AH239" s="9">
        <f t="shared" si="237"/>
        <v>22083.681714724775</v>
      </c>
      <c r="AI239" s="9">
        <f t="shared" si="237"/>
        <v>23147.318678244334</v>
      </c>
      <c r="AJ239" s="9">
        <f t="shared" si="237"/>
        <v>24243.032698199182</v>
      </c>
      <c r="AK239" s="9">
        <f t="shared" si="237"/>
        <v>25371.648046565962</v>
      </c>
      <c r="AL239" s="9">
        <f t="shared" si="237"/>
        <v>26534.008488286432</v>
      </c>
      <c r="AM239" s="9">
        <f t="shared" si="237"/>
        <v>27730.977719152754</v>
      </c>
      <c r="AN239" s="9">
        <f t="shared" si="237"/>
        <v>28963.439813189561</v>
      </c>
      <c r="AO239" s="9">
        <f t="shared" si="237"/>
        <v>30232.299679734009</v>
      </c>
      <c r="AP239" s="9">
        <f t="shared" si="237"/>
        <v>31538.483530417965</v>
      </c>
      <c r="AQ239" s="9">
        <f t="shared" si="237"/>
        <v>32882.939356262337</v>
      </c>
    </row>
    <row r="240" spans="1:43" hidden="1" outlineLevel="5">
      <c r="A240" s="2"/>
      <c r="B240" s="2"/>
      <c r="C240" s="2"/>
      <c r="D240" s="2"/>
      <c r="E240" s="2"/>
      <c r="F240" s="2" t="s">
        <v>395</v>
      </c>
      <c r="G240" s="2"/>
      <c r="H240" s="9">
        <f t="shared" ref="H240:AQ240" si="238">H89</f>
        <v>3.3119988984494997</v>
      </c>
      <c r="I240" s="9">
        <f t="shared" si="238"/>
        <v>3.7541730104786892</v>
      </c>
      <c r="J240" s="9">
        <f t="shared" si="238"/>
        <v>4.2095545524415687</v>
      </c>
      <c r="K240" s="9">
        <f t="shared" si="238"/>
        <v>4.6784488755190328</v>
      </c>
      <c r="L240" s="9">
        <f t="shared" si="238"/>
        <v>5.1611676287464467</v>
      </c>
      <c r="M240" s="9">
        <f t="shared" si="238"/>
        <v>5.6580288806418375</v>
      </c>
      <c r="N240" s="9">
        <f t="shared" si="238"/>
        <v>6.1693572430841597</v>
      </c>
      <c r="O240" s="9">
        <f t="shared" si="238"/>
        <v>6.6954839974819498</v>
      </c>
      <c r="P240" s="9">
        <f t="shared" si="238"/>
        <v>7.2367472232735404</v>
      </c>
      <c r="Q240" s="9">
        <f t="shared" si="238"/>
        <v>7.79349192880054</v>
      </c>
      <c r="R240" s="9">
        <f t="shared" si="238"/>
        <v>8.3660701845972021</v>
      </c>
      <c r="S240" s="9">
        <f t="shared" si="238"/>
        <v>8.9548412591389415</v>
      </c>
      <c r="T240" s="9">
        <f t="shared" si="238"/>
        <v>9.560171757094011</v>
      </c>
      <c r="U240" s="9">
        <f t="shared" si="238"/>
        <v>10.182435760123225</v>
      </c>
      <c r="V240" s="9">
        <f t="shared" si="238"/>
        <v>10.822014970273246</v>
      </c>
      <c r="W240" s="9">
        <f t="shared" si="238"/>
        <v>11.479298856009892</v>
      </c>
      <c r="X240" s="9">
        <f t="shared" si="238"/>
        <v>12.154684800938705</v>
      </c>
      <c r="Y240" s="9">
        <f t="shared" si="238"/>
        <v>12.848578255260657</v>
      </c>
      <c r="Z240" s="9">
        <f t="shared" si="238"/>
        <v>13.561392890012151</v>
      </c>
      <c r="AA240" s="9">
        <f t="shared" si="238"/>
        <v>14.293550754138723</v>
      </c>
      <c r="AB240" s="9">
        <f t="shared" si="238"/>
        <v>15.045482434453341</v>
      </c>
      <c r="AC240" s="9">
        <f t="shared" si="238"/>
        <v>15.817627218530571</v>
      </c>
      <c r="AD240" s="9">
        <f t="shared" si="238"/>
        <v>16.610433260589144</v>
      </c>
      <c r="AE240" s="9">
        <f t="shared" si="238"/>
        <v>17.424357750416096</v>
      </c>
      <c r="AF240" s="9">
        <f t="shared" si="238"/>
        <v>18.259867085386858</v>
      </c>
      <c r="AG240" s="9">
        <f t="shared" si="238"/>
        <v>19.117437045636358</v>
      </c>
      <c r="AH240" s="9">
        <f t="shared" si="238"/>
        <v>19.997552972437315</v>
      </c>
      <c r="AI240" s="9">
        <f t="shared" si="238"/>
        <v>20.900709949842838</v>
      </c>
      <c r="AJ240" s="9">
        <f t="shared" si="238"/>
        <v>21.827412989651549</v>
      </c>
      <c r="AK240" s="9">
        <f t="shared" si="238"/>
        <v>22.778177219754088</v>
      </c>
      <c r="AL240" s="9">
        <f t="shared" si="238"/>
        <v>23.753528075921572</v>
      </c>
      <c r="AM240" s="9">
        <f t="shared" si="238"/>
        <v>24.754001497096873</v>
      </c>
      <c r="AN240" s="9">
        <f t="shared" si="238"/>
        <v>25.780144124251034</v>
      </c>
      <c r="AO240" s="9">
        <f t="shared" si="238"/>
        <v>26.832513502868505</v>
      </c>
      <c r="AP240" s="9">
        <f t="shared" si="238"/>
        <v>27.911678289125163</v>
      </c>
      <c r="AQ240" s="9">
        <f t="shared" si="238"/>
        <v>29.018218459825171</v>
      </c>
    </row>
    <row r="241" spans="1:43" hidden="1" outlineLevel="5">
      <c r="A241" s="2"/>
      <c r="B241" s="2"/>
      <c r="C241" s="2"/>
      <c r="D241" s="2"/>
      <c r="E241" s="2"/>
      <c r="F241" s="2" t="s">
        <v>477</v>
      </c>
      <c r="G241" s="2"/>
      <c r="H241" s="9">
        <f t="shared" ref="H241:AQ241" si="239">eastern_private_wastage_rate*(1+eastern_private_wastage_rate_growth)^((COLUMN()-8)/12)</f>
        <v>0.05</v>
      </c>
      <c r="I241" s="9">
        <f t="shared" si="239"/>
        <v>0.05</v>
      </c>
      <c r="J241" s="9">
        <f t="shared" si="239"/>
        <v>0.05</v>
      </c>
      <c r="K241" s="9">
        <f t="shared" si="239"/>
        <v>0.05</v>
      </c>
      <c r="L241" s="9">
        <f t="shared" si="239"/>
        <v>0.05</v>
      </c>
      <c r="M241" s="9">
        <f t="shared" si="239"/>
        <v>0.05</v>
      </c>
      <c r="N241" s="9">
        <f t="shared" si="239"/>
        <v>0.05</v>
      </c>
      <c r="O241" s="9">
        <f t="shared" si="239"/>
        <v>0.05</v>
      </c>
      <c r="P241" s="9">
        <f t="shared" si="239"/>
        <v>0.05</v>
      </c>
      <c r="Q241" s="9">
        <f t="shared" si="239"/>
        <v>0.05</v>
      </c>
      <c r="R241" s="9">
        <f t="shared" si="239"/>
        <v>0.05</v>
      </c>
      <c r="S241" s="9">
        <f t="shared" si="239"/>
        <v>0.05</v>
      </c>
      <c r="T241" s="9">
        <f t="shared" si="239"/>
        <v>0.05</v>
      </c>
      <c r="U241" s="9">
        <f t="shared" si="239"/>
        <v>0.05</v>
      </c>
      <c r="V241" s="9">
        <f t="shared" si="239"/>
        <v>0.05</v>
      </c>
      <c r="W241" s="9">
        <f t="shared" si="239"/>
        <v>0.05</v>
      </c>
      <c r="X241" s="9">
        <f t="shared" si="239"/>
        <v>0.05</v>
      </c>
      <c r="Y241" s="9">
        <f t="shared" si="239"/>
        <v>0.05</v>
      </c>
      <c r="Z241" s="9">
        <f t="shared" si="239"/>
        <v>0.05</v>
      </c>
      <c r="AA241" s="9">
        <f t="shared" si="239"/>
        <v>0.05</v>
      </c>
      <c r="AB241" s="9">
        <f t="shared" si="239"/>
        <v>0.05</v>
      </c>
      <c r="AC241" s="9">
        <f t="shared" si="239"/>
        <v>0.05</v>
      </c>
      <c r="AD241" s="9">
        <f t="shared" si="239"/>
        <v>0.05</v>
      </c>
      <c r="AE241" s="9">
        <f t="shared" si="239"/>
        <v>0.05</v>
      </c>
      <c r="AF241" s="9">
        <f t="shared" si="239"/>
        <v>0.05</v>
      </c>
      <c r="AG241" s="9">
        <f t="shared" si="239"/>
        <v>0.05</v>
      </c>
      <c r="AH241" s="9">
        <f t="shared" si="239"/>
        <v>0.05</v>
      </c>
      <c r="AI241" s="9">
        <f t="shared" si="239"/>
        <v>0.05</v>
      </c>
      <c r="AJ241" s="9">
        <f t="shared" si="239"/>
        <v>0.05</v>
      </c>
      <c r="AK241" s="9">
        <f t="shared" si="239"/>
        <v>0.05</v>
      </c>
      <c r="AL241" s="9">
        <f t="shared" si="239"/>
        <v>0.05</v>
      </c>
      <c r="AM241" s="9">
        <f t="shared" si="239"/>
        <v>0.05</v>
      </c>
      <c r="AN241" s="9">
        <f t="shared" si="239"/>
        <v>0.05</v>
      </c>
      <c r="AO241" s="9">
        <f t="shared" si="239"/>
        <v>0.05</v>
      </c>
      <c r="AP241" s="9">
        <f t="shared" si="239"/>
        <v>0.05</v>
      </c>
      <c r="AQ241" s="9">
        <f t="shared" si="239"/>
        <v>0.05</v>
      </c>
    </row>
    <row r="242" spans="1:43" hidden="1" outlineLevel="5">
      <c r="A242" s="2"/>
      <c r="B242" s="2"/>
      <c r="C242" s="2"/>
      <c r="D242" s="2"/>
      <c r="E242" s="2"/>
      <c r="F242" s="2" t="s">
        <v>416</v>
      </c>
      <c r="G242" s="2"/>
      <c r="H242" s="9">
        <f t="shared" ref="H242:AQ242" si="240">H115</f>
        <v>20500</v>
      </c>
      <c r="I242" s="9">
        <f t="shared" si="240"/>
        <v>20558.853423741071</v>
      </c>
      <c r="J242" s="9">
        <f t="shared" si="240"/>
        <v>20617.875809700974</v>
      </c>
      <c r="K242" s="9">
        <f t="shared" si="240"/>
        <v>20677.067642953127</v>
      </c>
      <c r="L242" s="9">
        <f t="shared" si="240"/>
        <v>20736.429409963537</v>
      </c>
      <c r="M242" s="9">
        <f t="shared" si="240"/>
        <v>20795.961598594826</v>
      </c>
      <c r="N242" s="9">
        <f t="shared" si="240"/>
        <v>20855.664698110199</v>
      </c>
      <c r="O242" s="9">
        <f t="shared" si="240"/>
        <v>20915.539199177496</v>
      </c>
      <c r="P242" s="9">
        <f t="shared" si="240"/>
        <v>20975.585593873209</v>
      </c>
      <c r="Q242" s="9">
        <f t="shared" si="240"/>
        <v>21035.804375686545</v>
      </c>
      <c r="R242" s="9">
        <f t="shared" si="240"/>
        <v>21096.196039523449</v>
      </c>
      <c r="S242" s="9">
        <f t="shared" si="240"/>
        <v>21156.761081710705</v>
      </c>
      <c r="T242" s="9">
        <f t="shared" si="240"/>
        <v>21217.5</v>
      </c>
      <c r="U242" s="9">
        <f t="shared" si="240"/>
        <v>21278.413293572008</v>
      </c>
      <c r="V242" s="9">
        <f t="shared" si="240"/>
        <v>21339.501463040506</v>
      </c>
      <c r="W242" s="9">
        <f t="shared" si="240"/>
        <v>21400.765010456478</v>
      </c>
      <c r="X242" s="9">
        <f t="shared" si="240"/>
        <v>21462.20443931226</v>
      </c>
      <c r="Y242" s="9">
        <f t="shared" si="240"/>
        <v>21523.820254545644</v>
      </c>
      <c r="Z242" s="9">
        <f t="shared" si="240"/>
        <v>21585.612962544055</v>
      </c>
      <c r="AA242" s="9">
        <f t="shared" si="240"/>
        <v>21647.583071148703</v>
      </c>
      <c r="AB242" s="9">
        <f t="shared" si="240"/>
        <v>21709.73108965877</v>
      </c>
      <c r="AC242" s="9">
        <f t="shared" si="240"/>
        <v>21772.057528835572</v>
      </c>
      <c r="AD242" s="9">
        <f t="shared" si="240"/>
        <v>21834.562900906767</v>
      </c>
      <c r="AE242" s="9">
        <f t="shared" si="240"/>
        <v>21897.24771957058</v>
      </c>
      <c r="AF242" s="9">
        <f t="shared" si="240"/>
        <v>21960.112499999996</v>
      </c>
      <c r="AG242" s="9">
        <f t="shared" si="240"/>
        <v>22023.157758847025</v>
      </c>
      <c r="AH242" s="9">
        <f t="shared" si="240"/>
        <v>22086.38401424692</v>
      </c>
      <c r="AI242" s="9">
        <f t="shared" si="240"/>
        <v>22149.791785822461</v>
      </c>
      <c r="AJ242" s="9">
        <f t="shared" si="240"/>
        <v>22213.381594688191</v>
      </c>
      <c r="AK242" s="9">
        <f t="shared" si="240"/>
        <v>22277.153963454737</v>
      </c>
      <c r="AL242" s="9">
        <f t="shared" si="240"/>
        <v>22341.109416233092</v>
      </c>
      <c r="AM242" s="9">
        <f t="shared" si="240"/>
        <v>22405.24847863891</v>
      </c>
      <c r="AN242" s="9">
        <f t="shared" si="240"/>
        <v>22469.571677796823</v>
      </c>
      <c r="AO242" s="9">
        <f t="shared" si="240"/>
        <v>22534.079542344814</v>
      </c>
      <c r="AP242" s="9">
        <f t="shared" si="240"/>
        <v>22598.772602438501</v>
      </c>
      <c r="AQ242" s="9">
        <f t="shared" si="240"/>
        <v>22663.651389755545</v>
      </c>
    </row>
    <row r="243" spans="1:43" hidden="1" outlineLevel="4" collapsed="1">
      <c r="A243" s="2"/>
      <c r="B243" s="2"/>
      <c r="C243" s="2"/>
      <c r="D243" s="2"/>
      <c r="E243" s="2" t="s">
        <v>478</v>
      </c>
      <c r="F243" s="2"/>
      <c r="G243" s="2"/>
      <c r="H243" s="9">
        <f t="shared" ref="H243:AQ243" si="241">((H244*H245)*H246)</f>
        <v>1408.1168260211482</v>
      </c>
      <c r="I243" s="9">
        <f t="shared" si="241"/>
        <v>1527.5314300380953</v>
      </c>
      <c r="J243" s="9">
        <f t="shared" si="241"/>
        <v>1651.1269822805966</v>
      </c>
      <c r="K243" s="9">
        <f t="shared" si="241"/>
        <v>1779.0204269836761</v>
      </c>
      <c r="L243" s="9">
        <f t="shared" si="241"/>
        <v>1911.3316412257093</v>
      </c>
      <c r="M243" s="9">
        <f t="shared" si="241"/>
        <v>2048.1835037939722</v>
      </c>
      <c r="N243" s="9">
        <f t="shared" si="241"/>
        <v>2189.7019655969066</v>
      </c>
      <c r="O243" s="9">
        <f t="shared" si="241"/>
        <v>2336.0161216567426</v>
      </c>
      <c r="P243" s="9">
        <f t="shared" si="241"/>
        <v>2487.2582847168501</v>
      </c>
      <c r="Q243" s="9">
        <f t="shared" si="241"/>
        <v>2643.5640604988753</v>
      </c>
      <c r="R243" s="9">
        <f t="shared" si="241"/>
        <v>2805.0724246455129</v>
      </c>
      <c r="S243" s="9">
        <f t="shared" si="241"/>
        <v>2971.9258013854924</v>
      </c>
      <c r="T243" s="9">
        <f t="shared" si="241"/>
        <v>3144.2701439581479</v>
      </c>
      <c r="U243" s="9">
        <f t="shared" si="241"/>
        <v>3322.2550168357134</v>
      </c>
      <c r="V243" s="9">
        <f t="shared" si="241"/>
        <v>3506.0336797823143</v>
      </c>
      <c r="W243" s="9">
        <f t="shared" si="241"/>
        <v>3695.7631737894562</v>
      </c>
      <c r="X243" s="9">
        <f t="shared" si="241"/>
        <v>3891.6044089286042</v>
      </c>
      <c r="Y243" s="9">
        <f t="shared" si="241"/>
        <v>4093.7222541623855</v>
      </c>
      <c r="Z243" s="9">
        <f t="shared" si="241"/>
        <v>4302.2856291567487</v>
      </c>
      <c r="AA243" s="9">
        <f t="shared" si="241"/>
        <v>4517.467598137353</v>
      </c>
      <c r="AB243" s="9">
        <f t="shared" si="241"/>
        <v>4739.445465834382</v>
      </c>
      <c r="AC243" s="9">
        <f t="shared" si="241"/>
        <v>4968.4008755608284</v>
      </c>
      <c r="AD243" s="9">
        <f t="shared" si="241"/>
        <v>5204.5199094704158</v>
      </c>
      <c r="AE243" s="9">
        <f t="shared" si="241"/>
        <v>5447.9931910420646</v>
      </c>
      <c r="AF243" s="9">
        <f t="shared" si="241"/>
        <v>5699.0159898390766</v>
      </c>
      <c r="AG243" s="9">
        <f t="shared" si="241"/>
        <v>5957.7883285919033</v>
      </c>
      <c r="AH243" s="9">
        <f t="shared" si="241"/>
        <v>6224.515092654723</v>
      </c>
      <c r="AI243" s="9">
        <f t="shared" si="241"/>
        <v>6499.4061418868805</v>
      </c>
      <c r="AJ243" s="9">
        <f t="shared" si="241"/>
        <v>6782.6764250113911</v>
      </c>
      <c r="AK243" s="9">
        <f t="shared" si="241"/>
        <v>7074.5460965038719</v>
      </c>
      <c r="AL243" s="9">
        <f t="shared" si="241"/>
        <v>7375.2406360662317</v>
      </c>
      <c r="AM243" s="9">
        <f t="shared" si="241"/>
        <v>7684.9909707408078</v>
      </c>
      <c r="AN243" s="9">
        <f t="shared" si="241"/>
        <v>8004.0335997215607</v>
      </c>
      <c r="AO243" s="9">
        <f t="shared" si="241"/>
        <v>8332.6107219204096</v>
      </c>
      <c r="AP243" s="9">
        <f t="shared" si="241"/>
        <v>8670.9703663477158</v>
      </c>
      <c r="AQ243" s="9">
        <f t="shared" si="241"/>
        <v>9019.3665253674226</v>
      </c>
    </row>
    <row r="244" spans="1:43" hidden="1" outlineLevel="5">
      <c r="A244" s="2"/>
      <c r="B244" s="2"/>
      <c r="C244" s="2"/>
      <c r="D244" s="2"/>
      <c r="E244" s="2"/>
      <c r="F244" s="2" t="s">
        <v>404</v>
      </c>
      <c r="G244" s="2"/>
      <c r="H244" s="9">
        <f t="shared" ref="H244:AQ244" si="242">H100</f>
        <v>1.0567480870702801</v>
      </c>
      <c r="I244" s="9">
        <f t="shared" si="242"/>
        <v>1.1430833740907747</v>
      </c>
      <c r="J244" s="9">
        <f t="shared" si="242"/>
        <v>1.2320354341059565</v>
      </c>
      <c r="K244" s="9">
        <f t="shared" si="242"/>
        <v>1.3236666583061552</v>
      </c>
      <c r="L244" s="9">
        <f t="shared" si="242"/>
        <v>1.4180407625323634</v>
      </c>
      <c r="M244" s="9">
        <f t="shared" si="242"/>
        <v>1.5152228135059327</v>
      </c>
      <c r="N244" s="9">
        <f t="shared" si="242"/>
        <v>1.6152792555538771</v>
      </c>
      <c r="O244" s="9">
        <f t="shared" si="242"/>
        <v>1.7182779378388282</v>
      </c>
      <c r="P244" s="9">
        <f t="shared" si="242"/>
        <v>1.8242881421028816</v>
      </c>
      <c r="Q244" s="9">
        <f t="shared" si="242"/>
        <v>1.9333806109346821</v>
      </c>
      <c r="R244" s="9">
        <f t="shared" si="242"/>
        <v>2.0456275765693244</v>
      </c>
      <c r="S244" s="9">
        <f t="shared" si="242"/>
        <v>2.1611027902307645</v>
      </c>
      <c r="T244" s="9">
        <f t="shared" si="242"/>
        <v>2.2798815520266453</v>
      </c>
      <c r="U244" s="9">
        <f t="shared" si="242"/>
        <v>2.4020407414055942</v>
      </c>
      <c r="V244" s="9">
        <f t="shared" si="242"/>
        <v>2.5276588481872304</v>
      </c>
      <c r="W244" s="9">
        <f t="shared" si="242"/>
        <v>2.6568160041753326</v>
      </c>
      <c r="X244" s="9">
        <f t="shared" si="242"/>
        <v>2.7895940153647412</v>
      </c>
      <c r="Y244" s="9">
        <f t="shared" si="242"/>
        <v>2.9260763947528368</v>
      </c>
      <c r="Z244" s="9">
        <f t="shared" si="242"/>
        <v>3.0663483957665494</v>
      </c>
      <c r="AA244" s="9">
        <f t="shared" si="242"/>
        <v>3.2104970463161049</v>
      </c>
      <c r="AB244" s="9">
        <f t="shared" si="242"/>
        <v>3.3586111834869032</v>
      </c>
      <c r="AC244" s="9">
        <f t="shared" si="242"/>
        <v>3.51078148888107</v>
      </c>
      <c r="AD244" s="9">
        <f t="shared" si="242"/>
        <v>3.6671005246205506</v>
      </c>
      <c r="AE244" s="9">
        <f t="shared" si="242"/>
        <v>3.8276627700236516</v>
      </c>
      <c r="AF244" s="9">
        <f t="shared" si="242"/>
        <v>3.9925646589673596</v>
      </c>
      <c r="AG244" s="9">
        <f t="shared" si="242"/>
        <v>4.1619046179477373</v>
      </c>
      <c r="AH244" s="9">
        <f t="shared" si="242"/>
        <v>4.3357831048511581</v>
      </c>
      <c r="AI244" s="9">
        <f t="shared" si="242"/>
        <v>4.5143026484491973</v>
      </c>
      <c r="AJ244" s="9">
        <f t="shared" si="242"/>
        <v>4.6975678886302887</v>
      </c>
      <c r="AK244" s="9">
        <f t="shared" si="242"/>
        <v>4.8856856173815038</v>
      </c>
      <c r="AL244" s="9">
        <f t="shared" si="242"/>
        <v>5.0787648205339817</v>
      </c>
      <c r="AM244" s="9">
        <f t="shared" si="242"/>
        <v>5.2769167202858762</v>
      </c>
      <c r="AN244" s="9">
        <f t="shared" si="242"/>
        <v>5.480254818516805</v>
      </c>
      <c r="AO244" s="9">
        <f t="shared" si="242"/>
        <v>5.6888949409081757</v>
      </c>
      <c r="AP244" s="9">
        <f t="shared" si="242"/>
        <v>5.9029552818838846</v>
      </c>
      <c r="AQ244" s="9">
        <f t="shared" si="242"/>
        <v>6.12255645038623</v>
      </c>
    </row>
    <row r="245" spans="1:43" hidden="1" outlineLevel="5">
      <c r="A245" s="2"/>
      <c r="B245" s="2"/>
      <c r="C245" s="2"/>
      <c r="D245" s="2"/>
      <c r="E245" s="2"/>
      <c r="F245" s="2" t="s">
        <v>479</v>
      </c>
      <c r="G245" s="2"/>
      <c r="H245" s="9">
        <f t="shared" ref="H245:AQ245" si="243">northern_private_wastage_rate*(1+northern_private_wastage_rate_growth)^((COLUMN()-8)/12)</f>
        <v>6.5000000000000002E-2</v>
      </c>
      <c r="I245" s="9">
        <f t="shared" si="243"/>
        <v>6.5000000000000002E-2</v>
      </c>
      <c r="J245" s="9">
        <f t="shared" si="243"/>
        <v>6.5000000000000002E-2</v>
      </c>
      <c r="K245" s="9">
        <f t="shared" si="243"/>
        <v>6.5000000000000002E-2</v>
      </c>
      <c r="L245" s="9">
        <f t="shared" si="243"/>
        <v>6.5000000000000002E-2</v>
      </c>
      <c r="M245" s="9">
        <f t="shared" si="243"/>
        <v>6.5000000000000002E-2</v>
      </c>
      <c r="N245" s="9">
        <f t="shared" si="243"/>
        <v>6.5000000000000002E-2</v>
      </c>
      <c r="O245" s="9">
        <f t="shared" si="243"/>
        <v>6.5000000000000002E-2</v>
      </c>
      <c r="P245" s="9">
        <f t="shared" si="243"/>
        <v>6.5000000000000002E-2</v>
      </c>
      <c r="Q245" s="9">
        <f t="shared" si="243"/>
        <v>6.5000000000000002E-2</v>
      </c>
      <c r="R245" s="9">
        <f t="shared" si="243"/>
        <v>6.5000000000000002E-2</v>
      </c>
      <c r="S245" s="9">
        <f t="shared" si="243"/>
        <v>6.5000000000000002E-2</v>
      </c>
      <c r="T245" s="9">
        <f t="shared" si="243"/>
        <v>6.5000000000000002E-2</v>
      </c>
      <c r="U245" s="9">
        <f t="shared" si="243"/>
        <v>6.5000000000000002E-2</v>
      </c>
      <c r="V245" s="9">
        <f t="shared" si="243"/>
        <v>6.5000000000000002E-2</v>
      </c>
      <c r="W245" s="9">
        <f t="shared" si="243"/>
        <v>6.5000000000000002E-2</v>
      </c>
      <c r="X245" s="9">
        <f t="shared" si="243"/>
        <v>6.5000000000000002E-2</v>
      </c>
      <c r="Y245" s="9">
        <f t="shared" si="243"/>
        <v>6.5000000000000002E-2</v>
      </c>
      <c r="Z245" s="9">
        <f t="shared" si="243"/>
        <v>6.5000000000000002E-2</v>
      </c>
      <c r="AA245" s="9">
        <f t="shared" si="243"/>
        <v>6.5000000000000002E-2</v>
      </c>
      <c r="AB245" s="9">
        <f t="shared" si="243"/>
        <v>6.5000000000000002E-2</v>
      </c>
      <c r="AC245" s="9">
        <f t="shared" si="243"/>
        <v>6.5000000000000002E-2</v>
      </c>
      <c r="AD245" s="9">
        <f t="shared" si="243"/>
        <v>6.5000000000000002E-2</v>
      </c>
      <c r="AE245" s="9">
        <f t="shared" si="243"/>
        <v>6.5000000000000002E-2</v>
      </c>
      <c r="AF245" s="9">
        <f t="shared" si="243"/>
        <v>6.5000000000000002E-2</v>
      </c>
      <c r="AG245" s="9">
        <f t="shared" si="243"/>
        <v>6.5000000000000002E-2</v>
      </c>
      <c r="AH245" s="9">
        <f t="shared" si="243"/>
        <v>6.5000000000000002E-2</v>
      </c>
      <c r="AI245" s="9">
        <f t="shared" si="243"/>
        <v>6.5000000000000002E-2</v>
      </c>
      <c r="AJ245" s="9">
        <f t="shared" si="243"/>
        <v>6.5000000000000002E-2</v>
      </c>
      <c r="AK245" s="9">
        <f t="shared" si="243"/>
        <v>6.5000000000000002E-2</v>
      </c>
      <c r="AL245" s="9">
        <f t="shared" si="243"/>
        <v>6.5000000000000002E-2</v>
      </c>
      <c r="AM245" s="9">
        <f t="shared" si="243"/>
        <v>6.5000000000000002E-2</v>
      </c>
      <c r="AN245" s="9">
        <f t="shared" si="243"/>
        <v>6.5000000000000002E-2</v>
      </c>
      <c r="AO245" s="9">
        <f t="shared" si="243"/>
        <v>6.5000000000000002E-2</v>
      </c>
      <c r="AP245" s="9">
        <f t="shared" si="243"/>
        <v>6.5000000000000002E-2</v>
      </c>
      <c r="AQ245" s="9">
        <f t="shared" si="243"/>
        <v>6.5000000000000002E-2</v>
      </c>
    </row>
    <row r="246" spans="1:43" hidden="1" outlineLevel="5">
      <c r="A246" s="2"/>
      <c r="B246" s="2"/>
      <c r="C246" s="2"/>
      <c r="D246" s="2"/>
      <c r="E246" s="2"/>
      <c r="F246" s="2" t="s">
        <v>416</v>
      </c>
      <c r="G246" s="2"/>
      <c r="H246" s="9">
        <f t="shared" ref="H246:AQ246" si="244">H115</f>
        <v>20500</v>
      </c>
      <c r="I246" s="9">
        <f t="shared" si="244"/>
        <v>20558.853423741071</v>
      </c>
      <c r="J246" s="9">
        <f t="shared" si="244"/>
        <v>20617.875809700974</v>
      </c>
      <c r="K246" s="9">
        <f t="shared" si="244"/>
        <v>20677.067642953127</v>
      </c>
      <c r="L246" s="9">
        <f t="shared" si="244"/>
        <v>20736.429409963537</v>
      </c>
      <c r="M246" s="9">
        <f t="shared" si="244"/>
        <v>20795.961598594826</v>
      </c>
      <c r="N246" s="9">
        <f t="shared" si="244"/>
        <v>20855.664698110199</v>
      </c>
      <c r="O246" s="9">
        <f t="shared" si="244"/>
        <v>20915.539199177496</v>
      </c>
      <c r="P246" s="9">
        <f t="shared" si="244"/>
        <v>20975.585593873209</v>
      </c>
      <c r="Q246" s="9">
        <f t="shared" si="244"/>
        <v>21035.804375686545</v>
      </c>
      <c r="R246" s="9">
        <f t="shared" si="244"/>
        <v>21096.196039523449</v>
      </c>
      <c r="S246" s="9">
        <f t="shared" si="244"/>
        <v>21156.761081710705</v>
      </c>
      <c r="T246" s="9">
        <f t="shared" si="244"/>
        <v>21217.5</v>
      </c>
      <c r="U246" s="9">
        <f t="shared" si="244"/>
        <v>21278.413293572008</v>
      </c>
      <c r="V246" s="9">
        <f t="shared" si="244"/>
        <v>21339.501463040506</v>
      </c>
      <c r="W246" s="9">
        <f t="shared" si="244"/>
        <v>21400.765010456478</v>
      </c>
      <c r="X246" s="9">
        <f t="shared" si="244"/>
        <v>21462.20443931226</v>
      </c>
      <c r="Y246" s="9">
        <f t="shared" si="244"/>
        <v>21523.820254545644</v>
      </c>
      <c r="Z246" s="9">
        <f t="shared" si="244"/>
        <v>21585.612962544055</v>
      </c>
      <c r="AA246" s="9">
        <f t="shared" si="244"/>
        <v>21647.583071148703</v>
      </c>
      <c r="AB246" s="9">
        <f t="shared" si="244"/>
        <v>21709.73108965877</v>
      </c>
      <c r="AC246" s="9">
        <f t="shared" si="244"/>
        <v>21772.057528835572</v>
      </c>
      <c r="AD246" s="9">
        <f t="shared" si="244"/>
        <v>21834.562900906767</v>
      </c>
      <c r="AE246" s="9">
        <f t="shared" si="244"/>
        <v>21897.24771957058</v>
      </c>
      <c r="AF246" s="9">
        <f t="shared" si="244"/>
        <v>21960.112499999996</v>
      </c>
      <c r="AG246" s="9">
        <f t="shared" si="244"/>
        <v>22023.157758847025</v>
      </c>
      <c r="AH246" s="9">
        <f t="shared" si="244"/>
        <v>22086.38401424692</v>
      </c>
      <c r="AI246" s="9">
        <f t="shared" si="244"/>
        <v>22149.791785822461</v>
      </c>
      <c r="AJ246" s="9">
        <f t="shared" si="244"/>
        <v>22213.381594688191</v>
      </c>
      <c r="AK246" s="9">
        <f t="shared" si="244"/>
        <v>22277.153963454737</v>
      </c>
      <c r="AL246" s="9">
        <f t="shared" si="244"/>
        <v>22341.109416233092</v>
      </c>
      <c r="AM246" s="9">
        <f t="shared" si="244"/>
        <v>22405.24847863891</v>
      </c>
      <c r="AN246" s="9">
        <f t="shared" si="244"/>
        <v>22469.571677796823</v>
      </c>
      <c r="AO246" s="9">
        <f t="shared" si="244"/>
        <v>22534.079542344814</v>
      </c>
      <c r="AP246" s="9">
        <f t="shared" si="244"/>
        <v>22598.772602438501</v>
      </c>
      <c r="AQ246" s="9">
        <f t="shared" si="244"/>
        <v>22663.651389755545</v>
      </c>
    </row>
    <row r="247" spans="1:43" hidden="1" outlineLevel="3" collapsed="1">
      <c r="A247" s="2"/>
      <c r="B247" s="2"/>
      <c r="C247" s="2"/>
      <c r="D247" s="2" t="s">
        <v>480</v>
      </c>
      <c r="E247" s="2"/>
      <c r="F247" s="2"/>
      <c r="G247" s="2"/>
      <c r="H247" s="9">
        <f t="shared" ref="H247:AQ247" si="245">(((H248+H251)+H254)+H257)</f>
        <v>189095.8707690039</v>
      </c>
      <c r="I247" s="9">
        <f t="shared" si="245"/>
        <v>244985.30742377596</v>
      </c>
      <c r="J247" s="9">
        <f t="shared" si="245"/>
        <v>302787.84824779833</v>
      </c>
      <c r="K247" s="9">
        <f t="shared" si="245"/>
        <v>362553.56165188516</v>
      </c>
      <c r="L247" s="9">
        <f t="shared" si="245"/>
        <v>424333.68611025834</v>
      </c>
      <c r="M247" s="9">
        <f t="shared" si="245"/>
        <v>488180.65583780129</v>
      </c>
      <c r="N247" s="9">
        <f t="shared" si="245"/>
        <v>554148.12700869597</v>
      </c>
      <c r="O247" s="9">
        <f t="shared" si="245"/>
        <v>622291.00452753541</v>
      </c>
      <c r="P247" s="9">
        <f t="shared" si="245"/>
        <v>692665.46936424705</v>
      </c>
      <c r="Q247" s="9">
        <f t="shared" si="245"/>
        <v>765329.00646437204</v>
      </c>
      <c r="R247" s="9">
        <f t="shared" si="245"/>
        <v>840340.43324649055</v>
      </c>
      <c r="S247" s="9">
        <f t="shared" si="245"/>
        <v>917759.92869881378</v>
      </c>
      <c r="T247" s="9">
        <f t="shared" si="245"/>
        <v>997649.06308720657</v>
      </c>
      <c r="U247" s="9">
        <f t="shared" si="245"/>
        <v>1080070.8282871472</v>
      </c>
      <c r="V247" s="9">
        <f t="shared" si="245"/>
        <v>1165089.6687523897</v>
      </c>
      <c r="W247" s="9">
        <f t="shared" si="245"/>
        <v>1252771.5131333398</v>
      </c>
      <c r="X247" s="9">
        <f t="shared" si="245"/>
        <v>1343183.8065584227</v>
      </c>
      <c r="Y247" s="9">
        <f t="shared" si="245"/>
        <v>1436395.5435919922</v>
      </c>
      <c r="Z247" s="9">
        <f t="shared" si="245"/>
        <v>1532477.3018825843</v>
      </c>
      <c r="AA247" s="9">
        <f t="shared" si="245"/>
        <v>1631501.2765156168</v>
      </c>
      <c r="AB247" s="9">
        <f t="shared" si="245"/>
        <v>1733541.315084903</v>
      </c>
      <c r="AC247" s="9">
        <f t="shared" si="245"/>
        <v>1838672.9534976494</v>
      </c>
      <c r="AD247" s="9">
        <f t="shared" si="245"/>
        <v>1946973.4525278728</v>
      </c>
      <c r="AE247" s="9">
        <f t="shared" si="245"/>
        <v>2058521.8351335065</v>
      </c>
      <c r="AF247" s="9">
        <f t="shared" si="245"/>
        <v>2173398.9245527731</v>
      </c>
      <c r="AG247" s="9">
        <f t="shared" si="245"/>
        <v>2291687.3831956363</v>
      </c>
      <c r="AH247" s="9">
        <f t="shared" si="245"/>
        <v>2413471.752346585</v>
      </c>
      <c r="AI247" s="9">
        <f t="shared" si="245"/>
        <v>2538838.4926952189</v>
      </c>
      <c r="AJ247" s="9">
        <f t="shared" si="245"/>
        <v>2667876.0257114954</v>
      </c>
      <c r="AK247" s="9">
        <f t="shared" si="245"/>
        <v>2800674.7758827992</v>
      </c>
      <c r="AL247" s="9">
        <f t="shared" si="245"/>
        <v>2937327.2138303816</v>
      </c>
      <c r="AM247" s="9">
        <f t="shared" si="245"/>
        <v>3077927.9003230096</v>
      </c>
      <c r="AN247" s="9">
        <f t="shared" si="245"/>
        <v>3222573.5312060672</v>
      </c>
      <c r="AO247" s="9">
        <f t="shared" si="245"/>
        <v>3371362.9832647122</v>
      </c>
      <c r="AP247" s="9">
        <f t="shared" si="245"/>
        <v>3524397.361040012</v>
      </c>
      <c r="AQ247" s="9">
        <f t="shared" si="245"/>
        <v>3681780.044617448</v>
      </c>
    </row>
    <row r="248" spans="1:43" hidden="1" outlineLevel="4" collapsed="1">
      <c r="A248" s="2"/>
      <c r="B248" s="2"/>
      <c r="C248" s="2"/>
      <c r="D248" s="2"/>
      <c r="E248" s="2" t="s">
        <v>481</v>
      </c>
      <c r="F248" s="2"/>
      <c r="G248" s="2"/>
      <c r="H248" s="9">
        <f t="shared" ref="H248:AQ248" si="246">(H249*H250)</f>
        <v>146455.69380136332</v>
      </c>
      <c r="I248" s="9">
        <f t="shared" si="246"/>
        <v>194307.50041186251</v>
      </c>
      <c r="J248" s="9">
        <f t="shared" si="246"/>
        <v>243797.05161425477</v>
      </c>
      <c r="K248" s="9">
        <f t="shared" si="246"/>
        <v>294967.13275294652</v>
      </c>
      <c r="L248" s="9">
        <f t="shared" si="246"/>
        <v>347861.5270266998</v>
      </c>
      <c r="M248" s="9">
        <f t="shared" si="246"/>
        <v>402525.03734378959</v>
      </c>
      <c r="N248" s="9">
        <f t="shared" si="246"/>
        <v>459003.50863711175</v>
      </c>
      <c r="O248" s="9">
        <f t="shared" si="246"/>
        <v>517343.85064865032</v>
      </c>
      <c r="P248" s="9">
        <f t="shared" si="246"/>
        <v>577594.06119291554</v>
      </c>
      <c r="Q248" s="9">
        <f t="shared" si="246"/>
        <v>639803.24990914611</v>
      </c>
      <c r="R248" s="9">
        <f t="shared" si="246"/>
        <v>704021.66251227492</v>
      </c>
      <c r="S248" s="9">
        <f t="shared" si="246"/>
        <v>770300.70555284957</v>
      </c>
      <c r="T248" s="9">
        <f t="shared" si="246"/>
        <v>838692.97169631021</v>
      </c>
      <c r="U248" s="9">
        <f t="shared" si="246"/>
        <v>909252.26553222851</v>
      </c>
      <c r="V248" s="9">
        <f t="shared" si="246"/>
        <v>982033.629924334</v>
      </c>
      <c r="W248" s="9">
        <f t="shared" si="246"/>
        <v>1057093.3729123576</v>
      </c>
      <c r="X248" s="9">
        <f t="shared" si="246"/>
        <v>1134489.0951769564</v>
      </c>
      <c r="Y248" s="9">
        <f t="shared" si="246"/>
        <v>1214279.7180791998</v>
      </c>
      <c r="Z248" s="9">
        <f t="shared" si="246"/>
        <v>1296525.5122863287</v>
      </c>
      <c r="AA248" s="9">
        <f t="shared" si="246"/>
        <v>1381288.1269957395</v>
      </c>
      <c r="AB248" s="9">
        <f t="shared" si="246"/>
        <v>1468630.6197693732</v>
      </c>
      <c r="AC248" s="9">
        <f t="shared" si="246"/>
        <v>1558617.4869909482</v>
      </c>
      <c r="AD248" s="9">
        <f t="shared" si="246"/>
        <v>1651314.6949587006</v>
      </c>
      <c r="AE248" s="9">
        <f t="shared" si="246"/>
        <v>1746789.7116265721</v>
      </c>
      <c r="AF248" s="9">
        <f t="shared" si="246"/>
        <v>1845111.539007053</v>
      </c>
      <c r="AG248" s="9">
        <f t="shared" si="246"/>
        <v>1946350.7462490872</v>
      </c>
      <c r="AH248" s="9">
        <f t="shared" si="246"/>
        <v>2050579.5034048087</v>
      </c>
      <c r="AI248" s="9">
        <f t="shared" si="246"/>
        <v>2157871.6158990804</v>
      </c>
      <c r="AJ248" s="9">
        <f t="shared" si="246"/>
        <v>2268302.5597161148</v>
      </c>
      <c r="AK248" s="9">
        <f t="shared" si="246"/>
        <v>2381949.5173177281</v>
      </c>
      <c r="AL248" s="9">
        <f t="shared" si="246"/>
        <v>2498891.4143081033</v>
      </c>
      <c r="AM248" s="9">
        <f t="shared" si="246"/>
        <v>2619208.9568601754</v>
      </c>
      <c r="AN248" s="9">
        <f t="shared" si="246"/>
        <v>2742984.6699190992</v>
      </c>
      <c r="AO248" s="9">
        <f t="shared" si="246"/>
        <v>2870302.9361985754</v>
      </c>
      <c r="AP248" s="9">
        <f t="shared" si="246"/>
        <v>3001250.0359860603</v>
      </c>
      <c r="AQ248" s="9">
        <f t="shared" si="246"/>
        <v>3135914.1877732989</v>
      </c>
    </row>
    <row r="249" spans="1:43" hidden="1" outlineLevel="5">
      <c r="A249" s="2"/>
      <c r="B249" s="2"/>
      <c r="C249" s="2"/>
      <c r="D249" s="2"/>
      <c r="E249" s="2"/>
      <c r="F249" s="2" t="s">
        <v>377</v>
      </c>
      <c r="G249" s="2"/>
      <c r="H249" s="9">
        <f t="shared" ref="H249:AQ249" si="247">H67</f>
        <v>32.545709733636293</v>
      </c>
      <c r="I249" s="9">
        <f t="shared" si="247"/>
        <v>43.073214369374298</v>
      </c>
      <c r="J249" s="9">
        <f t="shared" si="247"/>
        <v>53.910877135403446</v>
      </c>
      <c r="K249" s="9">
        <f t="shared" si="247"/>
        <v>65.065655088818033</v>
      </c>
      <c r="L249" s="9">
        <f t="shared" si="247"/>
        <v>76.54464450313445</v>
      </c>
      <c r="M249" s="9">
        <f t="shared" si="247"/>
        <v>88.355083483842805</v>
      </c>
      <c r="N249" s="9">
        <f t="shared" si="247"/>
        <v>100.50435463117405</v>
      </c>
      <c r="O249" s="9">
        <f t="shared" si="247"/>
        <v>112.99998775091048</v>
      </c>
      <c r="P249" s="9">
        <f t="shared" si="247"/>
        <v>125.84966261408384</v>
      </c>
      <c r="Q249" s="9">
        <f t="shared" si="247"/>
        <v>139.06121176641835</v>
      </c>
      <c r="R249" s="9">
        <f t="shared" si="247"/>
        <v>152.64262338839225</v>
      </c>
      <c r="S249" s="9">
        <f t="shared" si="247"/>
        <v>166.60204420680446</v>
      </c>
      <c r="T249" s="9">
        <f t="shared" si="247"/>
        <v>180.94778245875085</v>
      </c>
      <c r="U249" s="9">
        <f t="shared" si="247"/>
        <v>195.68831090892664</v>
      </c>
      <c r="V249" s="9">
        <f t="shared" si="247"/>
        <v>210.83226992119145</v>
      </c>
      <c r="W249" s="9">
        <f t="shared" si="247"/>
        <v>226.38847058534577</v>
      </c>
      <c r="X249" s="9">
        <f t="shared" si="247"/>
        <v>242.36589790008608</v>
      </c>
      <c r="Y249" s="9">
        <f t="shared" si="247"/>
        <v>258.77371401312206</v>
      </c>
      <c r="Z249" s="9">
        <f t="shared" si="247"/>
        <v>275.62126151945603</v>
      </c>
      <c r="AA249" s="9">
        <f t="shared" si="247"/>
        <v>292.9180668188414</v>
      </c>
      <c r="AB249" s="9">
        <f t="shared" si="247"/>
        <v>310.67384353345625</v>
      </c>
      <c r="AC249" s="9">
        <f t="shared" si="247"/>
        <v>328.89849598684339</v>
      </c>
      <c r="AD249" s="9">
        <f t="shared" si="247"/>
        <v>347.60212274518756</v>
      </c>
      <c r="AE249" s="9">
        <f t="shared" si="247"/>
        <v>366.79502022201859</v>
      </c>
      <c r="AF249" s="9">
        <f t="shared" si="247"/>
        <v>386.48768634745193</v>
      </c>
      <c r="AG249" s="9">
        <f t="shared" si="247"/>
        <v>406.69082430308572</v>
      </c>
      <c r="AH249" s="9">
        <f t="shared" si="247"/>
        <v>427.4153463237069</v>
      </c>
      <c r="AI249" s="9">
        <f t="shared" si="247"/>
        <v>448.67237756697017</v>
      </c>
      <c r="AJ249" s="9">
        <f t="shared" si="247"/>
        <v>470.47326005223351</v>
      </c>
      <c r="AK249" s="9">
        <f t="shared" si="247"/>
        <v>492.82955666975772</v>
      </c>
      <c r="AL249" s="9">
        <f t="shared" si="247"/>
        <v>515.75305526149771</v>
      </c>
      <c r="AM249" s="9">
        <f t="shared" si="247"/>
        <v>539.25577277473042</v>
      </c>
      <c r="AN249" s="9">
        <f t="shared" si="247"/>
        <v>563.34995948978838</v>
      </c>
      <c r="AO249" s="9">
        <f t="shared" si="247"/>
        <v>588.04810332319414</v>
      </c>
      <c r="AP249" s="9">
        <f t="shared" si="247"/>
        <v>613.36293420749928</v>
      </c>
      <c r="AQ249" s="9">
        <f t="shared" si="247"/>
        <v>639.30742854917446</v>
      </c>
    </row>
    <row r="250" spans="1:43" hidden="1" outlineLevel="5">
      <c r="A250" s="2"/>
      <c r="B250" s="2"/>
      <c r="C250" s="2"/>
      <c r="D250" s="2"/>
      <c r="E250" s="2"/>
      <c r="F250" s="2" t="s">
        <v>482</v>
      </c>
      <c r="G250" s="2"/>
      <c r="H250" s="9">
        <f t="shared" ref="H250:AQ250" si="248">central_private_trade_support_per_dose*(1+central_private_trade_support_per_dose_growth)^((COLUMN()-8)/12)</f>
        <v>4500</v>
      </c>
      <c r="I250" s="9">
        <f t="shared" si="248"/>
        <v>4511.0982139753669</v>
      </c>
      <c r="J250" s="9">
        <f t="shared" si="248"/>
        <v>4522.2237991403863</v>
      </c>
      <c r="K250" s="9">
        <f t="shared" si="248"/>
        <v>4533.3768229997977</v>
      </c>
      <c r="L250" s="9">
        <f t="shared" si="248"/>
        <v>4544.5573532248245</v>
      </c>
      <c r="M250" s="9">
        <f t="shared" si="248"/>
        <v>4555.7654576535824</v>
      </c>
      <c r="N250" s="9">
        <f t="shared" si="248"/>
        <v>4567.0012042914987</v>
      </c>
      <c r="O250" s="9">
        <f t="shared" si="248"/>
        <v>4578.2646613117167</v>
      </c>
      <c r="P250" s="9">
        <f t="shared" si="248"/>
        <v>4589.5558970555157</v>
      </c>
      <c r="Q250" s="9">
        <f t="shared" si="248"/>
        <v>4600.8749800327214</v>
      </c>
      <c r="R250" s="9">
        <f t="shared" si="248"/>
        <v>4612.2219789221235</v>
      </c>
      <c r="S250" s="9">
        <f t="shared" si="248"/>
        <v>4623.5969625718944</v>
      </c>
      <c r="T250" s="9">
        <f t="shared" si="248"/>
        <v>4635</v>
      </c>
      <c r="U250" s="9">
        <f t="shared" si="248"/>
        <v>4646.4311603946271</v>
      </c>
      <c r="V250" s="9">
        <f t="shared" si="248"/>
        <v>4657.8905131145984</v>
      </c>
      <c r="W250" s="9">
        <f t="shared" si="248"/>
        <v>4669.3781276897926</v>
      </c>
      <c r="X250" s="9">
        <f t="shared" si="248"/>
        <v>4680.8940738215688</v>
      </c>
      <c r="Y250" s="9">
        <f t="shared" si="248"/>
        <v>4692.4384213831909</v>
      </c>
      <c r="Z250" s="9">
        <f t="shared" si="248"/>
        <v>4704.0112404202437</v>
      </c>
      <c r="AA250" s="9">
        <f t="shared" si="248"/>
        <v>4715.6126011510696</v>
      </c>
      <c r="AB250" s="9">
        <f t="shared" si="248"/>
        <v>4727.2425739671817</v>
      </c>
      <c r="AC250" s="9">
        <f t="shared" si="248"/>
        <v>4738.9012294337035</v>
      </c>
      <c r="AD250" s="9">
        <f t="shared" si="248"/>
        <v>4750.5886382897888</v>
      </c>
      <c r="AE250" s="9">
        <f t="shared" si="248"/>
        <v>4762.3048714490506</v>
      </c>
      <c r="AF250" s="9">
        <f t="shared" si="248"/>
        <v>4774.05</v>
      </c>
      <c r="AG250" s="9">
        <f t="shared" si="248"/>
        <v>4785.8240952064662</v>
      </c>
      <c r="AH250" s="9">
        <f t="shared" si="248"/>
        <v>4797.6272285080368</v>
      </c>
      <c r="AI250" s="9">
        <f t="shared" si="248"/>
        <v>4809.4594715204857</v>
      </c>
      <c r="AJ250" s="9">
        <f t="shared" si="248"/>
        <v>4821.3208960362172</v>
      </c>
      <c r="AK250" s="9">
        <f t="shared" si="248"/>
        <v>4833.2115740246863</v>
      </c>
      <c r="AL250" s="9">
        <f t="shared" si="248"/>
        <v>4845.1315776328511</v>
      </c>
      <c r="AM250" s="9">
        <f t="shared" si="248"/>
        <v>4857.0809791856009</v>
      </c>
      <c r="AN250" s="9">
        <f t="shared" si="248"/>
        <v>4869.0598511861972</v>
      </c>
      <c r="AO250" s="9">
        <f t="shared" si="248"/>
        <v>4881.0682663167145</v>
      </c>
      <c r="AP250" s="9">
        <f t="shared" si="248"/>
        <v>4893.1062974384822</v>
      </c>
      <c r="AQ250" s="9">
        <f t="shared" si="248"/>
        <v>4905.1740175925233</v>
      </c>
    </row>
    <row r="251" spans="1:43" hidden="1" outlineLevel="4" collapsed="1">
      <c r="A251" s="2"/>
      <c r="B251" s="2"/>
      <c r="C251" s="2"/>
      <c r="D251" s="2"/>
      <c r="E251" s="2" t="s">
        <v>483</v>
      </c>
      <c r="F251" s="2"/>
      <c r="G251" s="2"/>
      <c r="H251" s="9">
        <f t="shared" ref="H251:AQ251" si="249">(H252*H253)</f>
        <v>33092.08201703251</v>
      </c>
      <c r="I251" s="9">
        <f t="shared" si="249"/>
        <v>39894.144445901162</v>
      </c>
      <c r="J251" s="9">
        <f t="shared" si="249"/>
        <v>46929.192765571206</v>
      </c>
      <c r="K251" s="9">
        <f t="shared" si="249"/>
        <v>54203.374465640867</v>
      </c>
      <c r="L251" s="9">
        <f t="shared" si="249"/>
        <v>61722.982008989471</v>
      </c>
      <c r="M251" s="9">
        <f t="shared" si="249"/>
        <v>69494.456041258658</v>
      </c>
      <c r="N251" s="9">
        <f t="shared" si="249"/>
        <v>77524.388668554675</v>
      </c>
      <c r="O251" s="9">
        <f t="shared" si="249"/>
        <v>85819.526804781141</v>
      </c>
      <c r="P251" s="9">
        <f t="shared" si="249"/>
        <v>94386.775590040837</v>
      </c>
      <c r="Q251" s="9">
        <f t="shared" si="249"/>
        <v>103233.20188157282</v>
      </c>
      <c r="R251" s="9">
        <f t="shared" si="249"/>
        <v>112366.03781872198</v>
      </c>
      <c r="S251" s="9">
        <f t="shared" si="249"/>
        <v>121792.6844634685</v>
      </c>
      <c r="T251" s="9">
        <f t="shared" si="249"/>
        <v>131520.71551807434</v>
      </c>
      <c r="U251" s="9">
        <f t="shared" si="249"/>
        <v>141557.88112143689</v>
      </c>
      <c r="V251" s="9">
        <f t="shared" si="249"/>
        <v>151912.11172577061</v>
      </c>
      <c r="W251" s="9">
        <f t="shared" si="249"/>
        <v>162591.52205527126</v>
      </c>
      <c r="X251" s="9">
        <f t="shared" si="249"/>
        <v>173604.41514844977</v>
      </c>
      <c r="Y251" s="9">
        <f t="shared" si="249"/>
        <v>184959.28648585849</v>
      </c>
      <c r="Z251" s="9">
        <f t="shared" si="249"/>
        <v>196664.82820496507</v>
      </c>
      <c r="AA251" s="9">
        <f t="shared" si="249"/>
        <v>208729.93340396546</v>
      </c>
      <c r="AB251" s="9">
        <f t="shared" si="249"/>
        <v>221163.70053636635</v>
      </c>
      <c r="AC251" s="9">
        <f t="shared" si="249"/>
        <v>233975.437898198</v>
      </c>
      <c r="AD251" s="9">
        <f t="shared" si="249"/>
        <v>247174.66820976342</v>
      </c>
      <c r="AE251" s="9">
        <f t="shared" si="249"/>
        <v>260771.13329386091</v>
      </c>
      <c r="AF251" s="9">
        <f t="shared" si="249"/>
        <v>274774.79885246436</v>
      </c>
      <c r="AG251" s="9">
        <f t="shared" si="249"/>
        <v>289195.85934387596</v>
      </c>
      <c r="AH251" s="9">
        <f t="shared" si="249"/>
        <v>304044.74296241382</v>
      </c>
      <c r="AI251" s="9">
        <f t="shared" si="249"/>
        <v>319332.11672273645</v>
      </c>
      <c r="AJ251" s="9">
        <f t="shared" si="249"/>
        <v>335068.89165094745</v>
      </c>
      <c r="AK251" s="9">
        <f t="shared" si="249"/>
        <v>351266.22808466689</v>
      </c>
      <c r="AL251" s="9">
        <f t="shared" si="249"/>
        <v>367935.5410843009</v>
      </c>
      <c r="AM251" s="9">
        <f t="shared" si="249"/>
        <v>385088.50595778547</v>
      </c>
      <c r="AN251" s="9">
        <f t="shared" si="249"/>
        <v>402737.06390112493</v>
      </c>
      <c r="AO251" s="9">
        <f t="shared" si="249"/>
        <v>420893.42775709514</v>
      </c>
      <c r="AP251" s="9">
        <f t="shared" si="249"/>
        <v>439570.08789452311</v>
      </c>
      <c r="AQ251" s="9">
        <f t="shared" si="249"/>
        <v>458779.81821061333</v>
      </c>
    </row>
    <row r="252" spans="1:43" hidden="1" outlineLevel="5">
      <c r="A252" s="2"/>
      <c r="B252" s="2"/>
      <c r="C252" s="2"/>
      <c r="D252" s="2"/>
      <c r="E252" s="2"/>
      <c r="F252" s="2" t="s">
        <v>386</v>
      </c>
      <c r="G252" s="2"/>
      <c r="H252" s="9">
        <f t="shared" ref="H252:AQ252" si="250">H78</f>
        <v>9.4548805762950021</v>
      </c>
      <c r="I252" s="9">
        <f t="shared" si="250"/>
        <v>11.370284794851163</v>
      </c>
      <c r="J252" s="9">
        <f t="shared" si="250"/>
        <v>13.34244748506338</v>
      </c>
      <c r="K252" s="9">
        <f t="shared" si="250"/>
        <v>15.372658308664604</v>
      </c>
      <c r="L252" s="9">
        <f t="shared" si="250"/>
        <v>17.462233075247905</v>
      </c>
      <c r="M252" s="9">
        <f t="shared" si="250"/>
        <v>19.612514239529979</v>
      </c>
      <c r="N252" s="9">
        <f t="shared" si="250"/>
        <v>21.824871407690022</v>
      </c>
      <c r="O252" s="9">
        <f t="shared" si="250"/>
        <v>24.100701852944841</v>
      </c>
      <c r="P252" s="9">
        <f t="shared" si="250"/>
        <v>26.441431040524055</v>
      </c>
      <c r="Q252" s="9">
        <f t="shared" si="250"/>
        <v>28.848513162211827</v>
      </c>
      <c r="R252" s="9">
        <f t="shared" si="250"/>
        <v>31.323431680624644</v>
      </c>
      <c r="S252" s="9">
        <f t="shared" si="250"/>
        <v>33.867699883397627</v>
      </c>
      <c r="T252" s="9">
        <f t="shared" si="250"/>
        <v>36.482861447454745</v>
      </c>
      <c r="U252" s="9">
        <f t="shared" si="250"/>
        <v>39.170491013541294</v>
      </c>
      <c r="V252" s="9">
        <f t="shared" si="250"/>
        <v>41.932194771200408</v>
      </c>
      <c r="W252" s="9">
        <f t="shared" si="250"/>
        <v>44.769611054377961</v>
      </c>
      <c r="X252" s="9">
        <f t="shared" si="250"/>
        <v>47.684410947844022</v>
      </c>
      <c r="Y252" s="9">
        <f t="shared" si="250"/>
        <v>50.678298904621904</v>
      </c>
      <c r="Z252" s="9">
        <f t="shared" si="250"/>
        <v>53.7530133746194</v>
      </c>
      <c r="AA252" s="9">
        <f t="shared" si="250"/>
        <v>56.910327444659508</v>
      </c>
      <c r="AB252" s="9">
        <f t="shared" si="250"/>
        <v>60.152049490112873</v>
      </c>
      <c r="AC252" s="9">
        <f t="shared" si="250"/>
        <v>63.480023838335491</v>
      </c>
      <c r="AD252" s="9">
        <f t="shared" si="250"/>
        <v>66.896131444121011</v>
      </c>
      <c r="AE252" s="9">
        <f t="shared" si="250"/>
        <v>70.40229057737848</v>
      </c>
      <c r="AF252" s="9">
        <f t="shared" si="250"/>
        <v>74.000457523252322</v>
      </c>
      <c r="AG252" s="9">
        <f t="shared" si="250"/>
        <v>77.692627294902621</v>
      </c>
      <c r="AH252" s="9">
        <f t="shared" si="250"/>
        <v>81.480834359169236</v>
      </c>
      <c r="AI252" s="9">
        <f t="shared" si="250"/>
        <v>85.367153375346859</v>
      </c>
      <c r="AJ252" s="9">
        <f t="shared" si="250"/>
        <v>89.353699947301578</v>
      </c>
      <c r="AK252" s="9">
        <f t="shared" si="250"/>
        <v>93.442631389163779</v>
      </c>
      <c r="AL252" s="9">
        <f t="shared" si="250"/>
        <v>97.636147504836273</v>
      </c>
      <c r="AM252" s="9">
        <f t="shared" si="250"/>
        <v>101.93649138156074</v>
      </c>
      <c r="AN252" s="9">
        <f t="shared" si="250"/>
        <v>106.34595019778946</v>
      </c>
      <c r="AO252" s="9">
        <f t="shared" si="250"/>
        <v>110.8668560456142</v>
      </c>
      <c r="AP252" s="9">
        <f t="shared" si="250"/>
        <v>115.50158676800706</v>
      </c>
      <c r="AQ252" s="9">
        <f t="shared" si="250"/>
        <v>120.25256681113504</v>
      </c>
    </row>
    <row r="253" spans="1:43" hidden="1" outlineLevel="5">
      <c r="A253" s="2"/>
      <c r="B253" s="2"/>
      <c r="C253" s="2"/>
      <c r="D253" s="2"/>
      <c r="E253" s="2"/>
      <c r="F253" s="2" t="s">
        <v>484</v>
      </c>
      <c r="G253" s="2"/>
      <c r="H253" s="9">
        <f t="shared" ref="H253:AQ253" si="251">western_private_trade_support_per_dose*(1+western_private_trade_support_per_dose_growth)^((COLUMN()-8)/12)</f>
        <v>3500</v>
      </c>
      <c r="I253" s="9">
        <f t="shared" si="251"/>
        <v>3508.6319442030631</v>
      </c>
      <c r="J253" s="9">
        <f t="shared" si="251"/>
        <v>3517.2851771091891</v>
      </c>
      <c r="K253" s="9">
        <f t="shared" si="251"/>
        <v>3525.9597512220653</v>
      </c>
      <c r="L253" s="9">
        <f t="shared" si="251"/>
        <v>3534.6557191748634</v>
      </c>
      <c r="M253" s="9">
        <f t="shared" si="251"/>
        <v>3543.3731337305644</v>
      </c>
      <c r="N253" s="9">
        <f t="shared" si="251"/>
        <v>3552.1120477822769</v>
      </c>
      <c r="O253" s="9">
        <f t="shared" si="251"/>
        <v>3560.8725143535576</v>
      </c>
      <c r="P253" s="9">
        <f t="shared" si="251"/>
        <v>3569.6545865987346</v>
      </c>
      <c r="Q253" s="9">
        <f t="shared" si="251"/>
        <v>3578.4583178032281</v>
      </c>
      <c r="R253" s="9">
        <f t="shared" si="251"/>
        <v>3587.2837613838742</v>
      </c>
      <c r="S253" s="9">
        <f t="shared" si="251"/>
        <v>3596.1309708892513</v>
      </c>
      <c r="T253" s="9">
        <f t="shared" si="251"/>
        <v>3605</v>
      </c>
      <c r="U253" s="9">
        <f t="shared" si="251"/>
        <v>3613.8909025291546</v>
      </c>
      <c r="V253" s="9">
        <f t="shared" si="251"/>
        <v>3622.8037324224651</v>
      </c>
      <c r="W253" s="9">
        <f t="shared" si="251"/>
        <v>3631.7385437587277</v>
      </c>
      <c r="X253" s="9">
        <f t="shared" si="251"/>
        <v>3640.6953907501093</v>
      </c>
      <c r="Y253" s="9">
        <f t="shared" si="251"/>
        <v>3649.6743277424816</v>
      </c>
      <c r="Z253" s="9">
        <f t="shared" si="251"/>
        <v>3658.6754092157453</v>
      </c>
      <c r="AA253" s="9">
        <f t="shared" si="251"/>
        <v>3667.6986897841648</v>
      </c>
      <c r="AB253" s="9">
        <f t="shared" si="251"/>
        <v>3676.7442241966965</v>
      </c>
      <c r="AC253" s="9">
        <f t="shared" si="251"/>
        <v>3685.8120673373246</v>
      </c>
      <c r="AD253" s="9">
        <f t="shared" si="251"/>
        <v>3694.902274225391</v>
      </c>
      <c r="AE253" s="9">
        <f t="shared" si="251"/>
        <v>3704.0149000159286</v>
      </c>
      <c r="AF253" s="9">
        <f t="shared" si="251"/>
        <v>3713.1499999999996</v>
      </c>
      <c r="AG253" s="9">
        <f t="shared" si="251"/>
        <v>3722.307629605029</v>
      </c>
      <c r="AH253" s="9">
        <f t="shared" si="251"/>
        <v>3731.4878443951393</v>
      </c>
      <c r="AI253" s="9">
        <f t="shared" si="251"/>
        <v>3740.6907000714891</v>
      </c>
      <c r="AJ253" s="9">
        <f t="shared" si="251"/>
        <v>3749.916252472613</v>
      </c>
      <c r="AK253" s="9">
        <f t="shared" si="251"/>
        <v>3759.1645575747561</v>
      </c>
      <c r="AL253" s="9">
        <f t="shared" si="251"/>
        <v>3768.4356714922178</v>
      </c>
      <c r="AM253" s="9">
        <f t="shared" si="251"/>
        <v>3777.7296504776896</v>
      </c>
      <c r="AN253" s="9">
        <f t="shared" si="251"/>
        <v>3787.0465509225978</v>
      </c>
      <c r="AO253" s="9">
        <f t="shared" si="251"/>
        <v>3796.3864293574447</v>
      </c>
      <c r="AP253" s="9">
        <f t="shared" si="251"/>
        <v>3805.7493424521526</v>
      </c>
      <c r="AQ253" s="9">
        <f t="shared" si="251"/>
        <v>3815.1353470164067</v>
      </c>
    </row>
    <row r="254" spans="1:43" hidden="1" outlineLevel="4" collapsed="1">
      <c r="A254" s="2"/>
      <c r="B254" s="2"/>
      <c r="C254" s="2"/>
      <c r="D254" s="2"/>
      <c r="E254" s="2" t="s">
        <v>485</v>
      </c>
      <c r="F254" s="2"/>
      <c r="G254" s="2"/>
      <c r="H254" s="9">
        <f t="shared" ref="H254:AQ254" si="252">(H255*H256)</f>
        <v>8279.9972461237485</v>
      </c>
      <c r="I254" s="9">
        <f t="shared" si="252"/>
        <v>9408.5795347360781</v>
      </c>
      <c r="J254" s="9">
        <f t="shared" si="252"/>
        <v>10575.859878239453</v>
      </c>
      <c r="K254" s="9">
        <f t="shared" si="252"/>
        <v>11782.873166593028</v>
      </c>
      <c r="L254" s="9">
        <f t="shared" si="252"/>
        <v>13030.679054691996</v>
      </c>
      <c r="M254" s="9">
        <f t="shared" si="252"/>
        <v>14320.36251824136</v>
      </c>
      <c r="N254" s="9">
        <f t="shared" si="252"/>
        <v>15653.034421594353</v>
      </c>
      <c r="O254" s="9">
        <f t="shared" si="252"/>
        <v>17029.8320978054</v>
      </c>
      <c r="P254" s="9">
        <f t="shared" si="252"/>
        <v>18451.919941152893</v>
      </c>
      <c r="Q254" s="9">
        <f t="shared" si="252"/>
        <v>19920.490012391867</v>
      </c>
      <c r="R254" s="9">
        <f t="shared" si="252"/>
        <v>21436.762657002382</v>
      </c>
      <c r="S254" s="9">
        <f t="shared" si="252"/>
        <v>23001.987136704603</v>
      </c>
      <c r="T254" s="9">
        <f t="shared" si="252"/>
        <v>24617.442274517078</v>
      </c>
      <c r="U254" s="9">
        <f t="shared" si="252"/>
        <v>26284.437113640615</v>
      </c>
      <c r="V254" s="9">
        <f t="shared" si="252"/>
        <v>28004.311590455505</v>
      </c>
      <c r="W254" s="9">
        <f t="shared" si="252"/>
        <v>29778.437221926135</v>
      </c>
      <c r="X254" s="9">
        <f t="shared" si="252"/>
        <v>31608.217807712823</v>
      </c>
      <c r="Y254" s="9">
        <f t="shared" si="252"/>
        <v>33495.090147296498</v>
      </c>
      <c r="Z254" s="9">
        <f t="shared" si="252"/>
        <v>35440.524772429075</v>
      </c>
      <c r="AA254" s="9">
        <f t="shared" si="252"/>
        <v>37446.026695227178</v>
      </c>
      <c r="AB254" s="9">
        <f t="shared" si="252"/>
        <v>39513.136172235121</v>
      </c>
      <c r="AC254" s="9">
        <f t="shared" si="252"/>
        <v>41643.429484788074</v>
      </c>
      <c r="AD254" s="9">
        <f t="shared" si="252"/>
        <v>43838.519736014219</v>
      </c>
      <c r="AE254" s="9">
        <f t="shared" si="252"/>
        <v>46100.057664820888</v>
      </c>
      <c r="AF254" s="9">
        <f t="shared" si="252"/>
        <v>48429.732477217294</v>
      </c>
      <c r="AG254" s="9">
        <f t="shared" si="252"/>
        <v>50829.272695332889</v>
      </c>
      <c r="AH254" s="9">
        <f t="shared" si="252"/>
        <v>53300.447024498375</v>
      </c>
      <c r="AI254" s="9">
        <f t="shared" si="252"/>
        <v>55845.065238763382</v>
      </c>
      <c r="AJ254" s="9">
        <f t="shared" si="252"/>
        <v>58464.979085232975</v>
      </c>
      <c r="AK254" s="9">
        <f t="shared" si="252"/>
        <v>61162.083207611613</v>
      </c>
      <c r="AL254" s="9">
        <f t="shared" si="252"/>
        <v>63938.3160893534</v>
      </c>
      <c r="AM254" s="9">
        <f t="shared" si="252"/>
        <v>66795.661016822836</v>
      </c>
      <c r="AN254" s="9">
        <f t="shared" si="252"/>
        <v>69736.147062880249</v>
      </c>
      <c r="AO254" s="9">
        <f t="shared" si="252"/>
        <v>72761.850091314554</v>
      </c>
      <c r="AP254" s="9">
        <f t="shared" si="252"/>
        <v>75874.893782552943</v>
      </c>
      <c r="AQ254" s="9">
        <f t="shared" si="252"/>
        <v>79077.450681087867</v>
      </c>
    </row>
    <row r="255" spans="1:43" hidden="1" outlineLevel="5">
      <c r="A255" s="2"/>
      <c r="B255" s="2"/>
      <c r="C255" s="2"/>
      <c r="D255" s="2"/>
      <c r="E255" s="2"/>
      <c r="F255" s="2" t="s">
        <v>395</v>
      </c>
      <c r="G255" s="2"/>
      <c r="H255" s="9">
        <f t="shared" ref="H255:AQ255" si="253">H89</f>
        <v>3.3119988984494997</v>
      </c>
      <c r="I255" s="9">
        <f t="shared" si="253"/>
        <v>3.7541730104786892</v>
      </c>
      <c r="J255" s="9">
        <f t="shared" si="253"/>
        <v>4.2095545524415687</v>
      </c>
      <c r="K255" s="9">
        <f t="shared" si="253"/>
        <v>4.6784488755190328</v>
      </c>
      <c r="L255" s="9">
        <f t="shared" si="253"/>
        <v>5.1611676287464467</v>
      </c>
      <c r="M255" s="9">
        <f t="shared" si="253"/>
        <v>5.6580288806418375</v>
      </c>
      <c r="N255" s="9">
        <f t="shared" si="253"/>
        <v>6.1693572430841597</v>
      </c>
      <c r="O255" s="9">
        <f t="shared" si="253"/>
        <v>6.6954839974819498</v>
      </c>
      <c r="P255" s="9">
        <f t="shared" si="253"/>
        <v>7.2367472232735404</v>
      </c>
      <c r="Q255" s="9">
        <f t="shared" si="253"/>
        <v>7.79349192880054</v>
      </c>
      <c r="R255" s="9">
        <f t="shared" si="253"/>
        <v>8.3660701845972021</v>
      </c>
      <c r="S255" s="9">
        <f t="shared" si="253"/>
        <v>8.9548412591389415</v>
      </c>
      <c r="T255" s="9">
        <f t="shared" si="253"/>
        <v>9.560171757094011</v>
      </c>
      <c r="U255" s="9">
        <f t="shared" si="253"/>
        <v>10.182435760123225</v>
      </c>
      <c r="V255" s="9">
        <f t="shared" si="253"/>
        <v>10.822014970273246</v>
      </c>
      <c r="W255" s="9">
        <f t="shared" si="253"/>
        <v>11.479298856009892</v>
      </c>
      <c r="X255" s="9">
        <f t="shared" si="253"/>
        <v>12.154684800938705</v>
      </c>
      <c r="Y255" s="9">
        <f t="shared" si="253"/>
        <v>12.848578255260657</v>
      </c>
      <c r="Z255" s="9">
        <f t="shared" si="253"/>
        <v>13.561392890012151</v>
      </c>
      <c r="AA255" s="9">
        <f t="shared" si="253"/>
        <v>14.293550754138723</v>
      </c>
      <c r="AB255" s="9">
        <f t="shared" si="253"/>
        <v>15.045482434453341</v>
      </c>
      <c r="AC255" s="9">
        <f t="shared" si="253"/>
        <v>15.817627218530571</v>
      </c>
      <c r="AD255" s="9">
        <f t="shared" si="253"/>
        <v>16.610433260589144</v>
      </c>
      <c r="AE255" s="9">
        <f t="shared" si="253"/>
        <v>17.424357750416096</v>
      </c>
      <c r="AF255" s="9">
        <f t="shared" si="253"/>
        <v>18.259867085386858</v>
      </c>
      <c r="AG255" s="9">
        <f t="shared" si="253"/>
        <v>19.117437045636358</v>
      </c>
      <c r="AH255" s="9">
        <f t="shared" si="253"/>
        <v>19.997552972437315</v>
      </c>
      <c r="AI255" s="9">
        <f t="shared" si="253"/>
        <v>20.900709949842838</v>
      </c>
      <c r="AJ255" s="9">
        <f t="shared" si="253"/>
        <v>21.827412989651549</v>
      </c>
      <c r="AK255" s="9">
        <f t="shared" si="253"/>
        <v>22.778177219754088</v>
      </c>
      <c r="AL255" s="9">
        <f t="shared" si="253"/>
        <v>23.753528075921572</v>
      </c>
      <c r="AM255" s="9">
        <f t="shared" si="253"/>
        <v>24.754001497096873</v>
      </c>
      <c r="AN255" s="9">
        <f t="shared" si="253"/>
        <v>25.780144124251034</v>
      </c>
      <c r="AO255" s="9">
        <f t="shared" si="253"/>
        <v>26.832513502868505</v>
      </c>
      <c r="AP255" s="9">
        <f t="shared" si="253"/>
        <v>27.911678289125163</v>
      </c>
      <c r="AQ255" s="9">
        <f t="shared" si="253"/>
        <v>29.018218459825171</v>
      </c>
    </row>
    <row r="256" spans="1:43" hidden="1" outlineLevel="5">
      <c r="A256" s="2"/>
      <c r="B256" s="2"/>
      <c r="C256" s="2"/>
      <c r="D256" s="2"/>
      <c r="E256" s="2"/>
      <c r="F256" s="2" t="s">
        <v>486</v>
      </c>
      <c r="G256" s="2"/>
      <c r="H256" s="9">
        <f t="shared" ref="H256:AQ256" si="254">eastern_private_trade_support_per_dose*(1+eastern_private_trade_support_per_dose_growth)^((COLUMN()-8)/12)</f>
        <v>2500</v>
      </c>
      <c r="I256" s="9">
        <f t="shared" si="254"/>
        <v>2506.1656744307593</v>
      </c>
      <c r="J256" s="9">
        <f t="shared" si="254"/>
        <v>2512.346555077992</v>
      </c>
      <c r="K256" s="9">
        <f t="shared" si="254"/>
        <v>2518.5426794443324</v>
      </c>
      <c r="L256" s="9">
        <f t="shared" si="254"/>
        <v>2524.7540851249023</v>
      </c>
      <c r="M256" s="9">
        <f t="shared" si="254"/>
        <v>2530.9808098075459</v>
      </c>
      <c r="N256" s="9">
        <f t="shared" si="254"/>
        <v>2537.2228912730548</v>
      </c>
      <c r="O256" s="9">
        <f t="shared" si="254"/>
        <v>2543.4803673953984</v>
      </c>
      <c r="P256" s="9">
        <f t="shared" si="254"/>
        <v>2549.7532761419534</v>
      </c>
      <c r="Q256" s="9">
        <f t="shared" si="254"/>
        <v>2556.0416555737343</v>
      </c>
      <c r="R256" s="9">
        <f t="shared" si="254"/>
        <v>2562.3455438456244</v>
      </c>
      <c r="S256" s="9">
        <f t="shared" si="254"/>
        <v>2568.6649792066078</v>
      </c>
      <c r="T256" s="9">
        <f t="shared" si="254"/>
        <v>2575</v>
      </c>
      <c r="U256" s="9">
        <f t="shared" si="254"/>
        <v>2581.350644663682</v>
      </c>
      <c r="V256" s="9">
        <f t="shared" si="254"/>
        <v>2587.7169517303323</v>
      </c>
      <c r="W256" s="9">
        <f t="shared" si="254"/>
        <v>2594.0989598276624</v>
      </c>
      <c r="X256" s="9">
        <f t="shared" si="254"/>
        <v>2600.4967076786493</v>
      </c>
      <c r="Y256" s="9">
        <f t="shared" si="254"/>
        <v>2606.9102341017724</v>
      </c>
      <c r="Z256" s="9">
        <f t="shared" si="254"/>
        <v>2613.3395780112469</v>
      </c>
      <c r="AA256" s="9">
        <f t="shared" si="254"/>
        <v>2619.7847784172604</v>
      </c>
      <c r="AB256" s="9">
        <f t="shared" si="254"/>
        <v>2626.2458744262117</v>
      </c>
      <c r="AC256" s="9">
        <f t="shared" si="254"/>
        <v>2632.7229052409461</v>
      </c>
      <c r="AD256" s="9">
        <f t="shared" si="254"/>
        <v>2639.2159101609936</v>
      </c>
      <c r="AE256" s="9">
        <f t="shared" si="254"/>
        <v>2645.7249285828061</v>
      </c>
      <c r="AF256" s="9">
        <f t="shared" si="254"/>
        <v>2652.25</v>
      </c>
      <c r="AG256" s="9">
        <f t="shared" si="254"/>
        <v>2658.7911640035923</v>
      </c>
      <c r="AH256" s="9">
        <f t="shared" si="254"/>
        <v>2665.3484602822423</v>
      </c>
      <c r="AI256" s="9">
        <f t="shared" si="254"/>
        <v>2671.921928622492</v>
      </c>
      <c r="AJ256" s="9">
        <f t="shared" si="254"/>
        <v>2678.5116089090093</v>
      </c>
      <c r="AK256" s="9">
        <f t="shared" si="254"/>
        <v>2685.1175411248255</v>
      </c>
      <c r="AL256" s="9">
        <f t="shared" si="254"/>
        <v>2691.7397653515841</v>
      </c>
      <c r="AM256" s="9">
        <f t="shared" si="254"/>
        <v>2698.3783217697783</v>
      </c>
      <c r="AN256" s="9">
        <f t="shared" si="254"/>
        <v>2705.0332506589984</v>
      </c>
      <c r="AO256" s="9">
        <f t="shared" si="254"/>
        <v>2711.7045923981746</v>
      </c>
      <c r="AP256" s="9">
        <f t="shared" si="254"/>
        <v>2718.3923874658235</v>
      </c>
      <c r="AQ256" s="9">
        <f t="shared" si="254"/>
        <v>2725.0966764402906</v>
      </c>
    </row>
    <row r="257" spans="1:43" hidden="1" outlineLevel="4" collapsed="1">
      <c r="A257" s="2"/>
      <c r="B257" s="2"/>
      <c r="C257" s="2"/>
      <c r="D257" s="2"/>
      <c r="E257" s="2" t="s">
        <v>487</v>
      </c>
      <c r="F257" s="2"/>
      <c r="G257" s="2"/>
      <c r="H257" s="9">
        <f t="shared" ref="H257:AQ257" si="255">(H258*H259)</f>
        <v>1268.0977044843362</v>
      </c>
      <c r="I257" s="9">
        <f t="shared" si="255"/>
        <v>1375.0830312762212</v>
      </c>
      <c r="J257" s="9">
        <f t="shared" si="255"/>
        <v>1485.7439897328568</v>
      </c>
      <c r="K257" s="9">
        <f t="shared" si="255"/>
        <v>1600.1812667047243</v>
      </c>
      <c r="L257" s="9">
        <f t="shared" si="255"/>
        <v>1718.4980198770638</v>
      </c>
      <c r="M257" s="9">
        <f t="shared" si="255"/>
        <v>1840.7999345117346</v>
      </c>
      <c r="N257" s="9">
        <f t="shared" si="255"/>
        <v>1967.1952814351018</v>
      </c>
      <c r="O257" s="9">
        <f t="shared" si="255"/>
        <v>2097.7949762984208</v>
      </c>
      <c r="P257" s="9">
        <f t="shared" si="255"/>
        <v>2232.712640137795</v>
      </c>
      <c r="Q257" s="9">
        <f t="shared" si="255"/>
        <v>2372.0646612612686</v>
      </c>
      <c r="R257" s="9">
        <f t="shared" si="255"/>
        <v>2515.9702584912634</v>
      </c>
      <c r="S257" s="9">
        <f t="shared" si="255"/>
        <v>2664.5515457910951</v>
      </c>
      <c r="T257" s="9">
        <f t="shared" si="255"/>
        <v>2817.9335983049336</v>
      </c>
      <c r="U257" s="9">
        <f t="shared" si="255"/>
        <v>2976.2445198411642</v>
      </c>
      <c r="V257" s="9">
        <f t="shared" si="255"/>
        <v>3139.6155118297261</v>
      </c>
      <c r="W257" s="9">
        <f t="shared" si="255"/>
        <v>3308.1809437846641</v>
      </c>
      <c r="X257" s="9">
        <f t="shared" si="255"/>
        <v>3482.078425303715</v>
      </c>
      <c r="Y257" s="9">
        <f t="shared" si="255"/>
        <v>3661.4488796374985</v>
      </c>
      <c r="Z257" s="9">
        <f t="shared" si="255"/>
        <v>3846.4366188614481</v>
      </c>
      <c r="AA257" s="9">
        <f t="shared" si="255"/>
        <v>4037.1894206844026</v>
      </c>
      <c r="AB257" s="9">
        <f t="shared" si="255"/>
        <v>4233.8586069284238</v>
      </c>
      <c r="AC257" s="9">
        <f t="shared" si="255"/>
        <v>4436.5991237150911</v>
      </c>
      <c r="AD257" s="9">
        <f t="shared" si="255"/>
        <v>4645.5696233943754</v>
      </c>
      <c r="AE257" s="9">
        <f t="shared" si="255"/>
        <v>4860.9325482527474</v>
      </c>
      <c r="AF257" s="9">
        <f t="shared" si="255"/>
        <v>5082.8542160381658</v>
      </c>
      <c r="AG257" s="9">
        <f t="shared" si="255"/>
        <v>5311.5049073400914</v>
      </c>
      <c r="AH257" s="9">
        <f t="shared" si="255"/>
        <v>5547.0589548637417</v>
      </c>
      <c r="AI257" s="9">
        <f t="shared" si="255"/>
        <v>5789.6948346384015</v>
      </c>
      <c r="AJ257" s="9">
        <f t="shared" si="255"/>
        <v>6039.5952592005187</v>
      </c>
      <c r="AK257" s="9">
        <f t="shared" si="255"/>
        <v>6296.9472727931279</v>
      </c>
      <c r="AL257" s="9">
        <f t="shared" si="255"/>
        <v>6561.9423486240094</v>
      </c>
      <c r="AM257" s="9">
        <f t="shared" si="255"/>
        <v>6834.7764882258643</v>
      </c>
      <c r="AN257" s="9">
        <f t="shared" si="255"/>
        <v>7115.6503229626333</v>
      </c>
      <c r="AO257" s="9">
        <f t="shared" si="255"/>
        <v>7404.7692177270928</v>
      </c>
      <c r="AP257" s="9">
        <f t="shared" si="255"/>
        <v>7702.3433768756759</v>
      </c>
      <c r="AQ257" s="9">
        <f t="shared" si="255"/>
        <v>8008.5879524474785</v>
      </c>
    </row>
    <row r="258" spans="1:43" hidden="1" outlineLevel="5">
      <c r="A258" s="2"/>
      <c r="B258" s="2"/>
      <c r="C258" s="2"/>
      <c r="D258" s="2"/>
      <c r="E258" s="2"/>
      <c r="F258" s="2" t="s">
        <v>404</v>
      </c>
      <c r="G258" s="2"/>
      <c r="H258" s="9">
        <f t="shared" ref="H258:AQ258" si="256">H100</f>
        <v>1.0567480870702801</v>
      </c>
      <c r="I258" s="9">
        <f t="shared" si="256"/>
        <v>1.1430833740907747</v>
      </c>
      <c r="J258" s="9">
        <f t="shared" si="256"/>
        <v>1.2320354341059565</v>
      </c>
      <c r="K258" s="9">
        <f t="shared" si="256"/>
        <v>1.3236666583061552</v>
      </c>
      <c r="L258" s="9">
        <f t="shared" si="256"/>
        <v>1.4180407625323634</v>
      </c>
      <c r="M258" s="9">
        <f t="shared" si="256"/>
        <v>1.5152228135059327</v>
      </c>
      <c r="N258" s="9">
        <f t="shared" si="256"/>
        <v>1.6152792555538771</v>
      </c>
      <c r="O258" s="9">
        <f t="shared" si="256"/>
        <v>1.7182779378388282</v>
      </c>
      <c r="P258" s="9">
        <f t="shared" si="256"/>
        <v>1.8242881421028816</v>
      </c>
      <c r="Q258" s="9">
        <f t="shared" si="256"/>
        <v>1.9333806109346821</v>
      </c>
      <c r="R258" s="9">
        <f t="shared" si="256"/>
        <v>2.0456275765693244</v>
      </c>
      <c r="S258" s="9">
        <f t="shared" si="256"/>
        <v>2.1611027902307645</v>
      </c>
      <c r="T258" s="9">
        <f t="shared" si="256"/>
        <v>2.2798815520266453</v>
      </c>
      <c r="U258" s="9">
        <f t="shared" si="256"/>
        <v>2.4020407414055942</v>
      </c>
      <c r="V258" s="9">
        <f t="shared" si="256"/>
        <v>2.5276588481872304</v>
      </c>
      <c r="W258" s="9">
        <f t="shared" si="256"/>
        <v>2.6568160041753326</v>
      </c>
      <c r="X258" s="9">
        <f t="shared" si="256"/>
        <v>2.7895940153647412</v>
      </c>
      <c r="Y258" s="9">
        <f t="shared" si="256"/>
        <v>2.9260763947528368</v>
      </c>
      <c r="Z258" s="9">
        <f t="shared" si="256"/>
        <v>3.0663483957665494</v>
      </c>
      <c r="AA258" s="9">
        <f t="shared" si="256"/>
        <v>3.2104970463161049</v>
      </c>
      <c r="AB258" s="9">
        <f t="shared" si="256"/>
        <v>3.3586111834869032</v>
      </c>
      <c r="AC258" s="9">
        <f t="shared" si="256"/>
        <v>3.51078148888107</v>
      </c>
      <c r="AD258" s="9">
        <f t="shared" si="256"/>
        <v>3.6671005246205506</v>
      </c>
      <c r="AE258" s="9">
        <f t="shared" si="256"/>
        <v>3.8276627700236516</v>
      </c>
      <c r="AF258" s="9">
        <f t="shared" si="256"/>
        <v>3.9925646589673596</v>
      </c>
      <c r="AG258" s="9">
        <f t="shared" si="256"/>
        <v>4.1619046179477373</v>
      </c>
      <c r="AH258" s="9">
        <f t="shared" si="256"/>
        <v>4.3357831048511581</v>
      </c>
      <c r="AI258" s="9">
        <f t="shared" si="256"/>
        <v>4.5143026484491973</v>
      </c>
      <c r="AJ258" s="9">
        <f t="shared" si="256"/>
        <v>4.6975678886302887</v>
      </c>
      <c r="AK258" s="9">
        <f t="shared" si="256"/>
        <v>4.8856856173815038</v>
      </c>
      <c r="AL258" s="9">
        <f t="shared" si="256"/>
        <v>5.0787648205339817</v>
      </c>
      <c r="AM258" s="9">
        <f t="shared" si="256"/>
        <v>5.2769167202858762</v>
      </c>
      <c r="AN258" s="9">
        <f t="shared" si="256"/>
        <v>5.480254818516805</v>
      </c>
      <c r="AO258" s="9">
        <f t="shared" si="256"/>
        <v>5.6888949409081757</v>
      </c>
      <c r="AP258" s="9">
        <f t="shared" si="256"/>
        <v>5.9029552818838846</v>
      </c>
      <c r="AQ258" s="9">
        <f t="shared" si="256"/>
        <v>6.12255645038623</v>
      </c>
    </row>
    <row r="259" spans="1:43" hidden="1" outlineLevel="5">
      <c r="A259" s="2"/>
      <c r="B259" s="2"/>
      <c r="C259" s="2"/>
      <c r="D259" s="2"/>
      <c r="E259" s="2"/>
      <c r="F259" s="2" t="s">
        <v>488</v>
      </c>
      <c r="G259" s="2"/>
      <c r="H259" s="9">
        <f t="shared" ref="H259:AQ259" si="257">northern_private_trade_support_per_dose*(1+northern_private_trade_support_per_dose_growth)^((COLUMN()-8)/12)</f>
        <v>1200</v>
      </c>
      <c r="I259" s="9">
        <f t="shared" si="257"/>
        <v>1202.9595237267645</v>
      </c>
      <c r="J259" s="9">
        <f t="shared" si="257"/>
        <v>1205.9263464374362</v>
      </c>
      <c r="K259" s="9">
        <f t="shared" si="257"/>
        <v>1208.9004861332794</v>
      </c>
      <c r="L259" s="9">
        <f t="shared" si="257"/>
        <v>1211.8819608599531</v>
      </c>
      <c r="M259" s="9">
        <f t="shared" si="257"/>
        <v>1214.8707887076221</v>
      </c>
      <c r="N259" s="9">
        <f t="shared" si="257"/>
        <v>1217.8669878110663</v>
      </c>
      <c r="O259" s="9">
        <f t="shared" si="257"/>
        <v>1220.8705763497912</v>
      </c>
      <c r="P259" s="9">
        <f t="shared" si="257"/>
        <v>1223.8815725481377</v>
      </c>
      <c r="Q259" s="9">
        <f t="shared" si="257"/>
        <v>1226.8999946753925</v>
      </c>
      <c r="R259" s="9">
        <f t="shared" si="257"/>
        <v>1229.9258610458996</v>
      </c>
      <c r="S259" s="9">
        <f t="shared" si="257"/>
        <v>1232.9591900191717</v>
      </c>
      <c r="T259" s="9">
        <f t="shared" si="257"/>
        <v>1236</v>
      </c>
      <c r="U259" s="9">
        <f t="shared" si="257"/>
        <v>1239.0483094385672</v>
      </c>
      <c r="V259" s="9">
        <f t="shared" si="257"/>
        <v>1242.1041368305596</v>
      </c>
      <c r="W259" s="9">
        <f t="shared" si="257"/>
        <v>1245.167500717278</v>
      </c>
      <c r="X259" s="9">
        <f t="shared" si="257"/>
        <v>1248.2384196857518</v>
      </c>
      <c r="Y259" s="9">
        <f t="shared" si="257"/>
        <v>1251.3169123688508</v>
      </c>
      <c r="Z259" s="9">
        <f t="shared" si="257"/>
        <v>1254.4029974453983</v>
      </c>
      <c r="AA259" s="9">
        <f t="shared" si="257"/>
        <v>1257.496693640285</v>
      </c>
      <c r="AB259" s="9">
        <f t="shared" si="257"/>
        <v>1260.5980197245817</v>
      </c>
      <c r="AC259" s="9">
        <f t="shared" si="257"/>
        <v>1263.7069945156543</v>
      </c>
      <c r="AD259" s="9">
        <f t="shared" si="257"/>
        <v>1266.8236368772768</v>
      </c>
      <c r="AE259" s="9">
        <f t="shared" si="257"/>
        <v>1269.9479657197469</v>
      </c>
      <c r="AF259" s="9">
        <f t="shared" si="257"/>
        <v>1273.08</v>
      </c>
      <c r="AG259" s="9">
        <f t="shared" si="257"/>
        <v>1276.2197587217242</v>
      </c>
      <c r="AH259" s="9">
        <f t="shared" si="257"/>
        <v>1279.3672609354765</v>
      </c>
      <c r="AI259" s="9">
        <f t="shared" si="257"/>
        <v>1282.5225257387963</v>
      </c>
      <c r="AJ259" s="9">
        <f t="shared" si="257"/>
        <v>1285.6855722763246</v>
      </c>
      <c r="AK259" s="9">
        <f t="shared" si="257"/>
        <v>1288.8564197399164</v>
      </c>
      <c r="AL259" s="9">
        <f t="shared" si="257"/>
        <v>1292.0350873687603</v>
      </c>
      <c r="AM259" s="9">
        <f t="shared" si="257"/>
        <v>1295.2215944494935</v>
      </c>
      <c r="AN259" s="9">
        <f t="shared" si="257"/>
        <v>1298.4159603163193</v>
      </c>
      <c r="AO259" s="9">
        <f t="shared" si="257"/>
        <v>1301.6182043511239</v>
      </c>
      <c r="AP259" s="9">
        <f t="shared" si="257"/>
        <v>1304.8283459835952</v>
      </c>
      <c r="AQ259" s="9">
        <f t="shared" si="257"/>
        <v>1308.0464046913396</v>
      </c>
    </row>
    <row r="260" spans="1:43" hidden="1" outlineLevel="2" collapsed="1">
      <c r="A260" s="7"/>
      <c r="B260" s="7"/>
      <c r="C260" s="7" t="s">
        <v>489</v>
      </c>
      <c r="D260" s="7"/>
      <c r="E260" s="7"/>
      <c r="F260" s="7"/>
      <c r="G260" s="7"/>
      <c r="H260" s="8">
        <f t="shared" ref="H260:AQ260" si="258">((((((H261+H265)+H269)+H273)+H278)+H283)+H287)</f>
        <v>125300000</v>
      </c>
      <c r="I260" s="8">
        <f t="shared" si="258"/>
        <v>125718163.65259086</v>
      </c>
      <c r="J260" s="8">
        <f t="shared" si="258"/>
        <v>126137779.9933331</v>
      </c>
      <c r="K260" s="8">
        <f t="shared" si="258"/>
        <v>126558854.24554949</v>
      </c>
      <c r="L260" s="8">
        <f t="shared" si="258"/>
        <v>126981391.65187955</v>
      </c>
      <c r="M260" s="8">
        <f t="shared" si="258"/>
        <v>127405397.4743526</v>
      </c>
      <c r="N260" s="8">
        <f t="shared" si="258"/>
        <v>127830876.99446113</v>
      </c>
      <c r="O260" s="8">
        <f t="shared" si="258"/>
        <v>128257835.51323435</v>
      </c>
      <c r="P260" s="8">
        <f t="shared" si="258"/>
        <v>128686278.35131213</v>
      </c>
      <c r="Q260" s="8">
        <f t="shared" si="258"/>
        <v>129116210.8490192</v>
      </c>
      <c r="R260" s="8">
        <f t="shared" si="258"/>
        <v>129547638.3664394</v>
      </c>
      <c r="S260" s="8">
        <f t="shared" si="258"/>
        <v>129980566.28349069</v>
      </c>
      <c r="T260" s="8">
        <f t="shared" si="258"/>
        <v>130415000</v>
      </c>
      <c r="U260" s="8">
        <f t="shared" si="258"/>
        <v>130850944.93577868</v>
      </c>
      <c r="V260" s="8">
        <f t="shared" si="258"/>
        <v>131288406.53069794</v>
      </c>
      <c r="W260" s="8">
        <f t="shared" si="258"/>
        <v>131727390.24476492</v>
      </c>
      <c r="X260" s="8">
        <f t="shared" si="258"/>
        <v>132167901.55819879</v>
      </c>
      <c r="Y260" s="8">
        <f t="shared" si="258"/>
        <v>132609945.97150722</v>
      </c>
      <c r="Z260" s="8">
        <f t="shared" si="258"/>
        <v>133053529.00556321</v>
      </c>
      <c r="AA260" s="8">
        <f t="shared" si="258"/>
        <v>133498656.20168217</v>
      </c>
      <c r="AB260" s="8">
        <f t="shared" si="258"/>
        <v>133945333.12169918</v>
      </c>
      <c r="AC260" s="8">
        <f t="shared" si="258"/>
        <v>134393565.34804684</v>
      </c>
      <c r="AD260" s="8">
        <f t="shared" si="258"/>
        <v>134843358.4838331</v>
      </c>
      <c r="AE260" s="8">
        <f t="shared" si="258"/>
        <v>135294718.15291956</v>
      </c>
      <c r="AF260" s="8">
        <f t="shared" si="258"/>
        <v>135747650</v>
      </c>
      <c r="AG260" s="8">
        <f t="shared" si="258"/>
        <v>136202159.69067943</v>
      </c>
      <c r="AH260" s="8">
        <f t="shared" si="258"/>
        <v>136658252.91155303</v>
      </c>
      <c r="AI260" s="8">
        <f t="shared" si="258"/>
        <v>137115935.37028569</v>
      </c>
      <c r="AJ260" s="8">
        <f t="shared" si="258"/>
        <v>137575212.79569203</v>
      </c>
      <c r="AK260" s="8">
        <f t="shared" si="258"/>
        <v>138036090.93781605</v>
      </c>
      <c r="AL260" s="8">
        <f t="shared" si="258"/>
        <v>138498575.568012</v>
      </c>
      <c r="AM260" s="8">
        <f t="shared" si="258"/>
        <v>138962672.47902474</v>
      </c>
      <c r="AN260" s="8">
        <f t="shared" si="258"/>
        <v>139428387.48507103</v>
      </c>
      <c r="AO260" s="8">
        <f t="shared" si="258"/>
        <v>139895726.42192054</v>
      </c>
      <c r="AP260" s="8">
        <f t="shared" si="258"/>
        <v>140364695.14697793</v>
      </c>
      <c r="AQ260" s="8">
        <f t="shared" si="258"/>
        <v>140835299.53936434</v>
      </c>
    </row>
    <row r="261" spans="1:43" hidden="1" outlineLevel="3" collapsed="1">
      <c r="A261" s="2"/>
      <c r="B261" s="2"/>
      <c r="C261" s="2"/>
      <c r="D261" s="2" t="s">
        <v>490</v>
      </c>
      <c r="E261" s="2"/>
      <c r="F261" s="2"/>
      <c r="G261" s="2"/>
      <c r="H261" s="9">
        <f t="shared" ref="H261:AQ261" si="259">((H262*H263)+H264)</f>
        <v>13000000</v>
      </c>
      <c r="I261" s="9">
        <f t="shared" si="259"/>
        <v>13049361.881180907</v>
      </c>
      <c r="J261" s="9">
        <f t="shared" si="259"/>
        <v>13098913.077655677</v>
      </c>
      <c r="K261" s="9">
        <f t="shared" si="259"/>
        <v>13148654.322117195</v>
      </c>
      <c r="L261" s="9">
        <f t="shared" si="259"/>
        <v>13198586.350117054</v>
      </c>
      <c r="M261" s="9">
        <f t="shared" si="259"/>
        <v>13248709.900076788</v>
      </c>
      <c r="N261" s="9">
        <f t="shared" si="259"/>
        <v>13299025.713299166</v>
      </c>
      <c r="O261" s="9">
        <f t="shared" si="259"/>
        <v>13349534.533979485</v>
      </c>
      <c r="P261" s="9">
        <f t="shared" si="259"/>
        <v>13400237.109216966</v>
      </c>
      <c r="Q261" s="9">
        <f t="shared" si="259"/>
        <v>13451134.189026143</v>
      </c>
      <c r="R261" s="9">
        <f t="shared" si="259"/>
        <v>13502226.526348338</v>
      </c>
      <c r="S261" s="9">
        <f t="shared" si="259"/>
        <v>13553514.877063148</v>
      </c>
      <c r="T261" s="9">
        <f t="shared" si="259"/>
        <v>13605000</v>
      </c>
      <c r="U261" s="9">
        <f t="shared" si="259"/>
        <v>13656682.656949753</v>
      </c>
      <c r="V261" s="9">
        <f t="shared" si="259"/>
        <v>13708563.612676315</v>
      </c>
      <c r="W261" s="9">
        <f t="shared" si="259"/>
        <v>13760643.634928351</v>
      </c>
      <c r="X261" s="9">
        <f t="shared" si="259"/>
        <v>13812923.494450998</v>
      </c>
      <c r="Y261" s="9">
        <f t="shared" si="259"/>
        <v>13865403.964997653</v>
      </c>
      <c r="Z261" s="9">
        <f t="shared" si="259"/>
        <v>13918085.823341791</v>
      </c>
      <c r="AA261" s="9">
        <f t="shared" si="259"/>
        <v>13970969.84928884</v>
      </c>
      <c r="AB261" s="9">
        <f t="shared" si="259"/>
        <v>14024056.825688098</v>
      </c>
      <c r="AC261" s="9">
        <f t="shared" si="259"/>
        <v>14077347.538444698</v>
      </c>
      <c r="AD261" s="9">
        <f t="shared" si="259"/>
        <v>14130842.776531622</v>
      </c>
      <c r="AE261" s="9">
        <f t="shared" si="259"/>
        <v>14184543.332001757</v>
      </c>
      <c r="AF261" s="9">
        <f t="shared" si="259"/>
        <v>14238450</v>
      </c>
      <c r="AG261" s="9">
        <f t="shared" si="259"/>
        <v>14292563.578775436</v>
      </c>
      <c r="AH261" s="9">
        <f t="shared" si="259"/>
        <v>14346884.869693501</v>
      </c>
      <c r="AI261" s="9">
        <f t="shared" si="259"/>
        <v>14401414.677248277</v>
      </c>
      <c r="AJ261" s="9">
        <f t="shared" si="259"/>
        <v>14456153.809074763</v>
      </c>
      <c r="AK261" s="9">
        <f t="shared" si="259"/>
        <v>14511103.075961236</v>
      </c>
      <c r="AL261" s="9">
        <f t="shared" si="259"/>
        <v>14566263.29186165</v>
      </c>
      <c r="AM261" s="9">
        <f t="shared" si="259"/>
        <v>14621635.273908075</v>
      </c>
      <c r="AN261" s="9">
        <f t="shared" si="259"/>
        <v>14677219.842423197</v>
      </c>
      <c r="AO261" s="9">
        <f t="shared" si="259"/>
        <v>14733017.820932871</v>
      </c>
      <c r="AP261" s="9">
        <f t="shared" si="259"/>
        <v>14789030.036178708</v>
      </c>
      <c r="AQ261" s="9">
        <f t="shared" si="259"/>
        <v>14845257.318130713</v>
      </c>
    </row>
    <row r="262" spans="1:43" hidden="1" outlineLevel="4">
      <c r="A262" s="2"/>
      <c r="B262" s="2"/>
      <c r="C262" s="2"/>
      <c r="D262" s="2"/>
      <c r="E262" s="2" t="s">
        <v>269</v>
      </c>
      <c r="F262" s="2"/>
      <c r="G262" s="2"/>
      <c r="H262" s="9">
        <f t="shared" ref="H262:AQ262" si="260">regulatory_headcount*(1+regulatory_headcount_growth)^((COLUMN()-8)/12)</f>
        <v>1</v>
      </c>
      <c r="I262" s="9">
        <f t="shared" si="260"/>
        <v>1</v>
      </c>
      <c r="J262" s="9">
        <f t="shared" si="260"/>
        <v>1</v>
      </c>
      <c r="K262" s="9">
        <f t="shared" si="260"/>
        <v>1</v>
      </c>
      <c r="L262" s="9">
        <f t="shared" si="260"/>
        <v>1</v>
      </c>
      <c r="M262" s="9">
        <f t="shared" si="260"/>
        <v>1</v>
      </c>
      <c r="N262" s="9">
        <f t="shared" si="260"/>
        <v>1</v>
      </c>
      <c r="O262" s="9">
        <f t="shared" si="260"/>
        <v>1</v>
      </c>
      <c r="P262" s="9">
        <f t="shared" si="260"/>
        <v>1</v>
      </c>
      <c r="Q262" s="9">
        <f t="shared" si="260"/>
        <v>1</v>
      </c>
      <c r="R262" s="9">
        <f t="shared" si="260"/>
        <v>1</v>
      </c>
      <c r="S262" s="9">
        <f t="shared" si="260"/>
        <v>1</v>
      </c>
      <c r="T262" s="9">
        <f t="shared" si="260"/>
        <v>1</v>
      </c>
      <c r="U262" s="9">
        <f t="shared" si="260"/>
        <v>1</v>
      </c>
      <c r="V262" s="9">
        <f t="shared" si="260"/>
        <v>1</v>
      </c>
      <c r="W262" s="9">
        <f t="shared" si="260"/>
        <v>1</v>
      </c>
      <c r="X262" s="9">
        <f t="shared" si="260"/>
        <v>1</v>
      </c>
      <c r="Y262" s="9">
        <f t="shared" si="260"/>
        <v>1</v>
      </c>
      <c r="Z262" s="9">
        <f t="shared" si="260"/>
        <v>1</v>
      </c>
      <c r="AA262" s="9">
        <f t="shared" si="260"/>
        <v>1</v>
      </c>
      <c r="AB262" s="9">
        <f t="shared" si="260"/>
        <v>1</v>
      </c>
      <c r="AC262" s="9">
        <f t="shared" si="260"/>
        <v>1</v>
      </c>
      <c r="AD262" s="9">
        <f t="shared" si="260"/>
        <v>1</v>
      </c>
      <c r="AE262" s="9">
        <f t="shared" si="260"/>
        <v>1</v>
      </c>
      <c r="AF262" s="9">
        <f t="shared" si="260"/>
        <v>1</v>
      </c>
      <c r="AG262" s="9">
        <f t="shared" si="260"/>
        <v>1</v>
      </c>
      <c r="AH262" s="9">
        <f t="shared" si="260"/>
        <v>1</v>
      </c>
      <c r="AI262" s="9">
        <f t="shared" si="260"/>
        <v>1</v>
      </c>
      <c r="AJ262" s="9">
        <f t="shared" si="260"/>
        <v>1</v>
      </c>
      <c r="AK262" s="9">
        <f t="shared" si="260"/>
        <v>1</v>
      </c>
      <c r="AL262" s="9">
        <f t="shared" si="260"/>
        <v>1</v>
      </c>
      <c r="AM262" s="9">
        <f t="shared" si="260"/>
        <v>1</v>
      </c>
      <c r="AN262" s="9">
        <f t="shared" si="260"/>
        <v>1</v>
      </c>
      <c r="AO262" s="9">
        <f t="shared" si="260"/>
        <v>1</v>
      </c>
      <c r="AP262" s="9">
        <f t="shared" si="260"/>
        <v>1</v>
      </c>
      <c r="AQ262" s="9">
        <f t="shared" si="260"/>
        <v>1</v>
      </c>
    </row>
    <row r="263" spans="1:43" hidden="1" outlineLevel="4">
      <c r="A263" s="2"/>
      <c r="B263" s="2"/>
      <c r="C263" s="2"/>
      <c r="D263" s="2"/>
      <c r="E263" s="2" t="s">
        <v>491</v>
      </c>
      <c r="F263" s="2"/>
      <c r="G263" s="2"/>
      <c r="H263" s="9">
        <f t="shared" ref="H263:AQ263" si="261">regulatory_cost_per_fte*(1+regulatory_cost_per_fte_growth)^((COLUMN()-8)/12)</f>
        <v>8500000</v>
      </c>
      <c r="I263" s="9">
        <f t="shared" si="261"/>
        <v>8534630.0521610118</v>
      </c>
      <c r="J263" s="9">
        <f t="shared" si="261"/>
        <v>8569401.1914411597</v>
      </c>
      <c r="K263" s="9">
        <f t="shared" si="261"/>
        <v>8604313.9926468339</v>
      </c>
      <c r="L263" s="9">
        <f t="shared" si="261"/>
        <v>8639369.0329262558</v>
      </c>
      <c r="M263" s="9">
        <f t="shared" si="261"/>
        <v>8674566.891779013</v>
      </c>
      <c r="N263" s="9">
        <f t="shared" si="261"/>
        <v>8709908.1510656588</v>
      </c>
      <c r="O263" s="9">
        <f t="shared" si="261"/>
        <v>8745393.3950173073</v>
      </c>
      <c r="P263" s="9">
        <f t="shared" si="261"/>
        <v>8781023.2102453094</v>
      </c>
      <c r="Q263" s="9">
        <f t="shared" si="261"/>
        <v>8816798.1857509371</v>
      </c>
      <c r="R263" s="9">
        <f t="shared" si="261"/>
        <v>8852718.9129351322</v>
      </c>
      <c r="S263" s="9">
        <f t="shared" si="261"/>
        <v>8888785.9856082741</v>
      </c>
      <c r="T263" s="9">
        <f t="shared" si="261"/>
        <v>8925000</v>
      </c>
      <c r="U263" s="9">
        <f t="shared" si="261"/>
        <v>8961361.5547690615</v>
      </c>
      <c r="V263" s="9">
        <f t="shared" si="261"/>
        <v>8997871.2510132175</v>
      </c>
      <c r="W263" s="9">
        <f t="shared" si="261"/>
        <v>9034529.6922791768</v>
      </c>
      <c r="X263" s="9">
        <f t="shared" si="261"/>
        <v>9071337.484572567</v>
      </c>
      <c r="Y263" s="9">
        <f t="shared" si="261"/>
        <v>9108295.2363679651</v>
      </c>
      <c r="Z263" s="9">
        <f t="shared" si="261"/>
        <v>9145403.5586189423</v>
      </c>
      <c r="AA263" s="9">
        <f t="shared" si="261"/>
        <v>9182663.0647681747</v>
      </c>
      <c r="AB263" s="9">
        <f t="shared" si="261"/>
        <v>9220074.3707575742</v>
      </c>
      <c r="AC263" s="9">
        <f t="shared" si="261"/>
        <v>9257638.0950384829</v>
      </c>
      <c r="AD263" s="9">
        <f t="shared" si="261"/>
        <v>9295354.8585818894</v>
      </c>
      <c r="AE263" s="9">
        <f t="shared" si="261"/>
        <v>9333225.2848886885</v>
      </c>
      <c r="AF263" s="9">
        <f t="shared" si="261"/>
        <v>9371250</v>
      </c>
      <c r="AG263" s="9">
        <f t="shared" si="261"/>
        <v>9409429.6325075161</v>
      </c>
      <c r="AH263" s="9">
        <f t="shared" si="261"/>
        <v>9447764.8135638796</v>
      </c>
      <c r="AI263" s="9">
        <f t="shared" si="261"/>
        <v>9486256.1768931355</v>
      </c>
      <c r="AJ263" s="9">
        <f t="shared" si="261"/>
        <v>9524904.3588011973</v>
      </c>
      <c r="AK263" s="9">
        <f t="shared" si="261"/>
        <v>9563709.9981863629</v>
      </c>
      <c r="AL263" s="9">
        <f t="shared" si="261"/>
        <v>9602673.7365498897</v>
      </c>
      <c r="AM263" s="9">
        <f t="shared" si="261"/>
        <v>9641796.2180065829</v>
      </c>
      <c r="AN263" s="9">
        <f t="shared" si="261"/>
        <v>9681078.0892954525</v>
      </c>
      <c r="AO263" s="9">
        <f t="shared" si="261"/>
        <v>9720519.9997904077</v>
      </c>
      <c r="AP263" s="9">
        <f t="shared" si="261"/>
        <v>9760122.6015109848</v>
      </c>
      <c r="AQ263" s="9">
        <f t="shared" si="261"/>
        <v>9799886.549133122</v>
      </c>
    </row>
    <row r="264" spans="1:43" hidden="1" outlineLevel="4">
      <c r="A264" s="2"/>
      <c r="B264" s="2"/>
      <c r="C264" s="2"/>
      <c r="D264" s="2"/>
      <c r="E264" s="2" t="s">
        <v>492</v>
      </c>
      <c r="F264" s="2"/>
      <c r="G264" s="2"/>
      <c r="H264" s="9">
        <f t="shared" ref="H264:AQ264" si="262">regulatory_fees_and_compliance*(1+regulatory_fees_and_compliance_growth)^((COLUMN()-8)/12)</f>
        <v>4500000</v>
      </c>
      <c r="I264" s="9">
        <f t="shared" si="262"/>
        <v>4514731.8290198948</v>
      </c>
      <c r="J264" s="9">
        <f t="shared" si="262"/>
        <v>4529511.8862145171</v>
      </c>
      <c r="K264" s="9">
        <f t="shared" si="262"/>
        <v>4544340.3294703597</v>
      </c>
      <c r="L264" s="9">
        <f t="shared" si="262"/>
        <v>4559217.3171907971</v>
      </c>
      <c r="M264" s="9">
        <f t="shared" si="262"/>
        <v>4574143.0082977749</v>
      </c>
      <c r="N264" s="9">
        <f t="shared" si="262"/>
        <v>4589117.5622335067</v>
      </c>
      <c r="O264" s="9">
        <f t="shared" si="262"/>
        <v>4604141.1389621776</v>
      </c>
      <c r="P264" s="9">
        <f t="shared" si="262"/>
        <v>4619213.8989716563</v>
      </c>
      <c r="Q264" s="9">
        <f t="shared" si="262"/>
        <v>4634336.0032752054</v>
      </c>
      <c r="R264" s="9">
        <f t="shared" si="262"/>
        <v>4649507.6134132054</v>
      </c>
      <c r="S264" s="9">
        <f t="shared" si="262"/>
        <v>4664728.8914548727</v>
      </c>
      <c r="T264" s="9">
        <f t="shared" si="262"/>
        <v>4680000</v>
      </c>
      <c r="U264" s="9">
        <f t="shared" si="262"/>
        <v>4695321.1021806914</v>
      </c>
      <c r="V264" s="9">
        <f t="shared" si="262"/>
        <v>4710692.3616630975</v>
      </c>
      <c r="W264" s="9">
        <f t="shared" si="262"/>
        <v>4726113.9426491745</v>
      </c>
      <c r="X264" s="9">
        <f t="shared" si="262"/>
        <v>4741586.0098784296</v>
      </c>
      <c r="Y264" s="9">
        <f t="shared" si="262"/>
        <v>4757108.7286296869</v>
      </c>
      <c r="Z264" s="9">
        <f t="shared" si="262"/>
        <v>4772682.2647228474</v>
      </c>
      <c r="AA264" s="9">
        <f t="shared" si="262"/>
        <v>4788306.7845206643</v>
      </c>
      <c r="AB264" s="9">
        <f t="shared" si="262"/>
        <v>4803982.4549305225</v>
      </c>
      <c r="AC264" s="9">
        <f t="shared" si="262"/>
        <v>4819709.443406214</v>
      </c>
      <c r="AD264" s="9">
        <f t="shared" si="262"/>
        <v>4835487.9179497333</v>
      </c>
      <c r="AE264" s="9">
        <f t="shared" si="262"/>
        <v>4851318.0471130675</v>
      </c>
      <c r="AF264" s="9">
        <f t="shared" si="262"/>
        <v>4867200.0000000009</v>
      </c>
      <c r="AG264" s="9">
        <f t="shared" si="262"/>
        <v>4883133.9462679187</v>
      </c>
      <c r="AH264" s="9">
        <f t="shared" si="262"/>
        <v>4899120.0561296213</v>
      </c>
      <c r="AI264" s="9">
        <f t="shared" si="262"/>
        <v>4915158.5003551412</v>
      </c>
      <c r="AJ264" s="9">
        <f t="shared" si="262"/>
        <v>4931249.4502735669</v>
      </c>
      <c r="AK264" s="9">
        <f t="shared" si="262"/>
        <v>4947393.0777748739</v>
      </c>
      <c r="AL264" s="9">
        <f t="shared" si="262"/>
        <v>4963589.5553117609</v>
      </c>
      <c r="AM264" s="9">
        <f t="shared" si="262"/>
        <v>4979839.055901492</v>
      </c>
      <c r="AN264" s="9">
        <f t="shared" si="262"/>
        <v>4996141.7531277435</v>
      </c>
      <c r="AO264" s="9">
        <f t="shared" si="262"/>
        <v>5012497.821142463</v>
      </c>
      <c r="AP264" s="9">
        <f t="shared" si="262"/>
        <v>5028907.4346677223</v>
      </c>
      <c r="AQ264" s="9">
        <f t="shared" si="262"/>
        <v>5045370.7689975901</v>
      </c>
    </row>
    <row r="265" spans="1:43" hidden="1" outlineLevel="3" collapsed="1">
      <c r="A265" s="2"/>
      <c r="B265" s="2"/>
      <c r="C265" s="2"/>
      <c r="D265" s="2" t="s">
        <v>493</v>
      </c>
      <c r="E265" s="2"/>
      <c r="F265" s="2"/>
      <c r="G265" s="2"/>
      <c r="H265" s="9">
        <f t="shared" ref="H265:AQ265" si="263">((H266*H267)+H268)</f>
        <v>21000000</v>
      </c>
      <c r="I265" s="9">
        <f t="shared" si="263"/>
        <v>21081554.679449368</v>
      </c>
      <c r="J265" s="9">
        <f t="shared" si="263"/>
        <v>21163428.521513212</v>
      </c>
      <c r="K265" s="9">
        <f t="shared" si="263"/>
        <v>21245622.783609476</v>
      </c>
      <c r="L265" s="9">
        <f t="shared" si="263"/>
        <v>21328138.728138544</v>
      </c>
      <c r="M265" s="9">
        <f t="shared" si="263"/>
        <v>21410977.62250312</v>
      </c>
      <c r="N265" s="9">
        <f t="shared" si="263"/>
        <v>21494140.739128143</v>
      </c>
      <c r="O265" s="9">
        <f t="shared" si="263"/>
        <v>21577629.355480753</v>
      </c>
      <c r="P265" s="9">
        <f t="shared" si="263"/>
        <v>21661444.754090395</v>
      </c>
      <c r="Q265" s="9">
        <f t="shared" si="263"/>
        <v>21745588.222568985</v>
      </c>
      <c r="R265" s="9">
        <f t="shared" si="263"/>
        <v>21830061.053631131</v>
      </c>
      <c r="S265" s="9">
        <f t="shared" si="263"/>
        <v>21914864.545114454</v>
      </c>
      <c r="T265" s="9">
        <f t="shared" si="263"/>
        <v>22000000</v>
      </c>
      <c r="U265" s="9">
        <f t="shared" si="263"/>
        <v>22085468.72643273</v>
      </c>
      <c r="V265" s="9">
        <f t="shared" si="263"/>
        <v>22171272.037742045</v>
      </c>
      <c r="W265" s="9">
        <f t="shared" si="263"/>
        <v>22257411.252462499</v>
      </c>
      <c r="X265" s="9">
        <f t="shared" si="263"/>
        <v>22343887.694354463</v>
      </c>
      <c r="Y265" s="9">
        <f t="shared" si="263"/>
        <v>22430702.692424972</v>
      </c>
      <c r="Z265" s="9">
        <f t="shared" si="263"/>
        <v>22517857.580948625</v>
      </c>
      <c r="AA265" s="9">
        <f t="shared" si="263"/>
        <v>22605353.699488543</v>
      </c>
      <c r="AB265" s="9">
        <f t="shared" si="263"/>
        <v>22693192.392917454</v>
      </c>
      <c r="AC265" s="9">
        <f t="shared" si="263"/>
        <v>22781375.011438821</v>
      </c>
      <c r="AD265" s="9">
        <f t="shared" si="263"/>
        <v>22869902.910608098</v>
      </c>
      <c r="AE265" s="9">
        <f t="shared" si="263"/>
        <v>22958777.451354012</v>
      </c>
      <c r="AF265" s="9">
        <f t="shared" si="263"/>
        <v>23048000</v>
      </c>
      <c r="AG265" s="9">
        <f t="shared" si="263"/>
        <v>23137571.928285688</v>
      </c>
      <c r="AH265" s="9">
        <f t="shared" si="263"/>
        <v>23227494.613388449</v>
      </c>
      <c r="AI265" s="9">
        <f t="shared" si="263"/>
        <v>23317769.437945083</v>
      </c>
      <c r="AJ265" s="9">
        <f t="shared" si="263"/>
        <v>23408397.790073536</v>
      </c>
      <c r="AK265" s="9">
        <f t="shared" si="263"/>
        <v>23499381.063394781</v>
      </c>
      <c r="AL265" s="9">
        <f t="shared" si="263"/>
        <v>23590720.657054693</v>
      </c>
      <c r="AM265" s="9">
        <f t="shared" si="263"/>
        <v>23682417.975746073</v>
      </c>
      <c r="AN265" s="9">
        <f t="shared" si="263"/>
        <v>23774474.429730766</v>
      </c>
      <c r="AO265" s="9">
        <f t="shared" si="263"/>
        <v>23866891.434861805</v>
      </c>
      <c r="AP265" s="9">
        <f t="shared" si="263"/>
        <v>23959670.412605725</v>
      </c>
      <c r="AQ265" s="9">
        <f t="shared" si="263"/>
        <v>24052812.790064901</v>
      </c>
    </row>
    <row r="266" spans="1:43" hidden="1" outlineLevel="4">
      <c r="A266" s="2"/>
      <c r="B266" s="2"/>
      <c r="C266" s="2"/>
      <c r="D266" s="2"/>
      <c r="E266" s="2" t="s">
        <v>278</v>
      </c>
      <c r="F266" s="2"/>
      <c r="G266" s="2"/>
      <c r="H266" s="9">
        <f t="shared" ref="H266:AQ266" si="264">market_access_headcount*(1+market_access_headcount_growth)^((COLUMN()-8)/12)</f>
        <v>2</v>
      </c>
      <c r="I266" s="9">
        <f t="shared" si="264"/>
        <v>2</v>
      </c>
      <c r="J266" s="9">
        <f t="shared" si="264"/>
        <v>2</v>
      </c>
      <c r="K266" s="9">
        <f t="shared" si="264"/>
        <v>2</v>
      </c>
      <c r="L266" s="9">
        <f t="shared" si="264"/>
        <v>2</v>
      </c>
      <c r="M266" s="9">
        <f t="shared" si="264"/>
        <v>2</v>
      </c>
      <c r="N266" s="9">
        <f t="shared" si="264"/>
        <v>2</v>
      </c>
      <c r="O266" s="9">
        <f t="shared" si="264"/>
        <v>2</v>
      </c>
      <c r="P266" s="9">
        <f t="shared" si="264"/>
        <v>2</v>
      </c>
      <c r="Q266" s="9">
        <f t="shared" si="264"/>
        <v>2</v>
      </c>
      <c r="R266" s="9">
        <f t="shared" si="264"/>
        <v>2</v>
      </c>
      <c r="S266" s="9">
        <f t="shared" si="264"/>
        <v>2</v>
      </c>
      <c r="T266" s="9">
        <f t="shared" si="264"/>
        <v>2</v>
      </c>
      <c r="U266" s="9">
        <f t="shared" si="264"/>
        <v>2</v>
      </c>
      <c r="V266" s="9">
        <f t="shared" si="264"/>
        <v>2</v>
      </c>
      <c r="W266" s="9">
        <f t="shared" si="264"/>
        <v>2</v>
      </c>
      <c r="X266" s="9">
        <f t="shared" si="264"/>
        <v>2</v>
      </c>
      <c r="Y266" s="9">
        <f t="shared" si="264"/>
        <v>2</v>
      </c>
      <c r="Z266" s="9">
        <f t="shared" si="264"/>
        <v>2</v>
      </c>
      <c r="AA266" s="9">
        <f t="shared" si="264"/>
        <v>2</v>
      </c>
      <c r="AB266" s="9">
        <f t="shared" si="264"/>
        <v>2</v>
      </c>
      <c r="AC266" s="9">
        <f t="shared" si="264"/>
        <v>2</v>
      </c>
      <c r="AD266" s="9">
        <f t="shared" si="264"/>
        <v>2</v>
      </c>
      <c r="AE266" s="9">
        <f t="shared" si="264"/>
        <v>2</v>
      </c>
      <c r="AF266" s="9">
        <f t="shared" si="264"/>
        <v>2</v>
      </c>
      <c r="AG266" s="9">
        <f t="shared" si="264"/>
        <v>2</v>
      </c>
      <c r="AH266" s="9">
        <f t="shared" si="264"/>
        <v>2</v>
      </c>
      <c r="AI266" s="9">
        <f t="shared" si="264"/>
        <v>2</v>
      </c>
      <c r="AJ266" s="9">
        <f t="shared" si="264"/>
        <v>2</v>
      </c>
      <c r="AK266" s="9">
        <f t="shared" si="264"/>
        <v>2</v>
      </c>
      <c r="AL266" s="9">
        <f t="shared" si="264"/>
        <v>2</v>
      </c>
      <c r="AM266" s="9">
        <f t="shared" si="264"/>
        <v>2</v>
      </c>
      <c r="AN266" s="9">
        <f t="shared" si="264"/>
        <v>2</v>
      </c>
      <c r="AO266" s="9">
        <f t="shared" si="264"/>
        <v>2</v>
      </c>
      <c r="AP266" s="9">
        <f t="shared" si="264"/>
        <v>2</v>
      </c>
      <c r="AQ266" s="9">
        <f t="shared" si="264"/>
        <v>2</v>
      </c>
    </row>
    <row r="267" spans="1:43" hidden="1" outlineLevel="4">
      <c r="A267" s="2"/>
      <c r="B267" s="2"/>
      <c r="C267" s="2"/>
      <c r="D267" s="2"/>
      <c r="E267" s="2" t="s">
        <v>494</v>
      </c>
      <c r="F267" s="2"/>
      <c r="G267" s="2"/>
      <c r="H267" s="9">
        <f t="shared" ref="H267:AQ267" si="265">market_access_cost_per_fte*(1+market_access_cost_per_fte_growth)^((COLUMN()-8)/12)</f>
        <v>8000000</v>
      </c>
      <c r="I267" s="9">
        <f t="shared" si="265"/>
        <v>8032592.9902691869</v>
      </c>
      <c r="J267" s="9">
        <f t="shared" si="265"/>
        <v>8065318.768415208</v>
      </c>
      <c r="K267" s="9">
        <f t="shared" si="265"/>
        <v>8098177.8754323153</v>
      </c>
      <c r="L267" s="9">
        <f t="shared" si="265"/>
        <v>8131170.854518828</v>
      </c>
      <c r="M267" s="9">
        <f t="shared" si="265"/>
        <v>8164298.2510861298</v>
      </c>
      <c r="N267" s="9">
        <f t="shared" si="265"/>
        <v>8197560.6127676796</v>
      </c>
      <c r="O267" s="9">
        <f t="shared" si="265"/>
        <v>8230958.4894280545</v>
      </c>
      <c r="P267" s="9">
        <f t="shared" si="265"/>
        <v>8264492.4331720555</v>
      </c>
      <c r="Q267" s="9">
        <f t="shared" si="265"/>
        <v>8298162.9983538222</v>
      </c>
      <c r="R267" s="9">
        <f t="shared" si="265"/>
        <v>8331970.7415860072</v>
      </c>
      <c r="S267" s="9">
        <f t="shared" si="265"/>
        <v>8365916.2217489649</v>
      </c>
      <c r="T267" s="9">
        <f t="shared" si="265"/>
        <v>8400000</v>
      </c>
      <c r="U267" s="9">
        <f t="shared" si="265"/>
        <v>8434222.6397826467</v>
      </c>
      <c r="V267" s="9">
        <f t="shared" si="265"/>
        <v>8468584.7068359684</v>
      </c>
      <c r="W267" s="9">
        <f t="shared" si="265"/>
        <v>8503086.7692039311</v>
      </c>
      <c r="X267" s="9">
        <f t="shared" si="265"/>
        <v>8537729.3972447701</v>
      </c>
      <c r="Y267" s="9">
        <f t="shared" si="265"/>
        <v>8572513.1636404376</v>
      </c>
      <c r="Z267" s="9">
        <f t="shared" si="265"/>
        <v>8607438.6434060633</v>
      </c>
      <c r="AA267" s="9">
        <f t="shared" si="265"/>
        <v>8642506.4138994571</v>
      </c>
      <c r="AB267" s="9">
        <f t="shared" si="265"/>
        <v>8677717.0548306592</v>
      </c>
      <c r="AC267" s="9">
        <f t="shared" si="265"/>
        <v>8713071.1482715141</v>
      </c>
      <c r="AD267" s="9">
        <f t="shared" si="265"/>
        <v>8748569.2786653079</v>
      </c>
      <c r="AE267" s="9">
        <f t="shared" si="265"/>
        <v>8784212.032836413</v>
      </c>
      <c r="AF267" s="9">
        <f t="shared" si="265"/>
        <v>8820000</v>
      </c>
      <c r="AG267" s="9">
        <f t="shared" si="265"/>
        <v>8855933.7717717793</v>
      </c>
      <c r="AH267" s="9">
        <f t="shared" si="265"/>
        <v>8892013.9421777688</v>
      </c>
      <c r="AI267" s="9">
        <f t="shared" si="265"/>
        <v>8928241.1076641288</v>
      </c>
      <c r="AJ267" s="9">
        <f t="shared" si="265"/>
        <v>8964615.8671070095</v>
      </c>
      <c r="AK267" s="9">
        <f t="shared" si="265"/>
        <v>9001138.8218224607</v>
      </c>
      <c r="AL267" s="9">
        <f t="shared" si="265"/>
        <v>9037810.5755763669</v>
      </c>
      <c r="AM267" s="9">
        <f t="shared" si="265"/>
        <v>9074631.7345944308</v>
      </c>
      <c r="AN267" s="9">
        <f t="shared" si="265"/>
        <v>9111602.9075721912</v>
      </c>
      <c r="AO267" s="9">
        <f t="shared" si="265"/>
        <v>9148724.7056850903</v>
      </c>
      <c r="AP267" s="9">
        <f t="shared" si="265"/>
        <v>9185997.7425985727</v>
      </c>
      <c r="AQ267" s="9">
        <f t="shared" si="265"/>
        <v>9223422.6344782338</v>
      </c>
    </row>
    <row r="268" spans="1:43" hidden="1" outlineLevel="4">
      <c r="A268" s="2"/>
      <c r="B268" s="2"/>
      <c r="C268" s="2"/>
      <c r="D268" s="2"/>
      <c r="E268" s="2" t="s">
        <v>495</v>
      </c>
      <c r="F268" s="2"/>
      <c r="G268" s="2"/>
      <c r="H268" s="9">
        <f t="shared" ref="H268:AQ268" si="266">tender_support_budget*(1+tender_support_budget_growth)^((COLUMN()-8)/12)</f>
        <v>5000000</v>
      </c>
      <c r="I268" s="9">
        <f t="shared" si="266"/>
        <v>5016368.6989109945</v>
      </c>
      <c r="J268" s="9">
        <f t="shared" si="266"/>
        <v>5032790.9846827965</v>
      </c>
      <c r="K268" s="9">
        <f t="shared" si="266"/>
        <v>5049267.0327448444</v>
      </c>
      <c r="L268" s="9">
        <f t="shared" si="266"/>
        <v>5065797.0191008858</v>
      </c>
      <c r="M268" s="9">
        <f t="shared" si="266"/>
        <v>5082381.1203308608</v>
      </c>
      <c r="N268" s="9">
        <f t="shared" si="266"/>
        <v>5099019.5135927852</v>
      </c>
      <c r="O268" s="9">
        <f t="shared" si="266"/>
        <v>5115712.3766246419</v>
      </c>
      <c r="P268" s="9">
        <f t="shared" si="266"/>
        <v>5132459.8877462847</v>
      </c>
      <c r="Q268" s="9">
        <f t="shared" si="266"/>
        <v>5149262.2258613398</v>
      </c>
      <c r="R268" s="9">
        <f t="shared" si="266"/>
        <v>5166119.5704591172</v>
      </c>
      <c r="S268" s="9">
        <f t="shared" si="266"/>
        <v>5183032.1016165251</v>
      </c>
      <c r="T268" s="9">
        <f t="shared" si="266"/>
        <v>5200000</v>
      </c>
      <c r="U268" s="9">
        <f t="shared" si="266"/>
        <v>5217023.4468674352</v>
      </c>
      <c r="V268" s="9">
        <f t="shared" si="266"/>
        <v>5234102.6240701079</v>
      </c>
      <c r="W268" s="9">
        <f t="shared" si="266"/>
        <v>5251237.7140546385</v>
      </c>
      <c r="X268" s="9">
        <f t="shared" si="266"/>
        <v>5268428.8998649223</v>
      </c>
      <c r="Y268" s="9">
        <f t="shared" si="266"/>
        <v>5285676.3651440963</v>
      </c>
      <c r="Z268" s="9">
        <f t="shared" si="266"/>
        <v>5302980.2941364972</v>
      </c>
      <c r="AA268" s="9">
        <f t="shared" si="266"/>
        <v>5320340.8716896269</v>
      </c>
      <c r="AB268" s="9">
        <f t="shared" si="266"/>
        <v>5337758.2832561368</v>
      </c>
      <c r="AC268" s="9">
        <f t="shared" si="266"/>
        <v>5355232.7148957932</v>
      </c>
      <c r="AD268" s="9">
        <f t="shared" si="266"/>
        <v>5372764.3532774812</v>
      </c>
      <c r="AE268" s="9">
        <f t="shared" si="266"/>
        <v>5390353.3856811859</v>
      </c>
      <c r="AF268" s="9">
        <f t="shared" si="266"/>
        <v>5408000.0000000009</v>
      </c>
      <c r="AG268" s="9">
        <f t="shared" si="266"/>
        <v>5425704.3847421315</v>
      </c>
      <c r="AH268" s="9">
        <f t="shared" si="266"/>
        <v>5443466.7290329132</v>
      </c>
      <c r="AI268" s="9">
        <f t="shared" si="266"/>
        <v>5461287.2226168243</v>
      </c>
      <c r="AJ268" s="9">
        <f t="shared" si="266"/>
        <v>5479166.0558595192</v>
      </c>
      <c r="AK268" s="9">
        <f t="shared" si="266"/>
        <v>5497103.4197498607</v>
      </c>
      <c r="AL268" s="9">
        <f t="shared" si="266"/>
        <v>5515099.5059019569</v>
      </c>
      <c r="AM268" s="9">
        <f t="shared" si="266"/>
        <v>5533154.5065572131</v>
      </c>
      <c r="AN268" s="9">
        <f t="shared" si="266"/>
        <v>5551268.6145863822</v>
      </c>
      <c r="AO268" s="9">
        <f t="shared" si="266"/>
        <v>5569442.0234916257</v>
      </c>
      <c r="AP268" s="9">
        <f t="shared" si="266"/>
        <v>5587674.9274085797</v>
      </c>
      <c r="AQ268" s="9">
        <f t="shared" si="266"/>
        <v>5605967.5211084336</v>
      </c>
    </row>
    <row r="269" spans="1:43" hidden="1" outlineLevel="3" collapsed="1">
      <c r="A269" s="2"/>
      <c r="B269" s="2"/>
      <c r="C269" s="2"/>
      <c r="D269" s="2" t="s">
        <v>496</v>
      </c>
      <c r="E269" s="2"/>
      <c r="F269" s="2"/>
      <c r="G269" s="2"/>
      <c r="H269" s="9">
        <f t="shared" ref="H269:AQ269" si="267">((H270*H271)+H272)</f>
        <v>15500000</v>
      </c>
      <c r="I269" s="9">
        <f t="shared" si="267"/>
        <v>15558346.614637854</v>
      </c>
      <c r="J269" s="9">
        <f t="shared" si="267"/>
        <v>15616915.219112415</v>
      </c>
      <c r="K269" s="9">
        <f t="shared" si="267"/>
        <v>15675706.666369686</v>
      </c>
      <c r="L269" s="9">
        <f t="shared" si="267"/>
        <v>15734721.812662171</v>
      </c>
      <c r="M269" s="9">
        <f t="shared" si="267"/>
        <v>15793961.517561812</v>
      </c>
      <c r="N269" s="9">
        <f t="shared" si="267"/>
        <v>15853426.643972961</v>
      </c>
      <c r="O269" s="9">
        <f t="shared" si="267"/>
        <v>15913118.058145385</v>
      </c>
      <c r="P269" s="9">
        <f t="shared" si="267"/>
        <v>15973036.629687358</v>
      </c>
      <c r="Q269" s="9">
        <f t="shared" si="267"/>
        <v>16033183.231578771</v>
      </c>
      <c r="R269" s="9">
        <f t="shared" si="267"/>
        <v>16093558.740184324</v>
      </c>
      <c r="S269" s="9">
        <f t="shared" si="267"/>
        <v>16154164.035266723</v>
      </c>
      <c r="T269" s="9">
        <f t="shared" si="267"/>
        <v>16215000</v>
      </c>
      <c r="U269" s="9">
        <f t="shared" si="267"/>
        <v>16276067.520982815</v>
      </c>
      <c r="V269" s="9">
        <f t="shared" si="267"/>
        <v>16337367.488251843</v>
      </c>
      <c r="W269" s="9">
        <f t="shared" si="267"/>
        <v>16398900.795295235</v>
      </c>
      <c r="X269" s="9">
        <f t="shared" si="267"/>
        <v>16460668.33906607</v>
      </c>
      <c r="Y269" s="9">
        <f t="shared" si="267"/>
        <v>16522671.019995933</v>
      </c>
      <c r="Z269" s="9">
        <f t="shared" si="267"/>
        <v>16584909.742008496</v>
      </c>
      <c r="AA269" s="9">
        <f t="shared" si="267"/>
        <v>16647385.412533158</v>
      </c>
      <c r="AB269" s="9">
        <f t="shared" si="267"/>
        <v>16710098.942518771</v>
      </c>
      <c r="AC269" s="9">
        <f t="shared" si="267"/>
        <v>16773051.246447373</v>
      </c>
      <c r="AD269" s="9">
        <f t="shared" si="267"/>
        <v>16836243.24234803</v>
      </c>
      <c r="AE269" s="9">
        <f t="shared" si="267"/>
        <v>16899675.851810664</v>
      </c>
      <c r="AF269" s="9">
        <f t="shared" si="267"/>
        <v>16963350</v>
      </c>
      <c r="AG269" s="9">
        <f t="shared" si="267"/>
        <v>17027266.615669545</v>
      </c>
      <c r="AH269" s="9">
        <f t="shared" si="267"/>
        <v>17091426.631175596</v>
      </c>
      <c r="AI269" s="9">
        <f t="shared" si="267"/>
        <v>17155830.98249134</v>
      </c>
      <c r="AJ269" s="9">
        <f t="shared" si="267"/>
        <v>17220480.609220996</v>
      </c>
      <c r="AK269" s="9">
        <f t="shared" si="267"/>
        <v>17285376.454614002</v>
      </c>
      <c r="AL269" s="9">
        <f t="shared" si="267"/>
        <v>17350519.465579286</v>
      </c>
      <c r="AM269" s="9">
        <f t="shared" si="267"/>
        <v>17415910.592699543</v>
      </c>
      <c r="AN269" s="9">
        <f t="shared" si="267"/>
        <v>17481550.790245637</v>
      </c>
      <c r="AO269" s="9">
        <f t="shared" si="267"/>
        <v>17547441.016190995</v>
      </c>
      <c r="AP269" s="9">
        <f t="shared" si="267"/>
        <v>17613582.232226104</v>
      </c>
      <c r="AQ269" s="9">
        <f t="shared" si="267"/>
        <v>17679975.403773025</v>
      </c>
    </row>
    <row r="270" spans="1:43" hidden="1" outlineLevel="4">
      <c r="A270" s="2"/>
      <c r="B270" s="2"/>
      <c r="C270" s="2"/>
      <c r="D270" s="2"/>
      <c r="E270" s="2" t="s">
        <v>284</v>
      </c>
      <c r="F270" s="2"/>
      <c r="G270" s="2"/>
      <c r="H270" s="9">
        <f t="shared" ref="H270:AQ270" si="268">medical_headcount*(1+medical_headcount_growth)^((COLUMN()-8)/12)</f>
        <v>1</v>
      </c>
      <c r="I270" s="9">
        <f t="shared" si="268"/>
        <v>1</v>
      </c>
      <c r="J270" s="9">
        <f t="shared" si="268"/>
        <v>1</v>
      </c>
      <c r="K270" s="9">
        <f t="shared" si="268"/>
        <v>1</v>
      </c>
      <c r="L270" s="9">
        <f t="shared" si="268"/>
        <v>1</v>
      </c>
      <c r="M270" s="9">
        <f t="shared" si="268"/>
        <v>1</v>
      </c>
      <c r="N270" s="9">
        <f t="shared" si="268"/>
        <v>1</v>
      </c>
      <c r="O270" s="9">
        <f t="shared" si="268"/>
        <v>1</v>
      </c>
      <c r="P270" s="9">
        <f t="shared" si="268"/>
        <v>1</v>
      </c>
      <c r="Q270" s="9">
        <f t="shared" si="268"/>
        <v>1</v>
      </c>
      <c r="R270" s="9">
        <f t="shared" si="268"/>
        <v>1</v>
      </c>
      <c r="S270" s="9">
        <f t="shared" si="268"/>
        <v>1</v>
      </c>
      <c r="T270" s="9">
        <f t="shared" si="268"/>
        <v>1</v>
      </c>
      <c r="U270" s="9">
        <f t="shared" si="268"/>
        <v>1</v>
      </c>
      <c r="V270" s="9">
        <f t="shared" si="268"/>
        <v>1</v>
      </c>
      <c r="W270" s="9">
        <f t="shared" si="268"/>
        <v>1</v>
      </c>
      <c r="X270" s="9">
        <f t="shared" si="268"/>
        <v>1</v>
      </c>
      <c r="Y270" s="9">
        <f t="shared" si="268"/>
        <v>1</v>
      </c>
      <c r="Z270" s="9">
        <f t="shared" si="268"/>
        <v>1</v>
      </c>
      <c r="AA270" s="9">
        <f t="shared" si="268"/>
        <v>1</v>
      </c>
      <c r="AB270" s="9">
        <f t="shared" si="268"/>
        <v>1</v>
      </c>
      <c r="AC270" s="9">
        <f t="shared" si="268"/>
        <v>1</v>
      </c>
      <c r="AD270" s="9">
        <f t="shared" si="268"/>
        <v>1</v>
      </c>
      <c r="AE270" s="9">
        <f t="shared" si="268"/>
        <v>1</v>
      </c>
      <c r="AF270" s="9">
        <f t="shared" si="268"/>
        <v>1</v>
      </c>
      <c r="AG270" s="9">
        <f t="shared" si="268"/>
        <v>1</v>
      </c>
      <c r="AH270" s="9">
        <f t="shared" si="268"/>
        <v>1</v>
      </c>
      <c r="AI270" s="9">
        <f t="shared" si="268"/>
        <v>1</v>
      </c>
      <c r="AJ270" s="9">
        <f t="shared" si="268"/>
        <v>1</v>
      </c>
      <c r="AK270" s="9">
        <f t="shared" si="268"/>
        <v>1</v>
      </c>
      <c r="AL270" s="9">
        <f t="shared" si="268"/>
        <v>1</v>
      </c>
      <c r="AM270" s="9">
        <f t="shared" si="268"/>
        <v>1</v>
      </c>
      <c r="AN270" s="9">
        <f t="shared" si="268"/>
        <v>1</v>
      </c>
      <c r="AO270" s="9">
        <f t="shared" si="268"/>
        <v>1</v>
      </c>
      <c r="AP270" s="9">
        <f t="shared" si="268"/>
        <v>1</v>
      </c>
      <c r="AQ270" s="9">
        <f t="shared" si="268"/>
        <v>1</v>
      </c>
    </row>
    <row r="271" spans="1:43" hidden="1" outlineLevel="4">
      <c r="A271" s="2"/>
      <c r="B271" s="2"/>
      <c r="C271" s="2"/>
      <c r="D271" s="2"/>
      <c r="E271" s="2" t="s">
        <v>497</v>
      </c>
      <c r="F271" s="2"/>
      <c r="G271" s="2"/>
      <c r="H271" s="9">
        <f t="shared" ref="H271:AQ271" si="269">medical_cost_per_fte*(1+medical_cost_per_fte_growth)^((COLUMN()-8)/12)</f>
        <v>9500000</v>
      </c>
      <c r="I271" s="9">
        <f t="shared" si="269"/>
        <v>9538704.1759446599</v>
      </c>
      <c r="J271" s="9">
        <f t="shared" si="269"/>
        <v>9577566.0374930594</v>
      </c>
      <c r="K271" s="9">
        <f t="shared" si="269"/>
        <v>9616586.2270758729</v>
      </c>
      <c r="L271" s="9">
        <f t="shared" si="269"/>
        <v>9655765.3897411078</v>
      </c>
      <c r="M271" s="9">
        <f t="shared" si="269"/>
        <v>9695104.1731647793</v>
      </c>
      <c r="N271" s="9">
        <f t="shared" si="269"/>
        <v>9734603.227661619</v>
      </c>
      <c r="O271" s="9">
        <f t="shared" si="269"/>
        <v>9774263.2061958145</v>
      </c>
      <c r="P271" s="9">
        <f t="shared" si="269"/>
        <v>9814084.7643918153</v>
      </c>
      <c r="Q271" s="9">
        <f t="shared" si="269"/>
        <v>9854068.5605451632</v>
      </c>
      <c r="R271" s="9">
        <f t="shared" si="269"/>
        <v>9894215.255633384</v>
      </c>
      <c r="S271" s="9">
        <f t="shared" si="269"/>
        <v>9934525.5133268945</v>
      </c>
      <c r="T271" s="9">
        <f t="shared" si="269"/>
        <v>9975000</v>
      </c>
      <c r="U271" s="9">
        <f t="shared" si="269"/>
        <v>10015639.384741893</v>
      </c>
      <c r="V271" s="9">
        <f t="shared" si="269"/>
        <v>10056444.339367714</v>
      </c>
      <c r="W271" s="9">
        <f t="shared" si="269"/>
        <v>10097415.538429668</v>
      </c>
      <c r="X271" s="9">
        <f t="shared" si="269"/>
        <v>10138553.659228163</v>
      </c>
      <c r="Y271" s="9">
        <f t="shared" si="269"/>
        <v>10179859.381823018</v>
      </c>
      <c r="Z271" s="9">
        <f t="shared" si="269"/>
        <v>10221333.3890447</v>
      </c>
      <c r="AA271" s="9">
        <f t="shared" si="269"/>
        <v>10262976.366505606</v>
      </c>
      <c r="AB271" s="9">
        <f t="shared" si="269"/>
        <v>10304789.002611406</v>
      </c>
      <c r="AC271" s="9">
        <f t="shared" si="269"/>
        <v>10346771.988572422</v>
      </c>
      <c r="AD271" s="9">
        <f t="shared" si="269"/>
        <v>10388926.018415052</v>
      </c>
      <c r="AE271" s="9">
        <f t="shared" si="269"/>
        <v>10431251.788993239</v>
      </c>
      <c r="AF271" s="9">
        <f t="shared" si="269"/>
        <v>10473750</v>
      </c>
      <c r="AG271" s="9">
        <f t="shared" si="269"/>
        <v>10516421.353978988</v>
      </c>
      <c r="AH271" s="9">
        <f t="shared" si="269"/>
        <v>10559266.556336101</v>
      </c>
      <c r="AI271" s="9">
        <f t="shared" si="269"/>
        <v>10602286.315351153</v>
      </c>
      <c r="AJ271" s="9">
        <f t="shared" si="269"/>
        <v>10645481.342189573</v>
      </c>
      <c r="AK271" s="9">
        <f t="shared" si="269"/>
        <v>10688852.350914171</v>
      </c>
      <c r="AL271" s="9">
        <f t="shared" si="269"/>
        <v>10732400.058496937</v>
      </c>
      <c r="AM271" s="9">
        <f t="shared" si="269"/>
        <v>10776125.184830887</v>
      </c>
      <c r="AN271" s="9">
        <f t="shared" si="269"/>
        <v>10820028.452741977</v>
      </c>
      <c r="AO271" s="9">
        <f t="shared" si="269"/>
        <v>10864110.588001044</v>
      </c>
      <c r="AP271" s="9">
        <f t="shared" si="269"/>
        <v>10908372.319335805</v>
      </c>
      <c r="AQ271" s="9">
        <f t="shared" si="269"/>
        <v>10952814.378442902</v>
      </c>
    </row>
    <row r="272" spans="1:43" hidden="1" outlineLevel="4">
      <c r="A272" s="2"/>
      <c r="B272" s="2"/>
      <c r="C272" s="2"/>
      <c r="D272" s="2"/>
      <c r="E272" s="2" t="s">
        <v>498</v>
      </c>
      <c r="F272" s="2"/>
      <c r="G272" s="2"/>
      <c r="H272" s="9">
        <f t="shared" ref="H272:AQ272" si="270">kol_and_medical_program_budget*(1+kol_and_medical_program_budget_growth)^((COLUMN()-8)/12)</f>
        <v>6000000</v>
      </c>
      <c r="I272" s="9">
        <f t="shared" si="270"/>
        <v>6019642.4386931937</v>
      </c>
      <c r="J272" s="9">
        <f t="shared" si="270"/>
        <v>6039349.1816193564</v>
      </c>
      <c r="K272" s="9">
        <f t="shared" si="270"/>
        <v>6059120.439293813</v>
      </c>
      <c r="L272" s="9">
        <f t="shared" si="270"/>
        <v>6078956.4229210634</v>
      </c>
      <c r="M272" s="9">
        <f t="shared" si="270"/>
        <v>6098857.3443970336</v>
      </c>
      <c r="N272" s="9">
        <f t="shared" si="270"/>
        <v>6118823.4163113423</v>
      </c>
      <c r="O272" s="9">
        <f t="shared" si="270"/>
        <v>6138854.8519495698</v>
      </c>
      <c r="P272" s="9">
        <f t="shared" si="270"/>
        <v>6158951.8652955415</v>
      </c>
      <c r="Q272" s="9">
        <f t="shared" si="270"/>
        <v>6179114.6710336078</v>
      </c>
      <c r="R272" s="9">
        <f t="shared" si="270"/>
        <v>6199343.4845509399</v>
      </c>
      <c r="S272" s="9">
        <f t="shared" si="270"/>
        <v>6219638.5219398299</v>
      </c>
      <c r="T272" s="9">
        <f t="shared" si="270"/>
        <v>6240000</v>
      </c>
      <c r="U272" s="9">
        <f t="shared" si="270"/>
        <v>6260428.1362409219</v>
      </c>
      <c r="V272" s="9">
        <f t="shared" si="270"/>
        <v>6280923.1488841297</v>
      </c>
      <c r="W272" s="9">
        <f t="shared" si="270"/>
        <v>6301485.2568655666</v>
      </c>
      <c r="X272" s="9">
        <f t="shared" si="270"/>
        <v>6322114.6798379067</v>
      </c>
      <c r="Y272" s="9">
        <f t="shared" si="270"/>
        <v>6342811.6381729152</v>
      </c>
      <c r="Z272" s="9">
        <f t="shared" si="270"/>
        <v>6363576.3529637959</v>
      </c>
      <c r="AA272" s="9">
        <f t="shared" si="270"/>
        <v>6384409.0460275523</v>
      </c>
      <c r="AB272" s="9">
        <f t="shared" si="270"/>
        <v>6405309.9399073636</v>
      </c>
      <c r="AC272" s="9">
        <f t="shared" si="270"/>
        <v>6426279.2578749517</v>
      </c>
      <c r="AD272" s="9">
        <f t="shared" si="270"/>
        <v>6447317.2239329778</v>
      </c>
      <c r="AE272" s="9">
        <f t="shared" si="270"/>
        <v>6468424.0628174227</v>
      </c>
      <c r="AF272" s="9">
        <f t="shared" si="270"/>
        <v>6489600.0000000009</v>
      </c>
      <c r="AG272" s="9">
        <f t="shared" si="270"/>
        <v>6510845.2616905579</v>
      </c>
      <c r="AH272" s="9">
        <f t="shared" si="270"/>
        <v>6532160.0748394961</v>
      </c>
      <c r="AI272" s="9">
        <f t="shared" si="270"/>
        <v>6553544.6671401886</v>
      </c>
      <c r="AJ272" s="9">
        <f t="shared" si="270"/>
        <v>6574999.2670314228</v>
      </c>
      <c r="AK272" s="9">
        <f t="shared" si="270"/>
        <v>6596524.1036998322</v>
      </c>
      <c r="AL272" s="9">
        <f t="shared" si="270"/>
        <v>6618119.4070823481</v>
      </c>
      <c r="AM272" s="9">
        <f t="shared" si="270"/>
        <v>6639785.4078686554</v>
      </c>
      <c r="AN272" s="9">
        <f t="shared" si="270"/>
        <v>6661522.3375036586</v>
      </c>
      <c r="AO272" s="9">
        <f t="shared" si="270"/>
        <v>6683330.4281899501</v>
      </c>
      <c r="AP272" s="9">
        <f t="shared" si="270"/>
        <v>6705209.9128902964</v>
      </c>
      <c r="AQ272" s="9">
        <f t="shared" si="270"/>
        <v>6727161.0253301207</v>
      </c>
    </row>
    <row r="273" spans="1:43" hidden="1" outlineLevel="3" collapsed="1">
      <c r="A273" s="2"/>
      <c r="B273" s="2"/>
      <c r="C273" s="2"/>
      <c r="D273" s="2" t="s">
        <v>499</v>
      </c>
      <c r="E273" s="2"/>
      <c r="F273" s="2"/>
      <c r="G273" s="2"/>
      <c r="H273" s="9">
        <f t="shared" ref="H273:AQ273" si="271">(((H274+H275)+H276)+H277)</f>
        <v>19500000</v>
      </c>
      <c r="I273" s="9">
        <f t="shared" si="271"/>
        <v>19548092.26055992</v>
      </c>
      <c r="J273" s="9">
        <f t="shared" si="271"/>
        <v>19596303.129608341</v>
      </c>
      <c r="K273" s="9">
        <f t="shared" si="271"/>
        <v>19644632.899665792</v>
      </c>
      <c r="L273" s="9">
        <f t="shared" si="271"/>
        <v>19693081.86397424</v>
      </c>
      <c r="M273" s="9">
        <f t="shared" si="271"/>
        <v>19741650.316498857</v>
      </c>
      <c r="N273" s="9">
        <f t="shared" si="271"/>
        <v>19790338.551929828</v>
      </c>
      <c r="O273" s="9">
        <f t="shared" si="271"/>
        <v>19839146.865684107</v>
      </c>
      <c r="P273" s="9">
        <f t="shared" si="271"/>
        <v>19888075.553907234</v>
      </c>
      <c r="Q273" s="9">
        <f t="shared" si="271"/>
        <v>19937124.913475126</v>
      </c>
      <c r="R273" s="9">
        <f t="shared" si="271"/>
        <v>19986295.241995871</v>
      </c>
      <c r="S273" s="9">
        <f t="shared" si="271"/>
        <v>20035586.837811545</v>
      </c>
      <c r="T273" s="9">
        <f t="shared" si="271"/>
        <v>20085000</v>
      </c>
      <c r="U273" s="9">
        <f t="shared" si="271"/>
        <v>20134535.028376717</v>
      </c>
      <c r="V273" s="9">
        <f t="shared" si="271"/>
        <v>20184192.22349659</v>
      </c>
      <c r="W273" s="9">
        <f t="shared" si="271"/>
        <v>20233971.886655767</v>
      </c>
      <c r="X273" s="9">
        <f t="shared" si="271"/>
        <v>20283874.319893464</v>
      </c>
      <c r="Y273" s="9">
        <f t="shared" si="271"/>
        <v>20333899.825993825</v>
      </c>
      <c r="Z273" s="9">
        <f t="shared" si="271"/>
        <v>20384048.708487723</v>
      </c>
      <c r="AA273" s="9">
        <f t="shared" si="271"/>
        <v>20434321.271654636</v>
      </c>
      <c r="AB273" s="9">
        <f t="shared" si="271"/>
        <v>20484717.82052445</v>
      </c>
      <c r="AC273" s="9">
        <f t="shared" si="271"/>
        <v>20535238.660879381</v>
      </c>
      <c r="AD273" s="9">
        <f t="shared" si="271"/>
        <v>20585884.099255752</v>
      </c>
      <c r="AE273" s="9">
        <f t="shared" si="271"/>
        <v>20636654.44294589</v>
      </c>
      <c r="AF273" s="9">
        <f t="shared" si="271"/>
        <v>20687550</v>
      </c>
      <c r="AG273" s="9">
        <f t="shared" si="271"/>
        <v>20738571.079228017</v>
      </c>
      <c r="AH273" s="9">
        <f t="shared" si="271"/>
        <v>20789717.990201492</v>
      </c>
      <c r="AI273" s="9">
        <f t="shared" si="271"/>
        <v>20840991.043255437</v>
      </c>
      <c r="AJ273" s="9">
        <f t="shared" si="271"/>
        <v>20892390.549490273</v>
      </c>
      <c r="AK273" s="9">
        <f t="shared" si="271"/>
        <v>20943916.820773643</v>
      </c>
      <c r="AL273" s="9">
        <f t="shared" si="271"/>
        <v>20995570.169742353</v>
      </c>
      <c r="AM273" s="9">
        <f t="shared" si="271"/>
        <v>21047350.90980427</v>
      </c>
      <c r="AN273" s="9">
        <f t="shared" si="271"/>
        <v>21099259.355140191</v>
      </c>
      <c r="AO273" s="9">
        <f t="shared" si="271"/>
        <v>21151295.820705764</v>
      </c>
      <c r="AP273" s="9">
        <f t="shared" si="271"/>
        <v>21203460.622233421</v>
      </c>
      <c r="AQ273" s="9">
        <f t="shared" si="271"/>
        <v>21255754.076234266</v>
      </c>
    </row>
    <row r="274" spans="1:43" hidden="1" outlineLevel="4">
      <c r="A274" s="2"/>
      <c r="B274" s="2"/>
      <c r="C274" s="2"/>
      <c r="D274" s="2"/>
      <c r="E274" s="2" t="s">
        <v>290</v>
      </c>
      <c r="F274" s="2"/>
      <c r="G274" s="2"/>
      <c r="H274" s="9">
        <f t="shared" ref="H274:AQ274" si="272">central_training_budget*(1+central_training_budget_growth)^((COLUMN()-8)/12)</f>
        <v>8000000</v>
      </c>
      <c r="I274" s="9">
        <f t="shared" si="272"/>
        <v>8019730.1581784291</v>
      </c>
      <c r="J274" s="9">
        <f t="shared" si="272"/>
        <v>8039508.9762495747</v>
      </c>
      <c r="K274" s="9">
        <f t="shared" si="272"/>
        <v>8059336.5742218634</v>
      </c>
      <c r="L274" s="9">
        <f t="shared" si="272"/>
        <v>8079213.072399687</v>
      </c>
      <c r="M274" s="9">
        <f t="shared" si="272"/>
        <v>8099138.5913841473</v>
      </c>
      <c r="N274" s="9">
        <f t="shared" si="272"/>
        <v>8119113.252073776</v>
      </c>
      <c r="O274" s="9">
        <f t="shared" si="272"/>
        <v>8139137.1756652743</v>
      </c>
      <c r="P274" s="9">
        <f t="shared" si="272"/>
        <v>8159210.4836542504</v>
      </c>
      <c r="Q274" s="9">
        <f t="shared" si="272"/>
        <v>8179333.2978359498</v>
      </c>
      <c r="R274" s="9">
        <f t="shared" si="272"/>
        <v>8199505.7403059984</v>
      </c>
      <c r="S274" s="9">
        <f t="shared" si="272"/>
        <v>8219727.9334611455</v>
      </c>
      <c r="T274" s="9">
        <f t="shared" si="272"/>
        <v>8240000</v>
      </c>
      <c r="U274" s="9">
        <f t="shared" si="272"/>
        <v>8260322.0629237825</v>
      </c>
      <c r="V274" s="9">
        <f t="shared" si="272"/>
        <v>8280694.2455370631</v>
      </c>
      <c r="W274" s="9">
        <f t="shared" si="272"/>
        <v>8301116.6714485204</v>
      </c>
      <c r="X274" s="9">
        <f t="shared" si="272"/>
        <v>8321589.4645716781</v>
      </c>
      <c r="Y274" s="9">
        <f t="shared" si="272"/>
        <v>8342112.7491256716</v>
      </c>
      <c r="Z274" s="9">
        <f t="shared" si="272"/>
        <v>8362686.6496359892</v>
      </c>
      <c r="AA274" s="9">
        <f t="shared" si="272"/>
        <v>8383311.2909352342</v>
      </c>
      <c r="AB274" s="9">
        <f t="shared" si="272"/>
        <v>8403986.7981638778</v>
      </c>
      <c r="AC274" s="9">
        <f t="shared" si="272"/>
        <v>8424713.2967710271</v>
      </c>
      <c r="AD274" s="9">
        <f t="shared" si="272"/>
        <v>8445490.9125151802</v>
      </c>
      <c r="AE274" s="9">
        <f t="shared" si="272"/>
        <v>8466319.7714649793</v>
      </c>
      <c r="AF274" s="9">
        <f t="shared" si="272"/>
        <v>8487200</v>
      </c>
      <c r="AG274" s="9">
        <f t="shared" si="272"/>
        <v>8508131.7248114944</v>
      </c>
      <c r="AH274" s="9">
        <f t="shared" si="272"/>
        <v>8529115.0729031768</v>
      </c>
      <c r="AI274" s="9">
        <f t="shared" si="272"/>
        <v>8550150.1715919748</v>
      </c>
      <c r="AJ274" s="9">
        <f t="shared" si="272"/>
        <v>8571237.14850883</v>
      </c>
      <c r="AK274" s="9">
        <f t="shared" si="272"/>
        <v>8592376.131599443</v>
      </c>
      <c r="AL274" s="9">
        <f t="shared" si="272"/>
        <v>8613567.249125069</v>
      </c>
      <c r="AM274" s="9">
        <f t="shared" si="272"/>
        <v>8634810.6296632905</v>
      </c>
      <c r="AN274" s="9">
        <f t="shared" si="272"/>
        <v>8656106.4021087959</v>
      </c>
      <c r="AO274" s="9">
        <f t="shared" si="272"/>
        <v>8677454.6956741586</v>
      </c>
      <c r="AP274" s="9">
        <f t="shared" si="272"/>
        <v>8698855.6398906354</v>
      </c>
      <c r="AQ274" s="9">
        <f t="shared" si="272"/>
        <v>8720309.3646089304</v>
      </c>
    </row>
    <row r="275" spans="1:43" hidden="1" outlineLevel="4">
      <c r="A275" s="2"/>
      <c r="B275" s="2"/>
      <c r="C275" s="2"/>
      <c r="D275" s="2"/>
      <c r="E275" s="2" t="s">
        <v>500</v>
      </c>
      <c r="F275" s="2"/>
      <c r="G275" s="2"/>
      <c r="H275" s="9">
        <f t="shared" ref="H275:AQ275" si="273">western_training_budget*(1+western_training_budget_growth)^((COLUMN()-8)/12)</f>
        <v>5000000</v>
      </c>
      <c r="I275" s="9">
        <f t="shared" si="273"/>
        <v>5012331.3488615183</v>
      </c>
      <c r="J275" s="9">
        <f t="shared" si="273"/>
        <v>5024693.1101559848</v>
      </c>
      <c r="K275" s="9">
        <f t="shared" si="273"/>
        <v>5037085.3588886643</v>
      </c>
      <c r="L275" s="9">
        <f t="shared" si="273"/>
        <v>5049508.1702498049</v>
      </c>
      <c r="M275" s="9">
        <f t="shared" si="273"/>
        <v>5061961.6196150919</v>
      </c>
      <c r="N275" s="9">
        <f t="shared" si="273"/>
        <v>5074445.7825461095</v>
      </c>
      <c r="O275" s="9">
        <f t="shared" si="273"/>
        <v>5086960.7347907964</v>
      </c>
      <c r="P275" s="9">
        <f t="shared" si="273"/>
        <v>5099506.5522839064</v>
      </c>
      <c r="Q275" s="9">
        <f t="shared" si="273"/>
        <v>5112083.3111474682</v>
      </c>
      <c r="R275" s="9">
        <f t="shared" si="273"/>
        <v>5124691.0876912484</v>
      </c>
      <c r="S275" s="9">
        <f t="shared" si="273"/>
        <v>5137329.9584132163</v>
      </c>
      <c r="T275" s="9">
        <f t="shared" si="273"/>
        <v>5150000</v>
      </c>
      <c r="U275" s="9">
        <f t="shared" si="273"/>
        <v>5162701.2893273635</v>
      </c>
      <c r="V275" s="9">
        <f t="shared" si="273"/>
        <v>5175433.9034606647</v>
      </c>
      <c r="W275" s="9">
        <f t="shared" si="273"/>
        <v>5188197.9196553249</v>
      </c>
      <c r="X275" s="9">
        <f t="shared" si="273"/>
        <v>5200993.4153572991</v>
      </c>
      <c r="Y275" s="9">
        <f t="shared" si="273"/>
        <v>5213820.4682035446</v>
      </c>
      <c r="Z275" s="9">
        <f t="shared" si="273"/>
        <v>5226679.1560224937</v>
      </c>
      <c r="AA275" s="9">
        <f t="shared" si="273"/>
        <v>5239569.5568345217</v>
      </c>
      <c r="AB275" s="9">
        <f t="shared" si="273"/>
        <v>5252491.7488524234</v>
      </c>
      <c r="AC275" s="9">
        <f t="shared" si="273"/>
        <v>5265445.810481892</v>
      </c>
      <c r="AD275" s="9">
        <f t="shared" si="273"/>
        <v>5278431.8203219874</v>
      </c>
      <c r="AE275" s="9">
        <f t="shared" si="273"/>
        <v>5291449.8571656123</v>
      </c>
      <c r="AF275" s="9">
        <f t="shared" si="273"/>
        <v>5304500</v>
      </c>
      <c r="AG275" s="9">
        <f t="shared" si="273"/>
        <v>5317582.328007184</v>
      </c>
      <c r="AH275" s="9">
        <f t="shared" si="273"/>
        <v>5330696.9205644848</v>
      </c>
      <c r="AI275" s="9">
        <f t="shared" si="273"/>
        <v>5343843.8572449842</v>
      </c>
      <c r="AJ275" s="9">
        <f t="shared" si="273"/>
        <v>5357023.217818019</v>
      </c>
      <c r="AK275" s="9">
        <f t="shared" si="273"/>
        <v>5370235.0822496517</v>
      </c>
      <c r="AL275" s="9">
        <f t="shared" si="273"/>
        <v>5383479.5307031684</v>
      </c>
      <c r="AM275" s="9">
        <f t="shared" si="273"/>
        <v>5396756.6435395563</v>
      </c>
      <c r="AN275" s="9">
        <f t="shared" si="273"/>
        <v>5410066.5013179975</v>
      </c>
      <c r="AO275" s="9">
        <f t="shared" si="273"/>
        <v>5423409.1847963491</v>
      </c>
      <c r="AP275" s="9">
        <f t="shared" si="273"/>
        <v>5436784.7749316469</v>
      </c>
      <c r="AQ275" s="9">
        <f t="shared" si="273"/>
        <v>5450193.3528805813</v>
      </c>
    </row>
    <row r="276" spans="1:43" hidden="1" outlineLevel="4">
      <c r="A276" s="2"/>
      <c r="B276" s="2"/>
      <c r="C276" s="2"/>
      <c r="D276" s="2"/>
      <c r="E276" s="2" t="s">
        <v>501</v>
      </c>
      <c r="F276" s="2"/>
      <c r="G276" s="2"/>
      <c r="H276" s="9">
        <f t="shared" ref="H276:AQ276" si="274">eastern_training_budget*(1+eastern_training_budget_growth)^((COLUMN()-8)/12)</f>
        <v>3500000</v>
      </c>
      <c r="I276" s="9">
        <f t="shared" si="274"/>
        <v>3508631.9442030629</v>
      </c>
      <c r="J276" s="9">
        <f t="shared" si="274"/>
        <v>3517285.1771091889</v>
      </c>
      <c r="K276" s="9">
        <f t="shared" si="274"/>
        <v>3525959.7512220652</v>
      </c>
      <c r="L276" s="9">
        <f t="shared" si="274"/>
        <v>3534655.7191748633</v>
      </c>
      <c r="M276" s="9">
        <f t="shared" si="274"/>
        <v>3543373.1337305643</v>
      </c>
      <c r="N276" s="9">
        <f t="shared" si="274"/>
        <v>3552112.0477822768</v>
      </c>
      <c r="O276" s="9">
        <f t="shared" si="274"/>
        <v>3560872.5143535575</v>
      </c>
      <c r="P276" s="9">
        <f t="shared" si="274"/>
        <v>3569654.5865987348</v>
      </c>
      <c r="Q276" s="9">
        <f t="shared" si="274"/>
        <v>3578458.3178032278</v>
      </c>
      <c r="R276" s="9">
        <f t="shared" si="274"/>
        <v>3587283.7613838743</v>
      </c>
      <c r="S276" s="9">
        <f t="shared" si="274"/>
        <v>3596130.9708892512</v>
      </c>
      <c r="T276" s="9">
        <f t="shared" si="274"/>
        <v>3605000</v>
      </c>
      <c r="U276" s="9">
        <f t="shared" si="274"/>
        <v>3613890.9025291549</v>
      </c>
      <c r="V276" s="9">
        <f t="shared" si="274"/>
        <v>3622803.732422465</v>
      </c>
      <c r="W276" s="9">
        <f t="shared" si="274"/>
        <v>3631738.5437587276</v>
      </c>
      <c r="X276" s="9">
        <f t="shared" si="274"/>
        <v>3640695.3907501092</v>
      </c>
      <c r="Y276" s="9">
        <f t="shared" si="274"/>
        <v>3649674.3277424816</v>
      </c>
      <c r="Z276" s="9">
        <f t="shared" si="274"/>
        <v>3658675.4092157455</v>
      </c>
      <c r="AA276" s="9">
        <f t="shared" si="274"/>
        <v>3667698.689784165</v>
      </c>
      <c r="AB276" s="9">
        <f t="shared" si="274"/>
        <v>3676744.2241966967</v>
      </c>
      <c r="AC276" s="9">
        <f t="shared" si="274"/>
        <v>3685812.0673373248</v>
      </c>
      <c r="AD276" s="9">
        <f t="shared" si="274"/>
        <v>3694902.274225391</v>
      </c>
      <c r="AE276" s="9">
        <f t="shared" si="274"/>
        <v>3704014.9000159283</v>
      </c>
      <c r="AF276" s="9">
        <f t="shared" si="274"/>
        <v>3713150</v>
      </c>
      <c r="AG276" s="9">
        <f t="shared" si="274"/>
        <v>3722307.6296050292</v>
      </c>
      <c r="AH276" s="9">
        <f t="shared" si="274"/>
        <v>3731487.8443951393</v>
      </c>
      <c r="AI276" s="9">
        <f t="shared" si="274"/>
        <v>3740690.700071489</v>
      </c>
      <c r="AJ276" s="9">
        <f t="shared" si="274"/>
        <v>3749916.252472613</v>
      </c>
      <c r="AK276" s="9">
        <f t="shared" si="274"/>
        <v>3759164.557574756</v>
      </c>
      <c r="AL276" s="9">
        <f t="shared" si="274"/>
        <v>3768435.6714922176</v>
      </c>
      <c r="AM276" s="9">
        <f t="shared" si="274"/>
        <v>3777729.6504776897</v>
      </c>
      <c r="AN276" s="9">
        <f t="shared" si="274"/>
        <v>3787046.5509225982</v>
      </c>
      <c r="AO276" s="9">
        <f t="shared" si="274"/>
        <v>3796386.4293574449</v>
      </c>
      <c r="AP276" s="9">
        <f t="shared" si="274"/>
        <v>3805749.3424521526</v>
      </c>
      <c r="AQ276" s="9">
        <f t="shared" si="274"/>
        <v>3815135.3470164067</v>
      </c>
    </row>
    <row r="277" spans="1:43" hidden="1" outlineLevel="4">
      <c r="A277" s="2"/>
      <c r="B277" s="2"/>
      <c r="C277" s="2"/>
      <c r="D277" s="2"/>
      <c r="E277" s="2" t="s">
        <v>502</v>
      </c>
      <c r="F277" s="2"/>
      <c r="G277" s="2"/>
      <c r="H277" s="9">
        <f t="shared" ref="H277:AQ277" si="275">northern_training_budget*(1+northern_training_budget_growth)^((COLUMN()-8)/12)</f>
        <v>3000000</v>
      </c>
      <c r="I277" s="9">
        <f t="shared" si="275"/>
        <v>3007398.8093169113</v>
      </c>
      <c r="J277" s="9">
        <f t="shared" si="275"/>
        <v>3014815.8660935909</v>
      </c>
      <c r="K277" s="9">
        <f t="shared" si="275"/>
        <v>3022251.2153331987</v>
      </c>
      <c r="L277" s="9">
        <f t="shared" si="275"/>
        <v>3029704.9021498826</v>
      </c>
      <c r="M277" s="9">
        <f t="shared" si="275"/>
        <v>3037176.9717690549</v>
      </c>
      <c r="N277" s="9">
        <f t="shared" si="275"/>
        <v>3044667.469527666</v>
      </c>
      <c r="O277" s="9">
        <f t="shared" si="275"/>
        <v>3052176.4408744778</v>
      </c>
      <c r="P277" s="9">
        <f t="shared" si="275"/>
        <v>3059703.931370344</v>
      </c>
      <c r="Q277" s="9">
        <f t="shared" si="275"/>
        <v>3067249.9866884812</v>
      </c>
      <c r="R277" s="9">
        <f t="shared" si="275"/>
        <v>3074814.6526147495</v>
      </c>
      <c r="S277" s="9">
        <f t="shared" si="275"/>
        <v>3082397.9750479297</v>
      </c>
      <c r="T277" s="9">
        <f t="shared" si="275"/>
        <v>3090000</v>
      </c>
      <c r="U277" s="9">
        <f t="shared" si="275"/>
        <v>3097620.7735964181</v>
      </c>
      <c r="V277" s="9">
        <f t="shared" si="275"/>
        <v>3105260.3420763989</v>
      </c>
      <c r="W277" s="9">
        <f t="shared" si="275"/>
        <v>3112918.751793195</v>
      </c>
      <c r="X277" s="9">
        <f t="shared" si="275"/>
        <v>3120596.0492143794</v>
      </c>
      <c r="Y277" s="9">
        <f t="shared" si="275"/>
        <v>3128292.280922127</v>
      </c>
      <c r="Z277" s="9">
        <f t="shared" si="275"/>
        <v>3136007.493613496</v>
      </c>
      <c r="AA277" s="9">
        <f t="shared" si="275"/>
        <v>3143741.7341007129</v>
      </c>
      <c r="AB277" s="9">
        <f t="shared" si="275"/>
        <v>3151495.0493114544</v>
      </c>
      <c r="AC277" s="9">
        <f t="shared" si="275"/>
        <v>3159267.4862891356</v>
      </c>
      <c r="AD277" s="9">
        <f t="shared" si="275"/>
        <v>3167059.0921931923</v>
      </c>
      <c r="AE277" s="9">
        <f t="shared" si="275"/>
        <v>3174869.9142993675</v>
      </c>
      <c r="AF277" s="9">
        <f t="shared" si="275"/>
        <v>3182700</v>
      </c>
      <c r="AG277" s="9">
        <f t="shared" si="275"/>
        <v>3190549.3968043104</v>
      </c>
      <c r="AH277" s="9">
        <f t="shared" si="275"/>
        <v>3198418.1523386911</v>
      </c>
      <c r="AI277" s="9">
        <f t="shared" si="275"/>
        <v>3206306.3143469905</v>
      </c>
      <c r="AJ277" s="9">
        <f t="shared" si="275"/>
        <v>3214213.9306908115</v>
      </c>
      <c r="AK277" s="9">
        <f t="shared" si="275"/>
        <v>3222141.0493497909</v>
      </c>
      <c r="AL277" s="9">
        <f t="shared" si="275"/>
        <v>3230087.7184219006</v>
      </c>
      <c r="AM277" s="9">
        <f t="shared" si="275"/>
        <v>3238053.9861237337</v>
      </c>
      <c r="AN277" s="9">
        <f t="shared" si="275"/>
        <v>3246039.9007907985</v>
      </c>
      <c r="AO277" s="9">
        <f t="shared" si="275"/>
        <v>3254045.5108778095</v>
      </c>
      <c r="AP277" s="9">
        <f t="shared" si="275"/>
        <v>3262070.864958988</v>
      </c>
      <c r="AQ277" s="9">
        <f t="shared" si="275"/>
        <v>3270116.0117283487</v>
      </c>
    </row>
    <row r="278" spans="1:43" hidden="1" outlineLevel="3" collapsed="1">
      <c r="A278" s="2"/>
      <c r="B278" s="2"/>
      <c r="C278" s="2"/>
      <c r="D278" s="2" t="s">
        <v>503</v>
      </c>
      <c r="E278" s="2"/>
      <c r="F278" s="2"/>
      <c r="G278" s="2"/>
      <c r="H278" s="9">
        <f t="shared" ref="H278:AQ278" si="276">(((H279*H280)+H281)+H282)</f>
        <v>20300000</v>
      </c>
      <c r="I278" s="9">
        <f t="shared" si="276"/>
        <v>20379102.984801538</v>
      </c>
      <c r="J278" s="9">
        <f t="shared" si="276"/>
        <v>20458516.453834552</v>
      </c>
      <c r="K278" s="9">
        <f t="shared" si="276"/>
        <v>20538241.633449182</v>
      </c>
      <c r="L278" s="9">
        <f t="shared" si="276"/>
        <v>20618279.754865482</v>
      </c>
      <c r="M278" s="9">
        <f t="shared" si="276"/>
        <v>20698632.054192882</v>
      </c>
      <c r="N278" s="9">
        <f t="shared" si="276"/>
        <v>20779299.772449676</v>
      </c>
      <c r="O278" s="9">
        <f t="shared" si="276"/>
        <v>20860284.155582584</v>
      </c>
      <c r="P278" s="9">
        <f t="shared" si="276"/>
        <v>20941586.454486467</v>
      </c>
      <c r="Q278" s="9">
        <f t="shared" si="276"/>
        <v>21023207.925024003</v>
      </c>
      <c r="R278" s="9">
        <f t="shared" si="276"/>
        <v>21105149.828045569</v>
      </c>
      <c r="S278" s="9">
        <f t="shared" si="276"/>
        <v>21187413.429409076</v>
      </c>
      <c r="T278" s="9">
        <f t="shared" si="276"/>
        <v>21270000</v>
      </c>
      <c r="U278" s="9">
        <f t="shared" si="276"/>
        <v>21352910.815751418</v>
      </c>
      <c r="V278" s="9">
        <f t="shared" si="276"/>
        <v>21436147.157664135</v>
      </c>
      <c r="W278" s="9">
        <f t="shared" si="276"/>
        <v>21519710.311826937</v>
      </c>
      <c r="X278" s="9">
        <f t="shared" si="276"/>
        <v>21603601.569436852</v>
      </c>
      <c r="Y278" s="9">
        <f t="shared" si="276"/>
        <v>21687822.226819549</v>
      </c>
      <c r="Z278" s="9">
        <f t="shared" si="276"/>
        <v>21772373.585449822</v>
      </c>
      <c r="AA278" s="9">
        <f t="shared" si="276"/>
        <v>21857256.951972093</v>
      </c>
      <c r="AB278" s="9">
        <f t="shared" si="276"/>
        <v>21942473.63822107</v>
      </c>
      <c r="AC278" s="9">
        <f t="shared" si="276"/>
        <v>22028024.961242452</v>
      </c>
      <c r="AD278" s="9">
        <f t="shared" si="276"/>
        <v>22113912.243313711</v>
      </c>
      <c r="AE278" s="9">
        <f t="shared" si="276"/>
        <v>22200136.811964985</v>
      </c>
      <c r="AF278" s="9">
        <f t="shared" si="276"/>
        <v>22286700</v>
      </c>
      <c r="AG278" s="9">
        <f t="shared" si="276"/>
        <v>22373603.145517182</v>
      </c>
      <c r="AH278" s="9">
        <f t="shared" si="276"/>
        <v>22460847.591930717</v>
      </c>
      <c r="AI278" s="9">
        <f t="shared" si="276"/>
        <v>22548434.68799179</v>
      </c>
      <c r="AJ278" s="9">
        <f t="shared" si="276"/>
        <v>22636365.787809908</v>
      </c>
      <c r="AK278" s="9">
        <f t="shared" si="276"/>
        <v>22724642.250874233</v>
      </c>
      <c r="AL278" s="9">
        <f t="shared" si="276"/>
        <v>22813265.442075089</v>
      </c>
      <c r="AM278" s="9">
        <f t="shared" si="276"/>
        <v>22902236.731725492</v>
      </c>
      <c r="AN278" s="9">
        <f t="shared" si="276"/>
        <v>22991557.495582819</v>
      </c>
      <c r="AO278" s="9">
        <f t="shared" si="276"/>
        <v>23081229.114870518</v>
      </c>
      <c r="AP278" s="9">
        <f t="shared" si="276"/>
        <v>23171252.976299904</v>
      </c>
      <c r="AQ278" s="9">
        <f t="shared" si="276"/>
        <v>23261630.472092103</v>
      </c>
    </row>
    <row r="279" spans="1:43" hidden="1" outlineLevel="4">
      <c r="A279" s="2"/>
      <c r="B279" s="2"/>
      <c r="C279" s="2"/>
      <c r="D279" s="2"/>
      <c r="E279" s="2" t="s">
        <v>298</v>
      </c>
      <c r="F279" s="2"/>
      <c r="G279" s="2"/>
      <c r="H279" s="9">
        <f t="shared" ref="H279:AQ279" si="277">private_field_rep_headcount*(1+private_field_rep_headcount_growth)^((COLUMN()-8)/12)</f>
        <v>3</v>
      </c>
      <c r="I279" s="9">
        <f t="shared" si="277"/>
        <v>3</v>
      </c>
      <c r="J279" s="9">
        <f t="shared" si="277"/>
        <v>3</v>
      </c>
      <c r="K279" s="9">
        <f t="shared" si="277"/>
        <v>3</v>
      </c>
      <c r="L279" s="9">
        <f t="shared" si="277"/>
        <v>3</v>
      </c>
      <c r="M279" s="9">
        <f t="shared" si="277"/>
        <v>3</v>
      </c>
      <c r="N279" s="9">
        <f t="shared" si="277"/>
        <v>3</v>
      </c>
      <c r="O279" s="9">
        <f t="shared" si="277"/>
        <v>3</v>
      </c>
      <c r="P279" s="9">
        <f t="shared" si="277"/>
        <v>3</v>
      </c>
      <c r="Q279" s="9">
        <f t="shared" si="277"/>
        <v>3</v>
      </c>
      <c r="R279" s="9">
        <f t="shared" si="277"/>
        <v>3</v>
      </c>
      <c r="S279" s="9">
        <f t="shared" si="277"/>
        <v>3</v>
      </c>
      <c r="T279" s="9">
        <f t="shared" si="277"/>
        <v>3</v>
      </c>
      <c r="U279" s="9">
        <f t="shared" si="277"/>
        <v>3</v>
      </c>
      <c r="V279" s="9">
        <f t="shared" si="277"/>
        <v>3</v>
      </c>
      <c r="W279" s="9">
        <f t="shared" si="277"/>
        <v>3</v>
      </c>
      <c r="X279" s="9">
        <f t="shared" si="277"/>
        <v>3</v>
      </c>
      <c r="Y279" s="9">
        <f t="shared" si="277"/>
        <v>3</v>
      </c>
      <c r="Z279" s="9">
        <f t="shared" si="277"/>
        <v>3</v>
      </c>
      <c r="AA279" s="9">
        <f t="shared" si="277"/>
        <v>3</v>
      </c>
      <c r="AB279" s="9">
        <f t="shared" si="277"/>
        <v>3</v>
      </c>
      <c r="AC279" s="9">
        <f t="shared" si="277"/>
        <v>3</v>
      </c>
      <c r="AD279" s="9">
        <f t="shared" si="277"/>
        <v>3</v>
      </c>
      <c r="AE279" s="9">
        <f t="shared" si="277"/>
        <v>3</v>
      </c>
      <c r="AF279" s="9">
        <f t="shared" si="277"/>
        <v>3</v>
      </c>
      <c r="AG279" s="9">
        <f t="shared" si="277"/>
        <v>3</v>
      </c>
      <c r="AH279" s="9">
        <f t="shared" si="277"/>
        <v>3</v>
      </c>
      <c r="AI279" s="9">
        <f t="shared" si="277"/>
        <v>3</v>
      </c>
      <c r="AJ279" s="9">
        <f t="shared" si="277"/>
        <v>3</v>
      </c>
      <c r="AK279" s="9">
        <f t="shared" si="277"/>
        <v>3</v>
      </c>
      <c r="AL279" s="9">
        <f t="shared" si="277"/>
        <v>3</v>
      </c>
      <c r="AM279" s="9">
        <f t="shared" si="277"/>
        <v>3</v>
      </c>
      <c r="AN279" s="9">
        <f t="shared" si="277"/>
        <v>3</v>
      </c>
      <c r="AO279" s="9">
        <f t="shared" si="277"/>
        <v>3</v>
      </c>
      <c r="AP279" s="9">
        <f t="shared" si="277"/>
        <v>3</v>
      </c>
      <c r="AQ279" s="9">
        <f t="shared" si="277"/>
        <v>3</v>
      </c>
    </row>
    <row r="280" spans="1:43" hidden="1" outlineLevel="4">
      <c r="A280" s="2"/>
      <c r="B280" s="2"/>
      <c r="C280" s="2"/>
      <c r="D280" s="2"/>
      <c r="E280" s="2" t="s">
        <v>504</v>
      </c>
      <c r="F280" s="2"/>
      <c r="G280" s="2"/>
      <c r="H280" s="9">
        <f t="shared" ref="H280:AQ280" si="278">private_field_rep_cost_per_fte*(1+private_field_rep_cost_per_fte_growth)^((COLUMN()-8)/12)</f>
        <v>3600000</v>
      </c>
      <c r="I280" s="9">
        <f t="shared" si="278"/>
        <v>3614666.8456211342</v>
      </c>
      <c r="J280" s="9">
        <f t="shared" si="278"/>
        <v>3629393.4457868435</v>
      </c>
      <c r="K280" s="9">
        <f t="shared" si="278"/>
        <v>3644180.0439445418</v>
      </c>
      <c r="L280" s="9">
        <f t="shared" si="278"/>
        <v>3659026.8845334728</v>
      </c>
      <c r="M280" s="9">
        <f t="shared" si="278"/>
        <v>3673934.2129887585</v>
      </c>
      <c r="N280" s="9">
        <f t="shared" si="278"/>
        <v>3688902.2757454556</v>
      </c>
      <c r="O280" s="9">
        <f t="shared" si="278"/>
        <v>3703931.3202426247</v>
      </c>
      <c r="P280" s="9">
        <f t="shared" si="278"/>
        <v>3719021.594927425</v>
      </c>
      <c r="Q280" s="9">
        <f t="shared" si="278"/>
        <v>3734173.3492592201</v>
      </c>
      <c r="R280" s="9">
        <f t="shared" si="278"/>
        <v>3749386.8337137033</v>
      </c>
      <c r="S280" s="9">
        <f t="shared" si="278"/>
        <v>3764662.2997870338</v>
      </c>
      <c r="T280" s="9">
        <f t="shared" si="278"/>
        <v>3780000</v>
      </c>
      <c r="U280" s="9">
        <f t="shared" si="278"/>
        <v>3795400.1879021907</v>
      </c>
      <c r="V280" s="9">
        <f t="shared" si="278"/>
        <v>3810863.1180761862</v>
      </c>
      <c r="W280" s="9">
        <f t="shared" si="278"/>
        <v>3826389.0461417688</v>
      </c>
      <c r="X280" s="9">
        <f t="shared" si="278"/>
        <v>3841978.2287601461</v>
      </c>
      <c r="Y280" s="9">
        <f t="shared" si="278"/>
        <v>3857630.9236381967</v>
      </c>
      <c r="Z280" s="9">
        <f t="shared" si="278"/>
        <v>3873347.3895327281</v>
      </c>
      <c r="AA280" s="9">
        <f t="shared" si="278"/>
        <v>3889127.8862547562</v>
      </c>
      <c r="AB280" s="9">
        <f t="shared" si="278"/>
        <v>3904972.6746737962</v>
      </c>
      <c r="AC280" s="9">
        <f t="shared" si="278"/>
        <v>3920882.0167221809</v>
      </c>
      <c r="AD280" s="9">
        <f t="shared" si="278"/>
        <v>3936856.1753993882</v>
      </c>
      <c r="AE280" s="9">
        <f t="shared" si="278"/>
        <v>3952895.4147763858</v>
      </c>
      <c r="AF280" s="9">
        <f t="shared" si="278"/>
        <v>3969000</v>
      </c>
      <c r="AG280" s="9">
        <f t="shared" si="278"/>
        <v>3985170.1972973007</v>
      </c>
      <c r="AH280" s="9">
        <f t="shared" si="278"/>
        <v>4001406.2739799959</v>
      </c>
      <c r="AI280" s="9">
        <f t="shared" si="278"/>
        <v>4017708.4984488576</v>
      </c>
      <c r="AJ280" s="9">
        <f t="shared" si="278"/>
        <v>4034077.1401981539</v>
      </c>
      <c r="AK280" s="9">
        <f t="shared" si="278"/>
        <v>4050512.4698201069</v>
      </c>
      <c r="AL280" s="9">
        <f t="shared" si="278"/>
        <v>4067014.7590093655</v>
      </c>
      <c r="AM280" s="9">
        <f t="shared" si="278"/>
        <v>4083584.2805674942</v>
      </c>
      <c r="AN280" s="9">
        <f t="shared" si="278"/>
        <v>4100221.308407486</v>
      </c>
      <c r="AO280" s="9">
        <f t="shared" si="278"/>
        <v>4116926.1175582907</v>
      </c>
      <c r="AP280" s="9">
        <f t="shared" si="278"/>
        <v>4133698.9841693579</v>
      </c>
      <c r="AQ280" s="9">
        <f t="shared" si="278"/>
        <v>4150540.1855152049</v>
      </c>
    </row>
    <row r="281" spans="1:43" hidden="1" outlineLevel="4">
      <c r="A281" s="2"/>
      <c r="B281" s="2"/>
      <c r="C281" s="2"/>
      <c r="D281" s="2"/>
      <c r="E281" s="2" t="s">
        <v>505</v>
      </c>
      <c r="F281" s="2"/>
      <c r="G281" s="2"/>
      <c r="H281" s="9">
        <f t="shared" ref="H281:AQ281" si="279">private_sales_manager_cost*(1+private_sales_manager_cost_growth)^((COLUMN()-8)/12)</f>
        <v>5000000</v>
      </c>
      <c r="I281" s="9">
        <f t="shared" si="279"/>
        <v>5020370.6189182419</v>
      </c>
      <c r="J281" s="9">
        <f t="shared" si="279"/>
        <v>5040824.2302595051</v>
      </c>
      <c r="K281" s="9">
        <f t="shared" si="279"/>
        <v>5061361.1721451972</v>
      </c>
      <c r="L281" s="9">
        <f t="shared" si="279"/>
        <v>5081981.7840742674</v>
      </c>
      <c r="M281" s="9">
        <f t="shared" si="279"/>
        <v>5102686.4069288317</v>
      </c>
      <c r="N281" s="9">
        <f t="shared" si="279"/>
        <v>5123475.3829798</v>
      </c>
      <c r="O281" s="9">
        <f t="shared" si="279"/>
        <v>5144349.0558925346</v>
      </c>
      <c r="P281" s="9">
        <f t="shared" si="279"/>
        <v>5165307.7707325341</v>
      </c>
      <c r="Q281" s="9">
        <f t="shared" si="279"/>
        <v>5186351.8739711391</v>
      </c>
      <c r="R281" s="9">
        <f t="shared" si="279"/>
        <v>5207481.7134912545</v>
      </c>
      <c r="S281" s="9">
        <f t="shared" si="279"/>
        <v>5228697.6385931028</v>
      </c>
      <c r="T281" s="9">
        <f t="shared" si="279"/>
        <v>5250000</v>
      </c>
      <c r="U281" s="9">
        <f t="shared" si="279"/>
        <v>5271389.1498641539</v>
      </c>
      <c r="V281" s="9">
        <f t="shared" si="279"/>
        <v>5292865.4417724805</v>
      </c>
      <c r="W281" s="9">
        <f t="shared" si="279"/>
        <v>5314429.2307524569</v>
      </c>
      <c r="X281" s="9">
        <f t="shared" si="279"/>
        <v>5336080.8732779808</v>
      </c>
      <c r="Y281" s="9">
        <f t="shared" si="279"/>
        <v>5357820.7272752728</v>
      </c>
      <c r="Z281" s="9">
        <f t="shared" si="279"/>
        <v>5379649.1521287896</v>
      </c>
      <c r="AA281" s="9">
        <f t="shared" si="279"/>
        <v>5401566.5086871609</v>
      </c>
      <c r="AB281" s="9">
        <f t="shared" si="279"/>
        <v>5423573.1592691615</v>
      </c>
      <c r="AC281" s="9">
        <f t="shared" si="279"/>
        <v>5445669.4676696956</v>
      </c>
      <c r="AD281" s="9">
        <f t="shared" si="279"/>
        <v>5467855.799165817</v>
      </c>
      <c r="AE281" s="9">
        <f t="shared" si="279"/>
        <v>5490132.5205227584</v>
      </c>
      <c r="AF281" s="9">
        <f t="shared" si="279"/>
        <v>5512500</v>
      </c>
      <c r="AG281" s="9">
        <f t="shared" si="279"/>
        <v>5534958.6073573623</v>
      </c>
      <c r="AH281" s="9">
        <f t="shared" si="279"/>
        <v>5557508.713861106</v>
      </c>
      <c r="AI281" s="9">
        <f t="shared" si="279"/>
        <v>5580150.6922900798</v>
      </c>
      <c r="AJ281" s="9">
        <f t="shared" si="279"/>
        <v>5602884.9169418802</v>
      </c>
      <c r="AK281" s="9">
        <f t="shared" si="279"/>
        <v>5625711.7636390375</v>
      </c>
      <c r="AL281" s="9">
        <f t="shared" si="279"/>
        <v>5648631.60973523</v>
      </c>
      <c r="AM281" s="9">
        <f t="shared" si="279"/>
        <v>5671644.8341215197</v>
      </c>
      <c r="AN281" s="9">
        <f t="shared" si="279"/>
        <v>5694751.817232619</v>
      </c>
      <c r="AO281" s="9">
        <f t="shared" si="279"/>
        <v>5717952.9410531819</v>
      </c>
      <c r="AP281" s="9">
        <f t="shared" si="279"/>
        <v>5741248.5891241087</v>
      </c>
      <c r="AQ281" s="9">
        <f t="shared" si="279"/>
        <v>5764639.1465488952</v>
      </c>
    </row>
    <row r="282" spans="1:43" hidden="1" outlineLevel="4">
      <c r="A282" s="2"/>
      <c r="B282" s="2"/>
      <c r="C282" s="2"/>
      <c r="D282" s="2"/>
      <c r="E282" s="2" t="s">
        <v>506</v>
      </c>
      <c r="F282" s="2"/>
      <c r="G282" s="2"/>
      <c r="H282" s="9">
        <f t="shared" ref="H282:AQ282" si="280">private_sales_travel_budget*(1+private_sales_travel_budget_growth)^((COLUMN()-8)/12)</f>
        <v>4500000</v>
      </c>
      <c r="I282" s="9">
        <f t="shared" si="280"/>
        <v>4514731.8290198948</v>
      </c>
      <c r="J282" s="9">
        <f t="shared" si="280"/>
        <v>4529511.8862145171</v>
      </c>
      <c r="K282" s="9">
        <f t="shared" si="280"/>
        <v>4544340.3294703597</v>
      </c>
      <c r="L282" s="9">
        <f t="shared" si="280"/>
        <v>4559217.3171907971</v>
      </c>
      <c r="M282" s="9">
        <f t="shared" si="280"/>
        <v>4574143.0082977749</v>
      </c>
      <c r="N282" s="9">
        <f t="shared" si="280"/>
        <v>4589117.5622335067</v>
      </c>
      <c r="O282" s="9">
        <f t="shared" si="280"/>
        <v>4604141.1389621776</v>
      </c>
      <c r="P282" s="9">
        <f t="shared" si="280"/>
        <v>4619213.8989716563</v>
      </c>
      <c r="Q282" s="9">
        <f t="shared" si="280"/>
        <v>4634336.0032752054</v>
      </c>
      <c r="R282" s="9">
        <f t="shared" si="280"/>
        <v>4649507.6134132054</v>
      </c>
      <c r="S282" s="9">
        <f t="shared" si="280"/>
        <v>4664728.8914548727</v>
      </c>
      <c r="T282" s="9">
        <f t="shared" si="280"/>
        <v>4680000</v>
      </c>
      <c r="U282" s="9">
        <f t="shared" si="280"/>
        <v>4695321.1021806914</v>
      </c>
      <c r="V282" s="9">
        <f t="shared" si="280"/>
        <v>4710692.3616630975</v>
      </c>
      <c r="W282" s="9">
        <f t="shared" si="280"/>
        <v>4726113.9426491745</v>
      </c>
      <c r="X282" s="9">
        <f t="shared" si="280"/>
        <v>4741586.0098784296</v>
      </c>
      <c r="Y282" s="9">
        <f t="shared" si="280"/>
        <v>4757108.7286296869</v>
      </c>
      <c r="Z282" s="9">
        <f t="shared" si="280"/>
        <v>4772682.2647228474</v>
      </c>
      <c r="AA282" s="9">
        <f t="shared" si="280"/>
        <v>4788306.7845206643</v>
      </c>
      <c r="AB282" s="9">
        <f t="shared" si="280"/>
        <v>4803982.4549305225</v>
      </c>
      <c r="AC282" s="9">
        <f t="shared" si="280"/>
        <v>4819709.443406214</v>
      </c>
      <c r="AD282" s="9">
        <f t="shared" si="280"/>
        <v>4835487.9179497333</v>
      </c>
      <c r="AE282" s="9">
        <f t="shared" si="280"/>
        <v>4851318.0471130675</v>
      </c>
      <c r="AF282" s="9">
        <f t="shared" si="280"/>
        <v>4867200.0000000009</v>
      </c>
      <c r="AG282" s="9">
        <f t="shared" si="280"/>
        <v>4883133.9462679187</v>
      </c>
      <c r="AH282" s="9">
        <f t="shared" si="280"/>
        <v>4899120.0561296213</v>
      </c>
      <c r="AI282" s="9">
        <f t="shared" si="280"/>
        <v>4915158.5003551412</v>
      </c>
      <c r="AJ282" s="9">
        <f t="shared" si="280"/>
        <v>4931249.4502735669</v>
      </c>
      <c r="AK282" s="9">
        <f t="shared" si="280"/>
        <v>4947393.0777748739</v>
      </c>
      <c r="AL282" s="9">
        <f t="shared" si="280"/>
        <v>4963589.5553117609</v>
      </c>
      <c r="AM282" s="9">
        <f t="shared" si="280"/>
        <v>4979839.055901492</v>
      </c>
      <c r="AN282" s="9">
        <f t="shared" si="280"/>
        <v>4996141.7531277435</v>
      </c>
      <c r="AO282" s="9">
        <f t="shared" si="280"/>
        <v>5012497.821142463</v>
      </c>
      <c r="AP282" s="9">
        <f t="shared" si="280"/>
        <v>5028907.4346677223</v>
      </c>
      <c r="AQ282" s="9">
        <f t="shared" si="280"/>
        <v>5045370.7689975901</v>
      </c>
    </row>
    <row r="283" spans="1:43" hidden="1" outlineLevel="3" collapsed="1">
      <c r="A283" s="2"/>
      <c r="B283" s="2"/>
      <c r="C283" s="2"/>
      <c r="D283" s="2" t="s">
        <v>507</v>
      </c>
      <c r="E283" s="2"/>
      <c r="F283" s="2"/>
      <c r="G283" s="2"/>
      <c r="H283" s="9">
        <f t="shared" ref="H283:AQ283" si="281">((H284+H285)+H286)</f>
        <v>16000000</v>
      </c>
      <c r="I283" s="9">
        <f t="shared" si="281"/>
        <v>16052379.836515181</v>
      </c>
      <c r="J283" s="9">
        <f t="shared" si="281"/>
        <v>16104931.15098495</v>
      </c>
      <c r="K283" s="9">
        <f t="shared" si="281"/>
        <v>16157654.504783502</v>
      </c>
      <c r="L283" s="9">
        <f t="shared" si="281"/>
        <v>16210550.461122833</v>
      </c>
      <c r="M283" s="9">
        <f t="shared" si="281"/>
        <v>16263619.585058756</v>
      </c>
      <c r="N283" s="9">
        <f t="shared" si="281"/>
        <v>16316862.443496913</v>
      </c>
      <c r="O283" s="9">
        <f t="shared" si="281"/>
        <v>16370279.605198853</v>
      </c>
      <c r="P283" s="9">
        <f t="shared" si="281"/>
        <v>16423871.64078811</v>
      </c>
      <c r="Q283" s="9">
        <f t="shared" si="281"/>
        <v>16477639.122756287</v>
      </c>
      <c r="R283" s="9">
        <f t="shared" si="281"/>
        <v>16531582.625469174</v>
      </c>
      <c r="S283" s="9">
        <f t="shared" si="281"/>
        <v>16585702.725172879</v>
      </c>
      <c r="T283" s="9">
        <f t="shared" si="281"/>
        <v>16640000</v>
      </c>
      <c r="U283" s="9">
        <f t="shared" si="281"/>
        <v>16694475.029975791</v>
      </c>
      <c r="V283" s="9">
        <f t="shared" si="281"/>
        <v>16749128.397024347</v>
      </c>
      <c r="W283" s="9">
        <f t="shared" si="281"/>
        <v>16803960.684974842</v>
      </c>
      <c r="X283" s="9">
        <f t="shared" si="281"/>
        <v>16858972.479567751</v>
      </c>
      <c r="Y283" s="9">
        <f t="shared" si="281"/>
        <v>16914164.36846111</v>
      </c>
      <c r="Z283" s="9">
        <f t="shared" si="281"/>
        <v>16969536.94123679</v>
      </c>
      <c r="AA283" s="9">
        <f t="shared" si="281"/>
        <v>17025090.789406806</v>
      </c>
      <c r="AB283" s="9">
        <f t="shared" si="281"/>
        <v>17080826.506419636</v>
      </c>
      <c r="AC283" s="9">
        <f t="shared" si="281"/>
        <v>17136744.687666539</v>
      </c>
      <c r="AD283" s="9">
        <f t="shared" si="281"/>
        <v>17192845.930487938</v>
      </c>
      <c r="AE283" s="9">
        <f t="shared" si="281"/>
        <v>17249130.834179796</v>
      </c>
      <c r="AF283" s="9">
        <f t="shared" si="281"/>
        <v>17305600.000000004</v>
      </c>
      <c r="AG283" s="9">
        <f t="shared" si="281"/>
        <v>17362254.03117482</v>
      </c>
      <c r="AH283" s="9">
        <f t="shared" si="281"/>
        <v>17419093.532905322</v>
      </c>
      <c r="AI283" s="9">
        <f t="shared" si="281"/>
        <v>17476119.112373836</v>
      </c>
      <c r="AJ283" s="9">
        <f t="shared" si="281"/>
        <v>17533331.378750462</v>
      </c>
      <c r="AK283" s="9">
        <f t="shared" si="281"/>
        <v>17590730.943199553</v>
      </c>
      <c r="AL283" s="9">
        <f t="shared" si="281"/>
        <v>17648318.418886263</v>
      </c>
      <c r="AM283" s="9">
        <f t="shared" si="281"/>
        <v>17706094.42098308</v>
      </c>
      <c r="AN283" s="9">
        <f t="shared" si="281"/>
        <v>17764059.566676423</v>
      </c>
      <c r="AO283" s="9">
        <f t="shared" si="281"/>
        <v>17822214.475173201</v>
      </c>
      <c r="AP283" s="9">
        <f t="shared" si="281"/>
        <v>17880559.76770746</v>
      </c>
      <c r="AQ283" s="9">
        <f t="shared" si="281"/>
        <v>17939096.067546986</v>
      </c>
    </row>
    <row r="284" spans="1:43" hidden="1" outlineLevel="4">
      <c r="A284" s="2"/>
      <c r="B284" s="2"/>
      <c r="C284" s="2"/>
      <c r="D284" s="2"/>
      <c r="E284" s="2" t="s">
        <v>306</v>
      </c>
      <c r="F284" s="2"/>
      <c r="G284" s="2"/>
      <c r="H284" s="9">
        <f t="shared" ref="H284:AQ284" si="282">country_office_rent*(1+country_office_rent_growth)^((COLUMN()-8)/12)</f>
        <v>9000000</v>
      </c>
      <c r="I284" s="9">
        <f t="shared" si="282"/>
        <v>9029463.6580397896</v>
      </c>
      <c r="J284" s="9">
        <f t="shared" si="282"/>
        <v>9059023.7724290341</v>
      </c>
      <c r="K284" s="9">
        <f t="shared" si="282"/>
        <v>9088680.6589407194</v>
      </c>
      <c r="L284" s="9">
        <f t="shared" si="282"/>
        <v>9118434.6343815941</v>
      </c>
      <c r="M284" s="9">
        <f t="shared" si="282"/>
        <v>9148286.0165955499</v>
      </c>
      <c r="N284" s="9">
        <f t="shared" si="282"/>
        <v>9178235.1244670134</v>
      </c>
      <c r="O284" s="9">
        <f t="shared" si="282"/>
        <v>9208282.2779243551</v>
      </c>
      <c r="P284" s="9">
        <f t="shared" si="282"/>
        <v>9238427.7979433127</v>
      </c>
      <c r="Q284" s="9">
        <f t="shared" si="282"/>
        <v>9268672.0065504108</v>
      </c>
      <c r="R284" s="9">
        <f t="shared" si="282"/>
        <v>9299015.2268264107</v>
      </c>
      <c r="S284" s="9">
        <f t="shared" si="282"/>
        <v>9329457.7829097454</v>
      </c>
      <c r="T284" s="9">
        <f t="shared" si="282"/>
        <v>9360000</v>
      </c>
      <c r="U284" s="9">
        <f t="shared" si="282"/>
        <v>9390642.2043613829</v>
      </c>
      <c r="V284" s="9">
        <f t="shared" si="282"/>
        <v>9421384.723326195</v>
      </c>
      <c r="W284" s="9">
        <f t="shared" si="282"/>
        <v>9452227.885298349</v>
      </c>
      <c r="X284" s="9">
        <f t="shared" si="282"/>
        <v>9483172.0197568592</v>
      </c>
      <c r="Y284" s="9">
        <f t="shared" si="282"/>
        <v>9514217.4572593737</v>
      </c>
      <c r="Z284" s="9">
        <f t="shared" si="282"/>
        <v>9545364.5294456948</v>
      </c>
      <c r="AA284" s="9">
        <f t="shared" si="282"/>
        <v>9576613.5690413285</v>
      </c>
      <c r="AB284" s="9">
        <f t="shared" si="282"/>
        <v>9607964.909861045</v>
      </c>
      <c r="AC284" s="9">
        <f t="shared" si="282"/>
        <v>9639418.886812428</v>
      </c>
      <c r="AD284" s="9">
        <f t="shared" si="282"/>
        <v>9670975.8358994666</v>
      </c>
      <c r="AE284" s="9">
        <f t="shared" si="282"/>
        <v>9702636.0942261349</v>
      </c>
      <c r="AF284" s="9">
        <f t="shared" si="282"/>
        <v>9734400.0000000019</v>
      </c>
      <c r="AG284" s="9">
        <f t="shared" si="282"/>
        <v>9766267.8925358374</v>
      </c>
      <c r="AH284" s="9">
        <f t="shared" si="282"/>
        <v>9798240.1122592427</v>
      </c>
      <c r="AI284" s="9">
        <f t="shared" si="282"/>
        <v>9830317.0007102825</v>
      </c>
      <c r="AJ284" s="9">
        <f t="shared" si="282"/>
        <v>9862498.9005471338</v>
      </c>
      <c r="AK284" s="9">
        <f t="shared" si="282"/>
        <v>9894786.1555497479</v>
      </c>
      <c r="AL284" s="9">
        <f t="shared" si="282"/>
        <v>9927179.1106235217</v>
      </c>
      <c r="AM284" s="9">
        <f t="shared" si="282"/>
        <v>9959678.111802984</v>
      </c>
      <c r="AN284" s="9">
        <f t="shared" si="282"/>
        <v>9992283.506255487</v>
      </c>
      <c r="AO284" s="9">
        <f t="shared" si="282"/>
        <v>10024995.642284926</v>
      </c>
      <c r="AP284" s="9">
        <f t="shared" si="282"/>
        <v>10057814.869335445</v>
      </c>
      <c r="AQ284" s="9">
        <f t="shared" si="282"/>
        <v>10090741.53799518</v>
      </c>
    </row>
    <row r="285" spans="1:43" hidden="1" outlineLevel="4">
      <c r="A285" s="2"/>
      <c r="B285" s="2"/>
      <c r="C285" s="2"/>
      <c r="D285" s="2"/>
      <c r="E285" s="2" t="s">
        <v>508</v>
      </c>
      <c r="F285" s="2"/>
      <c r="G285" s="2"/>
      <c r="H285" s="9">
        <f t="shared" ref="H285:AQ285" si="283">utilities_and_admin*(1+utilities_and_admin_growth)^((COLUMN()-8)/12)</f>
        <v>4000000</v>
      </c>
      <c r="I285" s="9">
        <f t="shared" si="283"/>
        <v>4013094.9591287957</v>
      </c>
      <c r="J285" s="9">
        <f t="shared" si="283"/>
        <v>4026232.7877462376</v>
      </c>
      <c r="K285" s="9">
        <f t="shared" si="283"/>
        <v>4039413.6261958755</v>
      </c>
      <c r="L285" s="9">
        <f t="shared" si="283"/>
        <v>4052637.6152807088</v>
      </c>
      <c r="M285" s="9">
        <f t="shared" si="283"/>
        <v>4065904.896264689</v>
      </c>
      <c r="N285" s="9">
        <f t="shared" si="283"/>
        <v>4079215.6108742282</v>
      </c>
      <c r="O285" s="9">
        <f t="shared" si="283"/>
        <v>4092569.9012997132</v>
      </c>
      <c r="P285" s="9">
        <f t="shared" si="283"/>
        <v>4105967.9101970275</v>
      </c>
      <c r="Q285" s="9">
        <f t="shared" si="283"/>
        <v>4119409.7806890719</v>
      </c>
      <c r="R285" s="9">
        <f t="shared" si="283"/>
        <v>4132895.6563672936</v>
      </c>
      <c r="S285" s="9">
        <f t="shared" si="283"/>
        <v>4146425.6812932198</v>
      </c>
      <c r="T285" s="9">
        <f t="shared" si="283"/>
        <v>4160000</v>
      </c>
      <c r="U285" s="9">
        <f t="shared" si="283"/>
        <v>4173618.7574939476</v>
      </c>
      <c r="V285" s="9">
        <f t="shared" si="283"/>
        <v>4187282.0992560866</v>
      </c>
      <c r="W285" s="9">
        <f t="shared" si="283"/>
        <v>4200990.1712437104</v>
      </c>
      <c r="X285" s="9">
        <f t="shared" si="283"/>
        <v>4214743.1198919378</v>
      </c>
      <c r="Y285" s="9">
        <f t="shared" si="283"/>
        <v>4228541.0921152774</v>
      </c>
      <c r="Z285" s="9">
        <f t="shared" si="283"/>
        <v>4242384.2353091976</v>
      </c>
      <c r="AA285" s="9">
        <f t="shared" si="283"/>
        <v>4256272.6973517016</v>
      </c>
      <c r="AB285" s="9">
        <f t="shared" si="283"/>
        <v>4270206.6266049091</v>
      </c>
      <c r="AC285" s="9">
        <f t="shared" si="283"/>
        <v>4284186.1719166348</v>
      </c>
      <c r="AD285" s="9">
        <f t="shared" si="283"/>
        <v>4298211.4826219855</v>
      </c>
      <c r="AE285" s="9">
        <f t="shared" si="283"/>
        <v>4312282.7085449491</v>
      </c>
      <c r="AF285" s="9">
        <f t="shared" si="283"/>
        <v>4326400.0000000009</v>
      </c>
      <c r="AG285" s="9">
        <f t="shared" si="283"/>
        <v>4340563.507793705</v>
      </c>
      <c r="AH285" s="9">
        <f t="shared" si="283"/>
        <v>4354773.3832263304</v>
      </c>
      <c r="AI285" s="9">
        <f t="shared" si="283"/>
        <v>4369029.7780934591</v>
      </c>
      <c r="AJ285" s="9">
        <f t="shared" si="283"/>
        <v>4383332.8446876155</v>
      </c>
      <c r="AK285" s="9">
        <f t="shared" si="283"/>
        <v>4397682.7357998881</v>
      </c>
      <c r="AL285" s="9">
        <f t="shared" si="283"/>
        <v>4412079.6047215657</v>
      </c>
      <c r="AM285" s="9">
        <f t="shared" si="283"/>
        <v>4426523.60524577</v>
      </c>
      <c r="AN285" s="9">
        <f t="shared" si="283"/>
        <v>4441014.8916691057</v>
      </c>
      <c r="AO285" s="9">
        <f t="shared" si="283"/>
        <v>4455553.6187933004</v>
      </c>
      <c r="AP285" s="9">
        <f t="shared" si="283"/>
        <v>4470139.941926864</v>
      </c>
      <c r="AQ285" s="9">
        <f t="shared" si="283"/>
        <v>4484774.0168867465</v>
      </c>
    </row>
    <row r="286" spans="1:43" hidden="1" outlineLevel="4">
      <c r="A286" s="2"/>
      <c r="B286" s="2"/>
      <c r="C286" s="2"/>
      <c r="D286" s="2"/>
      <c r="E286" s="2" t="s">
        <v>509</v>
      </c>
      <c r="F286" s="2"/>
      <c r="G286" s="2"/>
      <c r="H286" s="9">
        <f t="shared" ref="H286:AQ286" si="284">it_and_quality_support*(1+it_and_quality_support_growth)^((COLUMN()-8)/12)</f>
        <v>3000000</v>
      </c>
      <c r="I286" s="9">
        <f t="shared" si="284"/>
        <v>3009821.2193465969</v>
      </c>
      <c r="J286" s="9">
        <f t="shared" si="284"/>
        <v>3019674.5908096782</v>
      </c>
      <c r="K286" s="9">
        <f t="shared" si="284"/>
        <v>3029560.2196469065</v>
      </c>
      <c r="L286" s="9">
        <f t="shared" si="284"/>
        <v>3039478.2114605317</v>
      </c>
      <c r="M286" s="9">
        <f t="shared" si="284"/>
        <v>3049428.6721985168</v>
      </c>
      <c r="N286" s="9">
        <f t="shared" si="284"/>
        <v>3059411.7081556711</v>
      </c>
      <c r="O286" s="9">
        <f t="shared" si="284"/>
        <v>3069427.4259747849</v>
      </c>
      <c r="P286" s="9">
        <f t="shared" si="284"/>
        <v>3079475.9326477707</v>
      </c>
      <c r="Q286" s="9">
        <f t="shared" si="284"/>
        <v>3089557.3355168039</v>
      </c>
      <c r="R286" s="9">
        <f t="shared" si="284"/>
        <v>3099671.7422754699</v>
      </c>
      <c r="S286" s="9">
        <f t="shared" si="284"/>
        <v>3109819.260969915</v>
      </c>
      <c r="T286" s="9">
        <f t="shared" si="284"/>
        <v>3120000</v>
      </c>
      <c r="U286" s="9">
        <f t="shared" si="284"/>
        <v>3130214.068120461</v>
      </c>
      <c r="V286" s="9">
        <f t="shared" si="284"/>
        <v>3140461.5744420649</v>
      </c>
      <c r="W286" s="9">
        <f t="shared" si="284"/>
        <v>3150742.6284327833</v>
      </c>
      <c r="X286" s="9">
        <f t="shared" si="284"/>
        <v>3161057.3399189534</v>
      </c>
      <c r="Y286" s="9">
        <f t="shared" si="284"/>
        <v>3171405.8190864576</v>
      </c>
      <c r="Z286" s="9">
        <f t="shared" si="284"/>
        <v>3181788.1764818979</v>
      </c>
      <c r="AA286" s="9">
        <f t="shared" si="284"/>
        <v>3192204.5230137762</v>
      </c>
      <c r="AB286" s="9">
        <f t="shared" si="284"/>
        <v>3202654.9699536818</v>
      </c>
      <c r="AC286" s="9">
        <f t="shared" si="284"/>
        <v>3213139.6289374758</v>
      </c>
      <c r="AD286" s="9">
        <f t="shared" si="284"/>
        <v>3223658.6119664889</v>
      </c>
      <c r="AE286" s="9">
        <f t="shared" si="284"/>
        <v>3234212.0314087113</v>
      </c>
      <c r="AF286" s="9">
        <f t="shared" si="284"/>
        <v>3244800.0000000005</v>
      </c>
      <c r="AG286" s="9">
        <f t="shared" si="284"/>
        <v>3255422.630845279</v>
      </c>
      <c r="AH286" s="9">
        <f t="shared" si="284"/>
        <v>3266080.037419748</v>
      </c>
      <c r="AI286" s="9">
        <f t="shared" si="284"/>
        <v>3276772.3335700943</v>
      </c>
      <c r="AJ286" s="9">
        <f t="shared" si="284"/>
        <v>3287499.6335157114</v>
      </c>
      <c r="AK286" s="9">
        <f t="shared" si="284"/>
        <v>3298262.0518499161</v>
      </c>
      <c r="AL286" s="9">
        <f t="shared" si="284"/>
        <v>3309059.7035411741</v>
      </c>
      <c r="AM286" s="9">
        <f t="shared" si="284"/>
        <v>3319892.7039343277</v>
      </c>
      <c r="AN286" s="9">
        <f t="shared" si="284"/>
        <v>3330761.1687518293</v>
      </c>
      <c r="AO286" s="9">
        <f t="shared" si="284"/>
        <v>3341665.214094975</v>
      </c>
      <c r="AP286" s="9">
        <f t="shared" si="284"/>
        <v>3352604.9564451482</v>
      </c>
      <c r="AQ286" s="9">
        <f t="shared" si="284"/>
        <v>3363580.5126650603</v>
      </c>
    </row>
    <row r="287" spans="1:43" hidden="1" outlineLevel="3" collapsed="1">
      <c r="A287" s="2"/>
      <c r="B287" s="2"/>
      <c r="C287" s="2"/>
      <c r="D287" s="2" t="s">
        <v>510</v>
      </c>
      <c r="E287" s="2"/>
      <c r="F287" s="2"/>
      <c r="G287" s="2"/>
      <c r="H287" s="9">
        <f t="shared" ref="H287:AQ287" si="285">(((H288+H289)+H290)+H291)</f>
        <v>20000000</v>
      </c>
      <c r="I287" s="9">
        <f t="shared" si="285"/>
        <v>20049325.395446073</v>
      </c>
      <c r="J287" s="9">
        <f t="shared" si="285"/>
        <v>20098772.440623939</v>
      </c>
      <c r="K287" s="9">
        <f t="shared" si="285"/>
        <v>20148341.435554657</v>
      </c>
      <c r="L287" s="9">
        <f t="shared" si="285"/>
        <v>20198032.680999219</v>
      </c>
      <c r="M287" s="9">
        <f t="shared" si="285"/>
        <v>20247846.478460368</v>
      </c>
      <c r="N287" s="9">
        <f t="shared" si="285"/>
        <v>20297783.130184438</v>
      </c>
      <c r="O287" s="9">
        <f t="shared" si="285"/>
        <v>20347842.939163186</v>
      </c>
      <c r="P287" s="9">
        <f t="shared" si="285"/>
        <v>20398026.209135626</v>
      </c>
      <c r="Q287" s="9">
        <f t="shared" si="285"/>
        <v>20448333.244589873</v>
      </c>
      <c r="R287" s="9">
        <f t="shared" si="285"/>
        <v>20498764.350764997</v>
      </c>
      <c r="S287" s="9">
        <f t="shared" si="285"/>
        <v>20549319.833652865</v>
      </c>
      <c r="T287" s="9">
        <f t="shared" si="285"/>
        <v>20600000</v>
      </c>
      <c r="U287" s="9">
        <f t="shared" si="285"/>
        <v>20650805.157309454</v>
      </c>
      <c r="V287" s="9">
        <f t="shared" si="285"/>
        <v>20701735.613842659</v>
      </c>
      <c r="W287" s="9">
        <f t="shared" si="285"/>
        <v>20752791.6786213</v>
      </c>
      <c r="X287" s="9">
        <f t="shared" si="285"/>
        <v>20803973.661429197</v>
      </c>
      <c r="Y287" s="9">
        <f t="shared" si="285"/>
        <v>20855281.872814178</v>
      </c>
      <c r="Z287" s="9">
        <f t="shared" si="285"/>
        <v>20906716.624089975</v>
      </c>
      <c r="AA287" s="9">
        <f t="shared" si="285"/>
        <v>20958278.227338087</v>
      </c>
      <c r="AB287" s="9">
        <f t="shared" si="285"/>
        <v>21009966.995409694</v>
      </c>
      <c r="AC287" s="9">
        <f t="shared" si="285"/>
        <v>21061783.241927572</v>
      </c>
      <c r="AD287" s="9">
        <f t="shared" si="285"/>
        <v>21113727.28128795</v>
      </c>
      <c r="AE287" s="9">
        <f t="shared" si="285"/>
        <v>21165799.428662449</v>
      </c>
      <c r="AF287" s="9">
        <f t="shared" si="285"/>
        <v>21218000</v>
      </c>
      <c r="AG287" s="9">
        <f t="shared" si="285"/>
        <v>21270329.312028736</v>
      </c>
      <c r="AH287" s="9">
        <f t="shared" si="285"/>
        <v>21322787.682257939</v>
      </c>
      <c r="AI287" s="9">
        <f t="shared" si="285"/>
        <v>21375375.428979933</v>
      </c>
      <c r="AJ287" s="9">
        <f t="shared" si="285"/>
        <v>21428092.871272076</v>
      </c>
      <c r="AK287" s="9">
        <f t="shared" si="285"/>
        <v>21480940.328998607</v>
      </c>
      <c r="AL287" s="9">
        <f t="shared" si="285"/>
        <v>21533918.122812673</v>
      </c>
      <c r="AM287" s="9">
        <f t="shared" si="285"/>
        <v>21587026.574158225</v>
      </c>
      <c r="AN287" s="9">
        <f t="shared" si="285"/>
        <v>21640266.00527199</v>
      </c>
      <c r="AO287" s="9">
        <f t="shared" si="285"/>
        <v>21693636.7391854</v>
      </c>
      <c r="AP287" s="9">
        <f t="shared" si="285"/>
        <v>21747139.099726588</v>
      </c>
      <c r="AQ287" s="9">
        <f t="shared" si="285"/>
        <v>21800773.411522325</v>
      </c>
    </row>
    <row r="288" spans="1:43" hidden="1" outlineLevel="4">
      <c r="A288" s="2"/>
      <c r="B288" s="2"/>
      <c r="C288" s="2"/>
      <c r="D288" s="2"/>
      <c r="E288" s="2" t="s">
        <v>312</v>
      </c>
      <c r="F288" s="2"/>
      <c r="G288" s="2"/>
      <c r="H288" s="9">
        <f t="shared" ref="H288:AQ288" si="286">central_launch_budget*(1+central_launch_budget_growth)^((COLUMN()-8)/12)</f>
        <v>9000000</v>
      </c>
      <c r="I288" s="9">
        <f t="shared" si="286"/>
        <v>9022196.4279507324</v>
      </c>
      <c r="J288" s="9">
        <f t="shared" si="286"/>
        <v>9044447.5982807726</v>
      </c>
      <c r="K288" s="9">
        <f t="shared" si="286"/>
        <v>9066753.6459995955</v>
      </c>
      <c r="L288" s="9">
        <f t="shared" si="286"/>
        <v>9089114.7064496484</v>
      </c>
      <c r="M288" s="9">
        <f t="shared" si="286"/>
        <v>9111530.9153071661</v>
      </c>
      <c r="N288" s="9">
        <f t="shared" si="286"/>
        <v>9134002.4085829984</v>
      </c>
      <c r="O288" s="9">
        <f t="shared" si="286"/>
        <v>9156529.3226234335</v>
      </c>
      <c r="P288" s="9">
        <f t="shared" si="286"/>
        <v>9179111.794111032</v>
      </c>
      <c r="Q288" s="9">
        <f t="shared" si="286"/>
        <v>9201749.9600654431</v>
      </c>
      <c r="R288" s="9">
        <f t="shared" si="286"/>
        <v>9224443.957844248</v>
      </c>
      <c r="S288" s="9">
        <f t="shared" si="286"/>
        <v>9247193.9251437895</v>
      </c>
      <c r="T288" s="9">
        <f t="shared" si="286"/>
        <v>9270000</v>
      </c>
      <c r="U288" s="9">
        <f t="shared" si="286"/>
        <v>9292862.3207892552</v>
      </c>
      <c r="V288" s="9">
        <f t="shared" si="286"/>
        <v>9315781.0262291953</v>
      </c>
      <c r="W288" s="9">
        <f t="shared" si="286"/>
        <v>9338756.2553795855</v>
      </c>
      <c r="X288" s="9">
        <f t="shared" si="286"/>
        <v>9361788.1476431377</v>
      </c>
      <c r="Y288" s="9">
        <f t="shared" si="286"/>
        <v>9384876.8427663818</v>
      </c>
      <c r="Z288" s="9">
        <f t="shared" si="286"/>
        <v>9408022.4808404874</v>
      </c>
      <c r="AA288" s="9">
        <f t="shared" si="286"/>
        <v>9431225.2023021393</v>
      </c>
      <c r="AB288" s="9">
        <f t="shared" si="286"/>
        <v>9454485.1479343623</v>
      </c>
      <c r="AC288" s="9">
        <f t="shared" si="286"/>
        <v>9477802.4588674065</v>
      </c>
      <c r="AD288" s="9">
        <f t="shared" si="286"/>
        <v>9501177.2765795775</v>
      </c>
      <c r="AE288" s="9">
        <f t="shared" si="286"/>
        <v>9524609.742898101</v>
      </c>
      <c r="AF288" s="9">
        <f t="shared" si="286"/>
        <v>9548100</v>
      </c>
      <c r="AG288" s="9">
        <f t="shared" si="286"/>
        <v>9571648.1904129311</v>
      </c>
      <c r="AH288" s="9">
        <f t="shared" si="286"/>
        <v>9595254.4570160732</v>
      </c>
      <c r="AI288" s="9">
        <f t="shared" si="286"/>
        <v>9618918.9430409707</v>
      </c>
      <c r="AJ288" s="9">
        <f t="shared" si="286"/>
        <v>9642641.792072434</v>
      </c>
      <c r="AK288" s="9">
        <f t="shared" si="286"/>
        <v>9666423.1480493732</v>
      </c>
      <c r="AL288" s="9">
        <f t="shared" si="286"/>
        <v>9690263.1552657019</v>
      </c>
      <c r="AM288" s="9">
        <f t="shared" si="286"/>
        <v>9714161.9583712015</v>
      </c>
      <c r="AN288" s="9">
        <f t="shared" si="286"/>
        <v>9738119.7023723945</v>
      </c>
      <c r="AO288" s="9">
        <f t="shared" si="286"/>
        <v>9762136.5326334294</v>
      </c>
      <c r="AP288" s="9">
        <f t="shared" si="286"/>
        <v>9786212.5948769636</v>
      </c>
      <c r="AQ288" s="9">
        <f t="shared" si="286"/>
        <v>9810348.0351850465</v>
      </c>
    </row>
    <row r="289" spans="1:43" hidden="1" outlineLevel="4">
      <c r="A289" s="2"/>
      <c r="B289" s="2"/>
      <c r="C289" s="2"/>
      <c r="D289" s="2"/>
      <c r="E289" s="2" t="s">
        <v>511</v>
      </c>
      <c r="F289" s="2"/>
      <c r="G289" s="2"/>
      <c r="H289" s="9">
        <f t="shared" ref="H289:AQ289" si="287">western_launch_budget*(1+western_launch_budget_growth)^((COLUMN()-8)/12)</f>
        <v>5000000</v>
      </c>
      <c r="I289" s="9">
        <f t="shared" si="287"/>
        <v>5012331.3488615183</v>
      </c>
      <c r="J289" s="9">
        <f t="shared" si="287"/>
        <v>5024693.1101559848</v>
      </c>
      <c r="K289" s="9">
        <f t="shared" si="287"/>
        <v>5037085.3588886643</v>
      </c>
      <c r="L289" s="9">
        <f t="shared" si="287"/>
        <v>5049508.1702498049</v>
      </c>
      <c r="M289" s="9">
        <f t="shared" si="287"/>
        <v>5061961.6196150919</v>
      </c>
      <c r="N289" s="9">
        <f t="shared" si="287"/>
        <v>5074445.7825461095</v>
      </c>
      <c r="O289" s="9">
        <f t="shared" si="287"/>
        <v>5086960.7347907964</v>
      </c>
      <c r="P289" s="9">
        <f t="shared" si="287"/>
        <v>5099506.5522839064</v>
      </c>
      <c r="Q289" s="9">
        <f t="shared" si="287"/>
        <v>5112083.3111474682</v>
      </c>
      <c r="R289" s="9">
        <f t="shared" si="287"/>
        <v>5124691.0876912484</v>
      </c>
      <c r="S289" s="9">
        <f t="shared" si="287"/>
        <v>5137329.9584132163</v>
      </c>
      <c r="T289" s="9">
        <f t="shared" si="287"/>
        <v>5150000</v>
      </c>
      <c r="U289" s="9">
        <f t="shared" si="287"/>
        <v>5162701.2893273635</v>
      </c>
      <c r="V289" s="9">
        <f t="shared" si="287"/>
        <v>5175433.9034606647</v>
      </c>
      <c r="W289" s="9">
        <f t="shared" si="287"/>
        <v>5188197.9196553249</v>
      </c>
      <c r="X289" s="9">
        <f t="shared" si="287"/>
        <v>5200993.4153572991</v>
      </c>
      <c r="Y289" s="9">
        <f t="shared" si="287"/>
        <v>5213820.4682035446</v>
      </c>
      <c r="Z289" s="9">
        <f t="shared" si="287"/>
        <v>5226679.1560224937</v>
      </c>
      <c r="AA289" s="9">
        <f t="shared" si="287"/>
        <v>5239569.5568345217</v>
      </c>
      <c r="AB289" s="9">
        <f t="shared" si="287"/>
        <v>5252491.7488524234</v>
      </c>
      <c r="AC289" s="9">
        <f t="shared" si="287"/>
        <v>5265445.810481892</v>
      </c>
      <c r="AD289" s="9">
        <f t="shared" si="287"/>
        <v>5278431.8203219874</v>
      </c>
      <c r="AE289" s="9">
        <f t="shared" si="287"/>
        <v>5291449.8571656123</v>
      </c>
      <c r="AF289" s="9">
        <f t="shared" si="287"/>
        <v>5304500</v>
      </c>
      <c r="AG289" s="9">
        <f t="shared" si="287"/>
        <v>5317582.328007184</v>
      </c>
      <c r="AH289" s="9">
        <f t="shared" si="287"/>
        <v>5330696.9205644848</v>
      </c>
      <c r="AI289" s="9">
        <f t="shared" si="287"/>
        <v>5343843.8572449842</v>
      </c>
      <c r="AJ289" s="9">
        <f t="shared" si="287"/>
        <v>5357023.217818019</v>
      </c>
      <c r="AK289" s="9">
        <f t="shared" si="287"/>
        <v>5370235.0822496517</v>
      </c>
      <c r="AL289" s="9">
        <f t="shared" si="287"/>
        <v>5383479.5307031684</v>
      </c>
      <c r="AM289" s="9">
        <f t="shared" si="287"/>
        <v>5396756.6435395563</v>
      </c>
      <c r="AN289" s="9">
        <f t="shared" si="287"/>
        <v>5410066.5013179975</v>
      </c>
      <c r="AO289" s="9">
        <f t="shared" si="287"/>
        <v>5423409.1847963491</v>
      </c>
      <c r="AP289" s="9">
        <f t="shared" si="287"/>
        <v>5436784.7749316469</v>
      </c>
      <c r="AQ289" s="9">
        <f t="shared" si="287"/>
        <v>5450193.3528805813</v>
      </c>
    </row>
    <row r="290" spans="1:43" hidden="1" outlineLevel="4">
      <c r="A290" s="2"/>
      <c r="B290" s="2"/>
      <c r="C290" s="2"/>
      <c r="D290" s="2"/>
      <c r="E290" s="2" t="s">
        <v>512</v>
      </c>
      <c r="F290" s="2"/>
      <c r="G290" s="2"/>
      <c r="H290" s="9">
        <f t="shared" ref="H290:AQ290" si="288">eastern_launch_budget*(1+eastern_launch_budget_growth)^((COLUMN()-8)/12)</f>
        <v>3500000</v>
      </c>
      <c r="I290" s="9">
        <f t="shared" si="288"/>
        <v>3508631.9442030629</v>
      </c>
      <c r="J290" s="9">
        <f t="shared" si="288"/>
        <v>3517285.1771091889</v>
      </c>
      <c r="K290" s="9">
        <f t="shared" si="288"/>
        <v>3525959.7512220652</v>
      </c>
      <c r="L290" s="9">
        <f t="shared" si="288"/>
        <v>3534655.7191748633</v>
      </c>
      <c r="M290" s="9">
        <f t="shared" si="288"/>
        <v>3543373.1337305643</v>
      </c>
      <c r="N290" s="9">
        <f t="shared" si="288"/>
        <v>3552112.0477822768</v>
      </c>
      <c r="O290" s="9">
        <f t="shared" si="288"/>
        <v>3560872.5143535575</v>
      </c>
      <c r="P290" s="9">
        <f t="shared" si="288"/>
        <v>3569654.5865987348</v>
      </c>
      <c r="Q290" s="9">
        <f t="shared" si="288"/>
        <v>3578458.3178032278</v>
      </c>
      <c r="R290" s="9">
        <f t="shared" si="288"/>
        <v>3587283.7613838743</v>
      </c>
      <c r="S290" s="9">
        <f t="shared" si="288"/>
        <v>3596130.9708892512</v>
      </c>
      <c r="T290" s="9">
        <f t="shared" si="288"/>
        <v>3605000</v>
      </c>
      <c r="U290" s="9">
        <f t="shared" si="288"/>
        <v>3613890.9025291549</v>
      </c>
      <c r="V290" s="9">
        <f t="shared" si="288"/>
        <v>3622803.732422465</v>
      </c>
      <c r="W290" s="9">
        <f t="shared" si="288"/>
        <v>3631738.5437587276</v>
      </c>
      <c r="X290" s="9">
        <f t="shared" si="288"/>
        <v>3640695.3907501092</v>
      </c>
      <c r="Y290" s="9">
        <f t="shared" si="288"/>
        <v>3649674.3277424816</v>
      </c>
      <c r="Z290" s="9">
        <f t="shared" si="288"/>
        <v>3658675.4092157455</v>
      </c>
      <c r="AA290" s="9">
        <f t="shared" si="288"/>
        <v>3667698.689784165</v>
      </c>
      <c r="AB290" s="9">
        <f t="shared" si="288"/>
        <v>3676744.2241966967</v>
      </c>
      <c r="AC290" s="9">
        <f t="shared" si="288"/>
        <v>3685812.0673373248</v>
      </c>
      <c r="AD290" s="9">
        <f t="shared" si="288"/>
        <v>3694902.274225391</v>
      </c>
      <c r="AE290" s="9">
        <f t="shared" si="288"/>
        <v>3704014.9000159283</v>
      </c>
      <c r="AF290" s="9">
        <f t="shared" si="288"/>
        <v>3713150</v>
      </c>
      <c r="AG290" s="9">
        <f t="shared" si="288"/>
        <v>3722307.6296050292</v>
      </c>
      <c r="AH290" s="9">
        <f t="shared" si="288"/>
        <v>3731487.8443951393</v>
      </c>
      <c r="AI290" s="9">
        <f t="shared" si="288"/>
        <v>3740690.700071489</v>
      </c>
      <c r="AJ290" s="9">
        <f t="shared" si="288"/>
        <v>3749916.252472613</v>
      </c>
      <c r="AK290" s="9">
        <f t="shared" si="288"/>
        <v>3759164.557574756</v>
      </c>
      <c r="AL290" s="9">
        <f t="shared" si="288"/>
        <v>3768435.6714922176</v>
      </c>
      <c r="AM290" s="9">
        <f t="shared" si="288"/>
        <v>3777729.6504776897</v>
      </c>
      <c r="AN290" s="9">
        <f t="shared" si="288"/>
        <v>3787046.5509225982</v>
      </c>
      <c r="AO290" s="9">
        <f t="shared" si="288"/>
        <v>3796386.4293574449</v>
      </c>
      <c r="AP290" s="9">
        <f t="shared" si="288"/>
        <v>3805749.3424521526</v>
      </c>
      <c r="AQ290" s="9">
        <f t="shared" si="288"/>
        <v>3815135.3470164067</v>
      </c>
    </row>
    <row r="291" spans="1:43" hidden="1" outlineLevel="4">
      <c r="A291" s="2"/>
      <c r="B291" s="2"/>
      <c r="C291" s="2"/>
      <c r="D291" s="2"/>
      <c r="E291" s="2" t="s">
        <v>513</v>
      </c>
      <c r="F291" s="2"/>
      <c r="G291" s="2"/>
      <c r="H291" s="9">
        <f t="shared" ref="H291:AQ291" si="289">northern_launch_budget*(1+northern_launch_budget_growth)^((COLUMN()-8)/12)</f>
        <v>2500000</v>
      </c>
      <c r="I291" s="9">
        <f t="shared" si="289"/>
        <v>2506165.6744307592</v>
      </c>
      <c r="J291" s="9">
        <f t="shared" si="289"/>
        <v>2512346.5550779924</v>
      </c>
      <c r="K291" s="9">
        <f t="shared" si="289"/>
        <v>2518542.6794443321</v>
      </c>
      <c r="L291" s="9">
        <f t="shared" si="289"/>
        <v>2524754.0851249024</v>
      </c>
      <c r="M291" s="9">
        <f t="shared" si="289"/>
        <v>2530980.809807546</v>
      </c>
      <c r="N291" s="9">
        <f t="shared" si="289"/>
        <v>2537222.8912730548</v>
      </c>
      <c r="O291" s="9">
        <f t="shared" si="289"/>
        <v>2543480.3673953982</v>
      </c>
      <c r="P291" s="9">
        <f t="shared" si="289"/>
        <v>2549753.2761419532</v>
      </c>
      <c r="Q291" s="9">
        <f t="shared" si="289"/>
        <v>2556041.6555737341</v>
      </c>
      <c r="R291" s="9">
        <f t="shared" si="289"/>
        <v>2562345.5438456242</v>
      </c>
      <c r="S291" s="9">
        <f t="shared" si="289"/>
        <v>2568664.9792066081</v>
      </c>
      <c r="T291" s="9">
        <f t="shared" si="289"/>
        <v>2575000</v>
      </c>
      <c r="U291" s="9">
        <f t="shared" si="289"/>
        <v>2581350.6446636817</v>
      </c>
      <c r="V291" s="9">
        <f t="shared" si="289"/>
        <v>2587716.9517303323</v>
      </c>
      <c r="W291" s="9">
        <f t="shared" si="289"/>
        <v>2594098.9598276624</v>
      </c>
      <c r="X291" s="9">
        <f t="shared" si="289"/>
        <v>2600496.7076786496</v>
      </c>
      <c r="Y291" s="9">
        <f t="shared" si="289"/>
        <v>2606910.2341017723</v>
      </c>
      <c r="Z291" s="9">
        <f t="shared" si="289"/>
        <v>2613339.5780112469</v>
      </c>
      <c r="AA291" s="9">
        <f t="shared" si="289"/>
        <v>2619784.7784172609</v>
      </c>
      <c r="AB291" s="9">
        <f t="shared" si="289"/>
        <v>2626245.8744262117</v>
      </c>
      <c r="AC291" s="9">
        <f t="shared" si="289"/>
        <v>2632722.905240946</v>
      </c>
      <c r="AD291" s="9">
        <f t="shared" si="289"/>
        <v>2639215.9101609937</v>
      </c>
      <c r="AE291" s="9">
        <f t="shared" si="289"/>
        <v>2645724.9285828061</v>
      </c>
      <c r="AF291" s="9">
        <f t="shared" si="289"/>
        <v>2652250</v>
      </c>
      <c r="AG291" s="9">
        <f t="shared" si="289"/>
        <v>2658791.164003592</v>
      </c>
      <c r="AH291" s="9">
        <f t="shared" si="289"/>
        <v>2665348.4602822424</v>
      </c>
      <c r="AI291" s="9">
        <f t="shared" si="289"/>
        <v>2671921.9286224921</v>
      </c>
      <c r="AJ291" s="9">
        <f t="shared" si="289"/>
        <v>2678511.6089090095</v>
      </c>
      <c r="AK291" s="9">
        <f t="shared" si="289"/>
        <v>2685117.5411248258</v>
      </c>
      <c r="AL291" s="9">
        <f t="shared" si="289"/>
        <v>2691739.7653515842</v>
      </c>
      <c r="AM291" s="9">
        <f t="shared" si="289"/>
        <v>2698378.3217697782</v>
      </c>
      <c r="AN291" s="9">
        <f t="shared" si="289"/>
        <v>2705033.2506589987</v>
      </c>
      <c r="AO291" s="9">
        <f t="shared" si="289"/>
        <v>2711704.5923981746</v>
      </c>
      <c r="AP291" s="9">
        <f t="shared" si="289"/>
        <v>2718392.3874658234</v>
      </c>
      <c r="AQ291" s="9">
        <f t="shared" si="289"/>
        <v>2725096.6764402906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zoomScale="75" workbookViewId="0">
      <pane xSplit="1" ySplit="5" topLeftCell="B6" activePane="bottomRight" state="frozen"/>
      <selection pane="topRight"/>
      <selection pane="bottomLeft"/>
      <selection pane="bottomRight" activeCell="F26" sqref="F26"/>
    </sheetView>
  </sheetViews>
  <sheetFormatPr baseColWidth="10" defaultColWidth="8.83203125" defaultRowHeight="15"/>
  <cols>
    <col min="1" max="4" width="16" customWidth="1"/>
    <col min="5" max="9" width="18" customWidth="1"/>
    <col min="10" max="10" width="7" customWidth="1"/>
  </cols>
  <sheetData>
    <row r="1" spans="1:10" ht="21">
      <c r="A1" s="10" t="s">
        <v>0</v>
      </c>
    </row>
    <row r="2" spans="1:10">
      <c r="A2" s="11" t="s">
        <v>1</v>
      </c>
    </row>
    <row r="4" spans="1:10">
      <c r="A4" s="12" t="s">
        <v>2</v>
      </c>
      <c r="B4" s="12" t="s">
        <v>3</v>
      </c>
      <c r="C4" s="12" t="s">
        <v>4</v>
      </c>
      <c r="D4" s="12" t="s">
        <v>5</v>
      </c>
      <c r="E4" s="12"/>
      <c r="F4" s="12"/>
      <c r="G4" s="12"/>
      <c r="H4" s="12"/>
      <c r="I4" s="12"/>
      <c r="J4" s="12"/>
    </row>
    <row r="5" spans="1:10">
      <c r="A5" t="s">
        <v>6</v>
      </c>
      <c r="B5" s="13">
        <f>'Model - Base'!H2</f>
        <v>-118957400.79142843</v>
      </c>
      <c r="C5" s="13">
        <f>'Model - Positive'!H2</f>
        <v>-92794715.37511462</v>
      </c>
      <c r="D5" t="s">
        <v>7</v>
      </c>
    </row>
    <row r="6" spans="1:10">
      <c r="A6" t="s">
        <v>8</v>
      </c>
      <c r="B6" s="13">
        <f>'Model - Base'!S2</f>
        <v>-101143374.23446843</v>
      </c>
      <c r="C6" s="13">
        <f>'Model - Positive'!S2</f>
        <v>-28568598.834692627</v>
      </c>
      <c r="D6" t="s">
        <v>9</v>
      </c>
    </row>
    <row r="7" spans="1:10">
      <c r="A7" t="s">
        <v>10</v>
      </c>
      <c r="B7" s="13">
        <f>'Model - Base'!AE2</f>
        <v>-71131759.920932472</v>
      </c>
      <c r="C7" s="13">
        <f>'Model - Positive'!AE2</f>
        <v>81823815.234694481</v>
      </c>
      <c r="D7" t="s">
        <v>11</v>
      </c>
    </row>
    <row r="8" spans="1:10">
      <c r="A8" t="s">
        <v>12</v>
      </c>
      <c r="B8" s="13">
        <f>'Model - Base'!AQ2</f>
        <v>-26265850.88692832</v>
      </c>
      <c r="C8" s="13">
        <f>'Model - Positive'!AQ2</f>
        <v>252076065.57339144</v>
      </c>
      <c r="D8" t="s">
        <v>13</v>
      </c>
    </row>
    <row r="11" spans="1:10">
      <c r="A11" s="12" t="s">
        <v>14</v>
      </c>
      <c r="B11" s="12" t="s">
        <v>15</v>
      </c>
      <c r="C11" s="12" t="s">
        <v>16</v>
      </c>
      <c r="D11" s="12" t="s">
        <v>17</v>
      </c>
      <c r="E11" s="24" t="s">
        <v>18</v>
      </c>
      <c r="F11" s="12" t="s">
        <v>19</v>
      </c>
      <c r="G11" s="12" t="s">
        <v>20</v>
      </c>
      <c r="H11" s="12" t="s">
        <v>21</v>
      </c>
      <c r="I11" s="24" t="s">
        <v>22</v>
      </c>
    </row>
    <row r="12" spans="1:10">
      <c r="A12" t="s">
        <v>23</v>
      </c>
      <c r="B12" s="13">
        <f>'Model - Base'!H3</f>
        <v>16088066.109212415</v>
      </c>
      <c r="C12" s="13">
        <f>'Model - Base'!H110</f>
        <v>135045466.90064085</v>
      </c>
      <c r="D12" s="13">
        <f>'Model - Base'!H2</f>
        <v>-118957400.79142843</v>
      </c>
      <c r="E12" s="25">
        <f>D12</f>
        <v>-118957400.79142843</v>
      </c>
      <c r="F12" s="13">
        <f>'Model - Positive'!H3</f>
        <v>26728496.556102067</v>
      </c>
      <c r="G12" s="13">
        <f>'Model - Positive'!H110</f>
        <v>119523211.93121669</v>
      </c>
      <c r="H12" s="13">
        <f>'Model - Positive'!H2</f>
        <v>-92794715.37511462</v>
      </c>
      <c r="I12" s="25">
        <f>H12</f>
        <v>-92794715.37511462</v>
      </c>
    </row>
    <row r="13" spans="1:10">
      <c r="A13" t="s">
        <v>24</v>
      </c>
      <c r="B13" s="13">
        <f>'Model - Base'!I3</f>
        <v>20075532.288676322</v>
      </c>
      <c r="C13" s="13">
        <f>'Model - Base'!I110</f>
        <v>137728483.88585582</v>
      </c>
      <c r="D13" s="13">
        <f>'Model - Base'!I2</f>
        <v>-117652951.5971795</v>
      </c>
      <c r="E13" s="25">
        <f t="shared" ref="E13:E47" si="0">E12+D13</f>
        <v>-236610352.38860792</v>
      </c>
      <c r="F13" s="13">
        <f>'Model - Positive'!I3</f>
        <v>36784642.878752038</v>
      </c>
      <c r="G13" s="13">
        <f>'Model - Positive'!I110</f>
        <v>124896861.73695643</v>
      </c>
      <c r="H13" s="13">
        <f>'Model - Positive'!I2</f>
        <v>-88112218.858204395</v>
      </c>
      <c r="I13" s="25">
        <f t="shared" ref="I13:I47" si="1">I12+H13</f>
        <v>-180906934.23331901</v>
      </c>
    </row>
    <row r="14" spans="1:10">
      <c r="A14" t="s">
        <v>25</v>
      </c>
      <c r="B14" s="13">
        <f>'Model - Base'!J3</f>
        <v>24206012.604968131</v>
      </c>
      <c r="C14" s="13">
        <f>'Model - Base'!J110</f>
        <v>140496441.98788247</v>
      </c>
      <c r="D14" s="13">
        <f>'Model - Base'!J2</f>
        <v>-116290429.38291433</v>
      </c>
      <c r="E14" s="25">
        <f t="shared" si="0"/>
        <v>-352900781.77152228</v>
      </c>
      <c r="F14" s="13">
        <f>'Model - Positive'!J3</f>
        <v>47272382.551650099</v>
      </c>
      <c r="G14" s="13">
        <f>'Model - Positive'!J110</f>
        <v>130492290.01493059</v>
      </c>
      <c r="H14" s="13">
        <f>'Model - Positive'!J2</f>
        <v>-83219907.463280499</v>
      </c>
      <c r="I14" s="25">
        <f t="shared" si="1"/>
        <v>-264126841.69659951</v>
      </c>
    </row>
    <row r="15" spans="1:10">
      <c r="A15" t="s">
        <v>26</v>
      </c>
      <c r="B15" s="13">
        <f>'Model - Base'!K3</f>
        <v>28483454.562969118</v>
      </c>
      <c r="C15" s="13">
        <f>'Model - Base'!K110</f>
        <v>143351722.08487761</v>
      </c>
      <c r="D15" s="13">
        <f>'Model - Base'!K2</f>
        <v>-114868267.52190849</v>
      </c>
      <c r="E15" s="25">
        <f t="shared" si="0"/>
        <v>-467769049.29343081</v>
      </c>
      <c r="F15" s="13">
        <f>'Model - Positive'!K3</f>
        <v>58205907.136929564</v>
      </c>
      <c r="G15" s="13">
        <f>'Model - Positive'!K110</f>
        <v>136316943.94013554</v>
      </c>
      <c r="H15" s="13">
        <f>'Model - Positive'!K2</f>
        <v>-78111036.803205967</v>
      </c>
      <c r="I15" s="25">
        <f t="shared" si="1"/>
        <v>-342237878.49980545</v>
      </c>
    </row>
    <row r="16" spans="1:10">
      <c r="A16" t="s">
        <v>27</v>
      </c>
      <c r="B16" s="13">
        <f>'Model - Base'!L3</f>
        <v>32911903.221438404</v>
      </c>
      <c r="C16" s="13">
        <f>'Model - Base'!L110</f>
        <v>146296765.66299957</v>
      </c>
      <c r="D16" s="13">
        <f>'Model - Base'!L2</f>
        <v>-113384862.44156116</v>
      </c>
      <c r="E16" s="25">
        <f t="shared" si="0"/>
        <v>-581153911.73499203</v>
      </c>
      <c r="F16" s="13">
        <f>'Model - Positive'!L3</f>
        <v>69599825.782395303</v>
      </c>
      <c r="G16" s="13">
        <f>'Model - Positive'!L110</f>
        <v>142378495.65119493</v>
      </c>
      <c r="H16" s="13">
        <f>'Model - Positive'!L2</f>
        <v>-72778669.868799627</v>
      </c>
      <c r="I16" s="25">
        <f t="shared" si="1"/>
        <v>-415016548.36860508</v>
      </c>
    </row>
    <row r="17" spans="1:9">
      <c r="A17" t="s">
        <v>28</v>
      </c>
      <c r="B17" s="13">
        <f>'Model - Base'!M3</f>
        <v>37495503.461002752</v>
      </c>
      <c r="C17" s="13">
        <f>'Model - Base'!M110</f>
        <v>149334076.27109373</v>
      </c>
      <c r="D17" s="13">
        <f>'Model - Base'!M2</f>
        <v>-111838572.81009097</v>
      </c>
      <c r="E17" s="25">
        <f t="shared" si="0"/>
        <v>-692992484.54508305</v>
      </c>
      <c r="F17" s="13">
        <f>'Model - Positive'!M3</f>
        <v>81469176.784067959</v>
      </c>
      <c r="G17" s="13">
        <f>'Model - Positive'!M110</f>
        <v>148684848.65072581</v>
      </c>
      <c r="H17" s="13">
        <f>'Model - Positive'!M2</f>
        <v>-67215671.866657853</v>
      </c>
      <c r="I17" s="25">
        <f t="shared" si="1"/>
        <v>-482232220.23526293</v>
      </c>
    </row>
    <row r="18" spans="1:9">
      <c r="A18" t="s">
        <v>29</v>
      </c>
      <c r="B18" s="13">
        <f>'Model - Base'!N3</f>
        <v>42238502.302879289</v>
      </c>
      <c r="C18" s="13">
        <f>'Model - Base'!N110</f>
        <v>152466221.00899443</v>
      </c>
      <c r="D18" s="13">
        <f>'Model - Base'!N2</f>
        <v>-110227718.70611514</v>
      </c>
      <c r="E18" s="25">
        <f t="shared" si="0"/>
        <v>-803220203.25119817</v>
      </c>
      <c r="F18" s="13">
        <f>'Model - Positive'!N3</f>
        <v>93829439.456921279</v>
      </c>
      <c r="G18" s="13">
        <f>'Model - Positive'!N110</f>
        <v>155244144.38105127</v>
      </c>
      <c r="H18" s="13">
        <f>'Model - Positive'!N2</f>
        <v>-61414704.924129993</v>
      </c>
      <c r="I18" s="25">
        <f t="shared" si="1"/>
        <v>-543646925.15939295</v>
      </c>
    </row>
    <row r="19" spans="1:9">
      <c r="A19" t="s">
        <v>30</v>
      </c>
      <c r="B19" s="13">
        <f>'Model - Base'!O3</f>
        <v>47145251.279435955</v>
      </c>
      <c r="C19" s="13">
        <f>'Model - Base'!O110</f>
        <v>155695832.05019933</v>
      </c>
      <c r="D19" s="13">
        <f>'Model - Base'!O2</f>
        <v>-108550580.77076337</v>
      </c>
      <c r="E19" s="25">
        <f t="shared" si="0"/>
        <v>-911770784.02196157</v>
      </c>
      <c r="F19" s="13">
        <f>'Model - Positive'!O3</f>
        <v>106696546.32181668</v>
      </c>
      <c r="G19" s="13">
        <f>'Model - Positive'!O110</f>
        <v>162064768.9799411</v>
      </c>
      <c r="H19" s="13">
        <f>'Model - Positive'!O2</f>
        <v>-55368222.658124417</v>
      </c>
      <c r="I19" s="25">
        <f t="shared" si="1"/>
        <v>-599015147.8175174</v>
      </c>
    </row>
    <row r="20" spans="1:9">
      <c r="A20" t="s">
        <v>31</v>
      </c>
      <c r="B20" s="13">
        <f>'Model - Base'!P3</f>
        <v>52220208.857719153</v>
      </c>
      <c r="C20" s="13">
        <f>'Model - Base'!P110</f>
        <v>159025608.19969022</v>
      </c>
      <c r="D20" s="13">
        <f>'Model - Base'!P2</f>
        <v>-106805399.34197107</v>
      </c>
      <c r="E20" s="25">
        <f t="shared" si="0"/>
        <v>-1018576183.3639326</v>
      </c>
      <c r="F20" s="13">
        <f>'Model - Positive'!P3</f>
        <v>120086895.61684546</v>
      </c>
      <c r="G20" s="13">
        <f>'Model - Positive'!P110</f>
        <v>169155360.22118637</v>
      </c>
      <c r="H20" s="13">
        <f>'Model - Positive'!P2</f>
        <v>-49068464.604340911</v>
      </c>
      <c r="I20" s="25">
        <f t="shared" si="1"/>
        <v>-648083612.42185831</v>
      </c>
    </row>
    <row r="21" spans="1:9">
      <c r="A21" t="s">
        <v>32</v>
      </c>
      <c r="B21" s="13">
        <f>'Model - Base'!Q3</f>
        <v>57467942.917100847</v>
      </c>
      <c r="C21" s="13">
        <f>'Model - Base'!Q110</f>
        <v>162458316.48769093</v>
      </c>
      <c r="D21" s="13">
        <f>'Model - Base'!Q2</f>
        <v>-104990373.57059008</v>
      </c>
      <c r="E21" s="25">
        <f t="shared" si="0"/>
        <v>-1123566556.9345226</v>
      </c>
      <c r="F21" s="13">
        <f>'Model - Positive'!Q3</f>
        <v>134017364.14149575</v>
      </c>
      <c r="G21" s="13">
        <f>'Model - Positive'!Q110</f>
        <v>176524814.64493793</v>
      </c>
      <c r="H21" s="13">
        <f>'Model - Positive'!Q2</f>
        <v>-42507450.503442183</v>
      </c>
      <c r="I21" s="25">
        <f t="shared" si="1"/>
        <v>-690591062.92530048</v>
      </c>
    </row>
    <row r="22" spans="1:9">
      <c r="A22" t="s">
        <v>33</v>
      </c>
      <c r="B22" s="13">
        <f>'Model - Base'!R3</f>
        <v>62893133.282223582</v>
      </c>
      <c r="C22" s="13">
        <f>'Model - Base'!R110</f>
        <v>165996793.80016983</v>
      </c>
      <c r="D22" s="13">
        <f>'Model - Base'!R2</f>
        <v>-103103660.51794624</v>
      </c>
      <c r="E22" s="25">
        <f t="shared" si="0"/>
        <v>-1226670217.4524689</v>
      </c>
      <c r="F22" s="13">
        <f>'Model - Positive'!R3</f>
        <v>148505320.44227821</v>
      </c>
      <c r="G22" s="13">
        <f>'Model - Positive'!R110</f>
        <v>184182294.88286906</v>
      </c>
      <c r="H22" s="13">
        <f>'Model - Positive'!R2</f>
        <v>-35676974.440590858</v>
      </c>
      <c r="I22" s="25">
        <f t="shared" si="1"/>
        <v>-726268037.36589134</v>
      </c>
    </row>
    <row r="23" spans="1:9">
      <c r="A23" t="s">
        <v>34</v>
      </c>
      <c r="B23" s="13">
        <f>'Model - Base'!S3</f>
        <v>68500574.31244567</v>
      </c>
      <c r="C23" s="13">
        <f>'Model - Base'!S110</f>
        <v>169643948.5469141</v>
      </c>
      <c r="D23" s="13">
        <f>'Model - Base'!S2</f>
        <v>-101143374.23446843</v>
      </c>
      <c r="E23" s="25">
        <f t="shared" si="0"/>
        <v>-1327813591.6869373</v>
      </c>
      <c r="F23" s="13">
        <f>'Model - Positive'!S3</f>
        <v>163568638.34866226</v>
      </c>
      <c r="G23" s="13">
        <f>'Model - Positive'!S110</f>
        <v>192137237.18335488</v>
      </c>
      <c r="H23" s="13">
        <f>'Model - Positive'!S2</f>
        <v>-28568598.834692627</v>
      </c>
      <c r="I23" s="25">
        <f t="shared" si="1"/>
        <v>-754836636.20058393</v>
      </c>
    </row>
    <row r="24" spans="1:9">
      <c r="A24" t="s">
        <v>35</v>
      </c>
      <c r="B24" s="13">
        <f>'Model - Base'!T3</f>
        <v>74295177.549015179</v>
      </c>
      <c r="C24" s="13">
        <f>'Model - Base'!T110</f>
        <v>173402762.36801872</v>
      </c>
      <c r="D24" s="13">
        <f>'Model - Base'!T2</f>
        <v>-99107584.819003537</v>
      </c>
      <c r="E24" s="25">
        <f t="shared" si="0"/>
        <v>-1426921176.5059409</v>
      </c>
      <c r="F24" s="13">
        <f>'Model - Positive'!T3</f>
        <v>179225710.86840156</v>
      </c>
      <c r="G24" s="13">
        <f>'Model - Positive'!T110</f>
        <v>200399359.14199656</v>
      </c>
      <c r="H24" s="13">
        <f>'Model - Positive'!T2</f>
        <v>-21173648.273595005</v>
      </c>
      <c r="I24" s="25">
        <f t="shared" si="1"/>
        <v>-776010284.47417891</v>
      </c>
    </row>
    <row r="25" spans="1:9">
      <c r="A25" t="s">
        <v>36</v>
      </c>
      <c r="B25" s="13">
        <f>'Model - Base'!U3</f>
        <v>80281974.421227515</v>
      </c>
      <c r="C25" s="13">
        <f>'Model - Base'!U110</f>
        <v>177276291.87965375</v>
      </c>
      <c r="D25" s="13">
        <f>'Model - Base'!U2</f>
        <v>-96994317.458426237</v>
      </c>
      <c r="E25" s="25">
        <f t="shared" si="0"/>
        <v>-1523915493.9643672</v>
      </c>
      <c r="F25" s="13">
        <f>'Model - Positive'!U3</f>
        <v>195495464.45155823</v>
      </c>
      <c r="G25" s="13">
        <f>'Model - Positive'!U110</f>
        <v>208978667.64295879</v>
      </c>
      <c r="H25" s="13">
        <f>'Model - Positive'!U2</f>
        <v>-13483203.191400558</v>
      </c>
      <c r="I25" s="25">
        <f t="shared" si="1"/>
        <v>-789493487.66557944</v>
      </c>
    </row>
    <row r="26" spans="1:9">
      <c r="A26" t="s">
        <v>37</v>
      </c>
      <c r="B26" s="13">
        <f>'Model - Base'!V3</f>
        <v>86466119.012848079</v>
      </c>
      <c r="C26" s="13">
        <f>'Model - Base'!V110</f>
        <v>181267670.45999128</v>
      </c>
      <c r="D26" s="13">
        <f>'Model - Base'!V2</f>
        <v>-94801551.447143197</v>
      </c>
      <c r="E26" s="25">
        <f t="shared" si="0"/>
        <v>-1618717045.4115105</v>
      </c>
      <c r="F26" s="13">
        <f>'Model - Positive'!V3</f>
        <v>212397373.63277164</v>
      </c>
      <c r="G26" s="13">
        <f>'Model - Positive'!V110</f>
        <v>217885467.01673073</v>
      </c>
      <c r="H26" s="13">
        <f>'Model - Positive'!V2</f>
        <v>-5488093.3839590847</v>
      </c>
      <c r="I26" s="25">
        <f t="shared" si="1"/>
        <v>-794981581.04953849</v>
      </c>
    </row>
    <row r="27" spans="1:9">
      <c r="A27" t="s">
        <v>38</v>
      </c>
      <c r="B27" s="13">
        <f>'Model - Base'!W3</f>
        <v>92852890.890108466</v>
      </c>
      <c r="C27" s="13">
        <f>'Model - Base'!W110</f>
        <v>185380110.07619366</v>
      </c>
      <c r="D27" s="13">
        <f>'Model - Base'!W2</f>
        <v>-92527219.186085194</v>
      </c>
      <c r="E27" s="25">
        <f t="shared" si="0"/>
        <v>-1711244264.5975957</v>
      </c>
      <c r="F27" s="13">
        <f>'Model - Positive'!W3</f>
        <v>229951476.06156021</v>
      </c>
      <c r="G27" s="13">
        <f>'Model - Positive'!W110</f>
        <v>227130367.42006859</v>
      </c>
      <c r="H27" s="13">
        <f>'Model - Positive'!W2</f>
        <v>2821108.6414916217</v>
      </c>
      <c r="I27" s="25">
        <f t="shared" si="1"/>
        <v>-792160472.40804684</v>
      </c>
    </row>
    <row r="28" spans="1:9">
      <c r="A28" t="s">
        <v>39</v>
      </c>
      <c r="B28" s="13">
        <f>'Model - Base'!X3</f>
        <v>99447697.992613614</v>
      </c>
      <c r="C28" s="13">
        <f>'Model - Base'!X110</f>
        <v>189616903.15338406</v>
      </c>
      <c r="D28" s="13">
        <f>'Model - Base'!X2</f>
        <v>-90169205.160770446</v>
      </c>
      <c r="E28" s="25">
        <f t="shared" si="0"/>
        <v>-1801413469.7583661</v>
      </c>
      <c r="F28" s="13">
        <f>'Model - Positive'!X3</f>
        <v>248178387.93069515</v>
      </c>
      <c r="G28" s="13">
        <f>'Model - Positive'!X110</f>
        <v>236724293.44402799</v>
      </c>
      <c r="H28" s="13">
        <f>'Model - Positive'!X2</f>
        <v>11454094.486667156</v>
      </c>
      <c r="I28" s="25">
        <f t="shared" si="1"/>
        <v>-780706377.92137969</v>
      </c>
    </row>
    <row r="29" spans="1:9">
      <c r="A29" t="s">
        <v>40</v>
      </c>
      <c r="B29" s="13">
        <f>'Model - Base'!Y3</f>
        <v>106256079.5885241</v>
      </c>
      <c r="C29" s="13">
        <f>'Model - Base'!Y110</f>
        <v>193981424.48654065</v>
      </c>
      <c r="D29" s="13">
        <f>'Model - Base'!Y2</f>
        <v>-87725344.898016542</v>
      </c>
      <c r="E29" s="25">
        <f t="shared" si="0"/>
        <v>-1889138814.6563826</v>
      </c>
      <c r="F29" s="13">
        <f>'Model - Positive'!Y3</f>
        <v>267099319.81293947</v>
      </c>
      <c r="G29" s="13">
        <f>'Model - Positive'!Y110</f>
        <v>246678492.95614851</v>
      </c>
      <c r="H29" s="13">
        <f>'Model - Positive'!Y2</f>
        <v>20420826.85679096</v>
      </c>
      <c r="I29" s="25">
        <f t="shared" si="1"/>
        <v>-760285551.06458879</v>
      </c>
    </row>
    <row r="30" spans="1:9">
      <c r="A30" t="s">
        <v>41</v>
      </c>
      <c r="B30" s="13">
        <f>'Model - Base'!Z3</f>
        <v>113283709.29540926</v>
      </c>
      <c r="C30" s="13">
        <f>'Model - Base'!Z110</f>
        <v>198477133.19627672</v>
      </c>
      <c r="D30" s="13">
        <f>'Model - Base'!Z2</f>
        <v>-85193423.900867462</v>
      </c>
      <c r="E30" s="25">
        <f t="shared" si="0"/>
        <v>-1974332238.55725</v>
      </c>
      <c r="F30" s="13">
        <f>'Model - Positive'!Z3</f>
        <v>286736092.91670489</v>
      </c>
      <c r="G30" s="13">
        <f>'Model - Positive'!Z110</f>
        <v>257004546.18301123</v>
      </c>
      <c r="H30" s="13">
        <f>'Model - Positive'!Z2</f>
        <v>29731546.733693659</v>
      </c>
      <c r="I30" s="25">
        <f t="shared" si="1"/>
        <v>-730554004.33089519</v>
      </c>
    </row>
    <row r="31" spans="1:9">
      <c r="A31" t="s">
        <v>42</v>
      </c>
      <c r="B31" s="13">
        <f>'Model - Base'!AA3</f>
        <v>120536398.16819364</v>
      </c>
      <c r="C31" s="13">
        <f>'Model - Base'!AA110</f>
        <v>203107574.72949028</v>
      </c>
      <c r="D31" s="13">
        <f>'Model - Base'!AA2</f>
        <v>-82571176.561296642</v>
      </c>
      <c r="E31" s="25">
        <f t="shared" si="0"/>
        <v>-2056903415.1185467</v>
      </c>
      <c r="F31" s="13">
        <f>'Model - Positive'!AA3</f>
        <v>307111155.77145243</v>
      </c>
      <c r="G31" s="13">
        <f>'Model - Positive'!AA110</f>
        <v>267714375.03955406</v>
      </c>
      <c r="H31" s="13">
        <f>'Model - Positive'!AA2</f>
        <v>39396780.731898367</v>
      </c>
      <c r="I31" s="25">
        <f t="shared" si="1"/>
        <v>-691157223.59899688</v>
      </c>
    </row>
    <row r="32" spans="1:9">
      <c r="A32" t="s">
        <v>43</v>
      </c>
      <c r="B32" s="13">
        <f>'Model - Base'!AB3</f>
        <v>128020097.85565247</v>
      </c>
      <c r="C32" s="13">
        <f>'Model - Base'!AB110</f>
        <v>207876382.90588766</v>
      </c>
      <c r="D32" s="13">
        <f>'Model - Base'!AB2</f>
        <v>-79856285.050235197</v>
      </c>
      <c r="E32" s="25">
        <f t="shared" si="0"/>
        <v>-2136759700.168782</v>
      </c>
      <c r="F32" s="13">
        <f>'Model - Positive'!AB3</f>
        <v>328247601.35393131</v>
      </c>
      <c r="G32" s="13">
        <f>'Model - Positive'!AB110</f>
        <v>278820252.71169263</v>
      </c>
      <c r="H32" s="13">
        <f>'Model - Positive'!AB2</f>
        <v>49427348.642238677</v>
      </c>
      <c r="I32" s="25">
        <f t="shared" si="1"/>
        <v>-641729874.95675826</v>
      </c>
    </row>
    <row r="33" spans="1:9">
      <c r="A33" t="s">
        <v>44</v>
      </c>
      <c r="B33" s="13">
        <f>'Model - Base'!AC3</f>
        <v>135740903.82694072</v>
      </c>
      <c r="C33" s="13">
        <f>'Model - Base'!AC110</f>
        <v>212787282.01140893</v>
      </c>
      <c r="D33" s="13">
        <f>'Model - Base'!AC2</f>
        <v>-77046378.18446821</v>
      </c>
      <c r="E33" s="25">
        <f t="shared" si="0"/>
        <v>-2213806078.35325</v>
      </c>
      <c r="F33" s="13">
        <f>'Model - Positive'!AC3</f>
        <v>350169184.66663897</v>
      </c>
      <c r="G33" s="13">
        <f>'Model - Positive'!AC110</f>
        <v>290334813.49897063</v>
      </c>
      <c r="H33" s="13">
        <f>'Model - Positive'!AC2</f>
        <v>59834371.167668343</v>
      </c>
      <c r="I33" s="25">
        <f t="shared" si="1"/>
        <v>-581895503.78908992</v>
      </c>
    </row>
    <row r="34" spans="1:9">
      <c r="A34" t="s">
        <v>45</v>
      </c>
      <c r="B34" s="13">
        <f>'Model - Base'!AD3</f>
        <v>143705058.66967258</v>
      </c>
      <c r="C34" s="13">
        <f>'Model - Base'!AD110</f>
        <v>217844088.93960407</v>
      </c>
      <c r="D34" s="13">
        <f>'Model - Base'!AD2</f>
        <v>-74139030.269931495</v>
      </c>
      <c r="E34" s="25">
        <f t="shared" si="0"/>
        <v>-2287945108.6231813</v>
      </c>
      <c r="F34" s="13">
        <f>'Model - Positive'!AD3</f>
        <v>372900340.78016722</v>
      </c>
      <c r="G34" s="13">
        <f>'Model - Positive'!AD110</f>
        <v>302271062.92413384</v>
      </c>
      <c r="H34" s="13">
        <f>'Model - Positive'!AD2</f>
        <v>70629277.856033385</v>
      </c>
      <c r="I34" s="25">
        <f t="shared" si="1"/>
        <v>-511266225.93305653</v>
      </c>
    </row>
    <row r="35" spans="1:9">
      <c r="A35" t="s">
        <v>46</v>
      </c>
      <c r="B35" s="13">
        <f>'Model - Base'!AE3</f>
        <v>151918955.46110094</v>
      </c>
      <c r="C35" s="13">
        <f>'Model - Base'!AE110</f>
        <v>223050715.38203341</v>
      </c>
      <c r="D35" s="13">
        <f>'Model - Base'!AE2</f>
        <v>-71131759.920932472</v>
      </c>
      <c r="E35" s="25">
        <f t="shared" si="0"/>
        <v>-2359076868.5441136</v>
      </c>
      <c r="F35" s="13">
        <f>'Model - Positive'!AE3</f>
        <v>396466203.35140002</v>
      </c>
      <c r="G35" s="13">
        <f>'Model - Positive'!AE110</f>
        <v>314642388.11670554</v>
      </c>
      <c r="H35" s="13">
        <f>'Model - Positive'!AE2</f>
        <v>81823815.234694481</v>
      </c>
      <c r="I35" s="25">
        <f t="shared" si="1"/>
        <v>-429442410.69836205</v>
      </c>
    </row>
    <row r="36" spans="1:9">
      <c r="A36" t="s">
        <v>47</v>
      </c>
      <c r="B36" s="13">
        <f>'Model - Base'!AF3</f>
        <v>160389141.21397993</v>
      </c>
      <c r="C36" s="13">
        <f>'Model - Base'!AF110</f>
        <v>228411170.06878895</v>
      </c>
      <c r="D36" s="13">
        <f>'Model - Base'!AF2</f>
        <v>-68022028.854809016</v>
      </c>
      <c r="E36" s="25">
        <f t="shared" si="0"/>
        <v>-2427098897.3989224</v>
      </c>
      <c r="F36" s="13">
        <f>'Model - Positive'!AF3</f>
        <v>420892623.62983394</v>
      </c>
      <c r="G36" s="13">
        <f>'Model - Positive'!AF110</f>
        <v>327462568.47782439</v>
      </c>
      <c r="H36" s="13">
        <f>'Model - Positive'!AF2</f>
        <v>93430055.152009547</v>
      </c>
      <c r="I36" s="25">
        <f t="shared" si="1"/>
        <v>-336012355.54635251</v>
      </c>
    </row>
    <row r="37" spans="1:9">
      <c r="A37" t="s">
        <v>48</v>
      </c>
      <c r="B37" s="13">
        <f>'Model - Base'!AG3</f>
        <v>169122320.39872417</v>
      </c>
      <c r="C37" s="13">
        <f>'Model - Base'!AG110</f>
        <v>233929561.06025603</v>
      </c>
      <c r="D37" s="13">
        <f>'Model - Base'!AG2</f>
        <v>-64807240.661531866</v>
      </c>
      <c r="E37" s="25">
        <f t="shared" si="0"/>
        <v>-2491906138.0604544</v>
      </c>
      <c r="F37" s="13">
        <f>'Model - Positive'!AG3</f>
        <v>446206189.96459365</v>
      </c>
      <c r="G37" s="13">
        <f>'Model - Positive'!AG110</f>
        <v>340745786.63379413</v>
      </c>
      <c r="H37" s="13">
        <f>'Model - Positive'!AG2</f>
        <v>105460403.33079952</v>
      </c>
      <c r="I37" s="25">
        <f t="shared" si="1"/>
        <v>-230551952.21555299</v>
      </c>
    </row>
    <row r="38" spans="1:9">
      <c r="A38" t="s">
        <v>49</v>
      </c>
      <c r="B38" s="13">
        <f>'Model - Base'!AH3</f>
        <v>178125358.54351676</v>
      </c>
      <c r="C38" s="13">
        <f>'Model - Base'!AH110</f>
        <v>239610098.09126127</v>
      </c>
      <c r="D38" s="13">
        <f>'Model - Base'!AH2</f>
        <v>-61484739.547744513</v>
      </c>
      <c r="E38" s="25">
        <f t="shared" si="0"/>
        <v>-2553390877.6081991</v>
      </c>
      <c r="F38" s="13">
        <f>'Model - Positive'!AH3</f>
        <v>472434247.82504594</v>
      </c>
      <c r="G38" s="13">
        <f>'Model - Positive'!AH110</f>
        <v>354506639.68598998</v>
      </c>
      <c r="H38" s="13">
        <f>'Model - Positive'!AH2</f>
        <v>117927608.13905597</v>
      </c>
      <c r="I38" s="25">
        <f t="shared" si="1"/>
        <v>-112624344.07649702</v>
      </c>
    </row>
    <row r="39" spans="1:9">
      <c r="A39" t="s">
        <v>50</v>
      </c>
      <c r="B39" s="13">
        <f>'Model - Base'!AI3</f>
        <v>187405285.914051</v>
      </c>
      <c r="C39" s="13">
        <f>'Model - Base'!AI110</f>
        <v>245457094.96877751</v>
      </c>
      <c r="D39" s="13">
        <f>'Model - Base'!AI2</f>
        <v>-58051809.054726511</v>
      </c>
      <c r="E39" s="25">
        <f t="shared" si="0"/>
        <v>-2611442686.6629257</v>
      </c>
      <c r="F39" s="13">
        <f>'Model - Positive'!AI3</f>
        <v>499604920.34823537</v>
      </c>
      <c r="G39" s="13">
        <f>'Model - Positive'!AI110</f>
        <v>368760150.76496553</v>
      </c>
      <c r="H39" s="13">
        <f>'Model - Positive'!AI2</f>
        <v>130844769.58326983</v>
      </c>
      <c r="I39" s="25">
        <f t="shared" si="1"/>
        <v>18220425.506772816</v>
      </c>
    </row>
    <row r="40" spans="1:9">
      <c r="A40" t="s">
        <v>51</v>
      </c>
      <c r="B40" s="13">
        <f>'Model - Base'!AJ3</f>
        <v>196969301.27462667</v>
      </c>
      <c r="C40" s="13">
        <f>'Model - Base'!AJ110</f>
        <v>251474972.02438095</v>
      </c>
      <c r="D40" s="13">
        <f>'Model - Base'!AJ2</f>
        <v>-54505670.74975428</v>
      </c>
      <c r="E40" s="25">
        <f t="shared" si="0"/>
        <v>-2665948357.4126801</v>
      </c>
      <c r="F40" s="13">
        <f>'Model - Positive'!AJ3</f>
        <v>527747129.42669863</v>
      </c>
      <c r="G40" s="13">
        <f>'Model - Positive'!AJ110</f>
        <v>383521780.89680737</v>
      </c>
      <c r="H40" s="13">
        <f>'Model - Positive'!AJ2</f>
        <v>144225348.52989125</v>
      </c>
      <c r="I40" s="25">
        <f t="shared" si="1"/>
        <v>162445774.03666407</v>
      </c>
    </row>
    <row r="41" spans="1:9">
      <c r="A41" t="s">
        <v>52</v>
      </c>
      <c r="B41" s="13">
        <f>'Model - Base'!AK3</f>
        <v>206824775.73235765</v>
      </c>
      <c r="C41" s="13">
        <f>'Model - Base'!AK110</f>
        <v>257668258.62268278</v>
      </c>
      <c r="D41" s="13">
        <f>'Model - Base'!AK2</f>
        <v>-50843482.890325129</v>
      </c>
      <c r="E41" s="25">
        <f t="shared" si="0"/>
        <v>-2716791840.3030052</v>
      </c>
      <c r="F41" s="13">
        <f>'Model - Positive'!AK3</f>
        <v>556890617.35056531</v>
      </c>
      <c r="G41" s="13">
        <f>'Model - Positive'!AK110</f>
        <v>398807441.18999577</v>
      </c>
      <c r="H41" s="13">
        <f>'Model - Positive'!AK2</f>
        <v>158083176.16056955</v>
      </c>
      <c r="I41" s="25">
        <f t="shared" si="1"/>
        <v>320528950.19723362</v>
      </c>
    </row>
    <row r="42" spans="1:9">
      <c r="A42" t="s">
        <v>53</v>
      </c>
      <c r="B42" s="13">
        <f>'Model - Base'!AL3</f>
        <v>216979256.66628891</v>
      </c>
      <c r="C42" s="13">
        <f>'Model - Base'!AL110</f>
        <v>264041595.72698575</v>
      </c>
      <c r="D42" s="13">
        <f>'Model - Base'!AL2</f>
        <v>-47062339.06069684</v>
      </c>
      <c r="E42" s="25">
        <f t="shared" si="0"/>
        <v>-2763854179.3637018</v>
      </c>
      <c r="F42" s="13">
        <f>'Model - Positive'!AL3</f>
        <v>587065969.01819599</v>
      </c>
      <c r="G42" s="13">
        <f>'Model - Positive'!AL110</f>
        <v>414633505.35124284</v>
      </c>
      <c r="H42" s="13">
        <f>'Model - Positive'!AL2</f>
        <v>172432463.66695315</v>
      </c>
      <c r="I42" s="25">
        <f t="shared" si="1"/>
        <v>492961413.86418676</v>
      </c>
    </row>
    <row r="43" spans="1:9">
      <c r="A43" t="s">
        <v>54</v>
      </c>
      <c r="B43" s="13">
        <f>'Model - Base'!AM3</f>
        <v>227440471.74325216</v>
      </c>
      <c r="C43" s="13">
        <f>'Model - Base'!AM110</f>
        <v>270599738.52344048</v>
      </c>
      <c r="D43" s="13">
        <f>'Model - Base'!AM2</f>
        <v>-43159266.780188322</v>
      </c>
      <c r="E43" s="25">
        <f t="shared" si="0"/>
        <v>-2807013446.1438904</v>
      </c>
      <c r="F43" s="13">
        <f>'Model - Positive'!AM3</f>
        <v>618304634.72997785</v>
      </c>
      <c r="G43" s="13">
        <f>'Model - Positive'!AM110</f>
        <v>431016822.53900242</v>
      </c>
      <c r="H43" s="13">
        <f>'Model - Positive'!AM2</f>
        <v>187287812.19097543</v>
      </c>
      <c r="I43" s="25">
        <f t="shared" si="1"/>
        <v>680249226.05516219</v>
      </c>
    </row>
    <row r="44" spans="1:9">
      <c r="A44" t="s">
        <v>55</v>
      </c>
      <c r="B44" s="13">
        <f>'Model - Base'!AN3</f>
        <v>238216333.02233446</v>
      </c>
      <c r="C44" s="13">
        <f>'Model - Base'!AN110</f>
        <v>277347559.10500693</v>
      </c>
      <c r="D44" s="13">
        <f>'Model - Base'!AN2</f>
        <v>-39131226.082672477</v>
      </c>
      <c r="E44" s="25">
        <f t="shared" si="0"/>
        <v>-2846144672.226563</v>
      </c>
      <c r="F44" s="13">
        <f>'Model - Positive'!AN3</f>
        <v>650638953.58025575</v>
      </c>
      <c r="G44" s="13">
        <f>'Model - Positive'!AN110</f>
        <v>447974730.56356621</v>
      </c>
      <c r="H44" s="13">
        <f>'Model - Positive'!AN2</f>
        <v>202664223.01668954</v>
      </c>
      <c r="I44" s="25">
        <f t="shared" si="1"/>
        <v>882913449.07185173</v>
      </c>
    </row>
    <row r="45" spans="1:9">
      <c r="A45" t="s">
        <v>56</v>
      </c>
      <c r="B45" s="13">
        <f>'Model - Base'!AO3</f>
        <v>249314941.14987218</v>
      </c>
      <c r="C45" s="13">
        <f>'Model - Base'!AO110</f>
        <v>284290049.216555</v>
      </c>
      <c r="D45" s="13">
        <f>'Model - Base'!AO2</f>
        <v>-34975108.066682816</v>
      </c>
      <c r="E45" s="25">
        <f t="shared" si="0"/>
        <v>-2881119780.2932458</v>
      </c>
      <c r="F45" s="13">
        <f>'Model - Positive'!AO3</f>
        <v>684102177.4627775</v>
      </c>
      <c r="G45" s="13">
        <f>'Model - Positive'!AO110</f>
        <v>465525069.44290614</v>
      </c>
      <c r="H45" s="13">
        <f>'Model - Positive'!AO2</f>
        <v>218577108.01987135</v>
      </c>
      <c r="I45" s="25">
        <f t="shared" si="1"/>
        <v>1101490557.091723</v>
      </c>
    </row>
    <row r="46" spans="1:9">
      <c r="A46" t="s">
        <v>57</v>
      </c>
      <c r="B46" s="13">
        <f>'Model - Base'!AP3</f>
        <v>260744589.64691982</v>
      </c>
      <c r="C46" s="13">
        <f>'Model - Base'!AP110</f>
        <v>291432323.06246465</v>
      </c>
      <c r="D46" s="13">
        <f>'Model - Base'!AP2</f>
        <v>-30687733.415544838</v>
      </c>
      <c r="E46" s="25">
        <f t="shared" si="0"/>
        <v>-2911807513.7087908</v>
      </c>
      <c r="F46" s="13">
        <f>'Model - Positive'!AP3</f>
        <v>718728495.70538962</v>
      </c>
      <c r="G46" s="13">
        <f>'Model - Positive'!AP110</f>
        <v>483686195.32363886</v>
      </c>
      <c r="H46" s="13">
        <f>'Model - Positive'!AP2</f>
        <v>235042300.38175076</v>
      </c>
      <c r="I46" s="25">
        <f t="shared" si="1"/>
        <v>1336532857.4734738</v>
      </c>
    </row>
    <row r="47" spans="1:9">
      <c r="A47" t="s">
        <v>58</v>
      </c>
      <c r="B47" s="13">
        <f>'Model - Base'!AQ3</f>
        <v>272513769.29119182</v>
      </c>
      <c r="C47" s="13">
        <f>'Model - Base'!AQ110</f>
        <v>298779620.17812014</v>
      </c>
      <c r="D47" s="13">
        <f>'Model - Base'!AQ2</f>
        <v>-26265850.88692832</v>
      </c>
      <c r="E47" s="25">
        <f t="shared" si="0"/>
        <v>-2938073364.5957193</v>
      </c>
      <c r="F47" s="13">
        <f>'Model - Positive'!AQ3</f>
        <v>754553060.35015023</v>
      </c>
      <c r="G47" s="13">
        <f>'Model - Positive'!AQ110</f>
        <v>502476994.77675879</v>
      </c>
      <c r="H47" s="13">
        <f>'Model - Positive'!AQ2</f>
        <v>252076065.57339144</v>
      </c>
      <c r="I47" s="25">
        <f t="shared" si="1"/>
        <v>1588608923.0468652</v>
      </c>
    </row>
    <row r="49" spans="1:4">
      <c r="A49" s="14" t="s">
        <v>59</v>
      </c>
      <c r="B49" s="14"/>
      <c r="C49" s="14"/>
      <c r="D49" s="14"/>
    </row>
    <row r="50" spans="1:4">
      <c r="A50" t="s">
        <v>60</v>
      </c>
    </row>
    <row r="51" spans="1:4">
      <c r="A51" t="s">
        <v>61</v>
      </c>
    </row>
    <row r="52" spans="1:4">
      <c r="A52" t="s">
        <v>62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1302-7E56-464B-87F1-CD8B78B31E20}">
  <dimension ref="A1:G139"/>
  <sheetViews>
    <sheetView zoomScale="25" workbookViewId="0">
      <pane ySplit="2" topLeftCell="A21" activePane="bottomLeft" state="frozen"/>
      <selection pane="bottomLeft" activeCell="D34" sqref="D34"/>
    </sheetView>
  </sheetViews>
  <sheetFormatPr baseColWidth="10" defaultRowHeight="15"/>
  <cols>
    <col min="1" max="1" width="36.6640625" customWidth="1"/>
    <col min="2" max="2" width="33.33203125" style="34" customWidth="1"/>
    <col min="3" max="3" width="26.6640625" style="34" customWidth="1"/>
    <col min="4" max="4" width="43.33203125" style="34" customWidth="1"/>
    <col min="5" max="5" width="40" style="34" customWidth="1"/>
    <col min="6" max="7" width="23.33203125" customWidth="1"/>
  </cols>
  <sheetData>
    <row r="1" spans="1:7" ht="17">
      <c r="A1" s="32">
        <v>383.4</v>
      </c>
      <c r="B1" s="32"/>
      <c r="C1" s="32"/>
      <c r="D1" s="32"/>
      <c r="E1" s="32"/>
      <c r="F1" s="32"/>
      <c r="G1" s="32"/>
    </row>
    <row r="2" spans="1:7">
      <c r="A2" s="33" t="s">
        <v>514</v>
      </c>
      <c r="B2" s="33"/>
      <c r="C2" s="33"/>
      <c r="D2" s="33"/>
      <c r="E2" s="33"/>
      <c r="F2" s="33"/>
      <c r="G2" s="33"/>
    </row>
    <row r="4" spans="1:7" ht="22" customHeight="1">
      <c r="A4" s="26" t="s">
        <v>515</v>
      </c>
    </row>
    <row r="5" spans="1:7" ht="32">
      <c r="A5" s="27" t="s">
        <v>516</v>
      </c>
      <c r="B5" s="34" t="s">
        <v>517</v>
      </c>
    </row>
    <row r="6" spans="1:7" ht="32">
      <c r="A6" s="27" t="s">
        <v>518</v>
      </c>
      <c r="B6" s="34" t="s">
        <v>519</v>
      </c>
    </row>
    <row r="7" spans="1:7" ht="16">
      <c r="A7" s="27" t="s">
        <v>520</v>
      </c>
      <c r="B7" s="34" t="s">
        <v>521</v>
      </c>
    </row>
    <row r="9" spans="1:7" ht="22" customHeight="1">
      <c r="A9" s="26" t="s">
        <v>522</v>
      </c>
    </row>
    <row r="10" spans="1:7" ht="32">
      <c r="A10" s="27" t="s">
        <v>523</v>
      </c>
      <c r="B10" s="34" t="s">
        <v>524</v>
      </c>
    </row>
    <row r="11" spans="1:7" ht="32">
      <c r="A11" s="27" t="s">
        <v>525</v>
      </c>
      <c r="B11" s="34" t="s">
        <v>526</v>
      </c>
    </row>
    <row r="13" spans="1:7" ht="16">
      <c r="A13" s="28" t="s">
        <v>527</v>
      </c>
      <c r="B13" s="35" t="s">
        <v>528</v>
      </c>
      <c r="C13" s="35" t="s">
        <v>529</v>
      </c>
      <c r="D13" s="35" t="s">
        <v>530</v>
      </c>
    </row>
    <row r="14" spans="1:7">
      <c r="A14" t="s">
        <v>531</v>
      </c>
      <c r="B14" s="36">
        <v>0.28000000000000003</v>
      </c>
      <c r="C14" s="36">
        <v>0.72</v>
      </c>
      <c r="D14" s="34">
        <f>ROUND(145833*B14*C14,0)</f>
        <v>29400</v>
      </c>
    </row>
    <row r="15" spans="1:7">
      <c r="A15" t="s">
        <v>532</v>
      </c>
      <c r="B15" s="36">
        <v>0.25</v>
      </c>
      <c r="C15" s="36">
        <v>0.66</v>
      </c>
      <c r="D15" s="34">
        <f>ROUND(145833*B15*C15,0)</f>
        <v>24062</v>
      </c>
    </row>
    <row r="16" spans="1:7">
      <c r="A16" t="s">
        <v>533</v>
      </c>
      <c r="B16" s="36">
        <v>0.25</v>
      </c>
      <c r="C16" s="36">
        <v>0.63</v>
      </c>
      <c r="D16" s="34">
        <f>ROUND(145833*B16*C16,0)</f>
        <v>22969</v>
      </c>
    </row>
    <row r="17" spans="1:4">
      <c r="A17" t="s">
        <v>534</v>
      </c>
      <c r="B17" s="36">
        <v>0.22</v>
      </c>
      <c r="C17" s="36">
        <v>0.57999999999999996</v>
      </c>
      <c r="D17" s="34">
        <f>ROUND(145833*B17*C17,0)</f>
        <v>18608</v>
      </c>
    </row>
    <row r="18" spans="1:4">
      <c r="A18" s="27" t="s">
        <v>535</v>
      </c>
      <c r="B18" s="37">
        <f>SUM(B14:B17)</f>
        <v>1</v>
      </c>
      <c r="D18" s="38">
        <f>SUM(D14:D17)</f>
        <v>95039</v>
      </c>
    </row>
    <row r="19" spans="1:4" ht="32">
      <c r="A19" s="27" t="s">
        <v>536</v>
      </c>
      <c r="B19" s="34" t="s">
        <v>537</v>
      </c>
    </row>
    <row r="21" spans="1:4" ht="22" customHeight="1">
      <c r="A21" s="26" t="s">
        <v>538</v>
      </c>
    </row>
    <row r="22" spans="1:4" ht="32">
      <c r="A22" s="27" t="s">
        <v>523</v>
      </c>
      <c r="B22" s="34" t="s">
        <v>539</v>
      </c>
    </row>
    <row r="23" spans="1:4" ht="32">
      <c r="A23" s="27" t="s">
        <v>540</v>
      </c>
      <c r="B23" s="34" t="s">
        <v>541</v>
      </c>
    </row>
    <row r="25" spans="1:4" ht="16">
      <c r="A25" s="28" t="s">
        <v>542</v>
      </c>
      <c r="B25" s="35" t="s">
        <v>543</v>
      </c>
      <c r="C25" s="35" t="s">
        <v>544</v>
      </c>
      <c r="D25" s="35" t="s">
        <v>545</v>
      </c>
    </row>
    <row r="26" spans="1:4" ht="32">
      <c r="A26" t="s">
        <v>546</v>
      </c>
      <c r="B26" s="36">
        <v>0.72</v>
      </c>
      <c r="C26" s="36">
        <v>0.72</v>
      </c>
      <c r="D26" s="34" t="s">
        <v>547</v>
      </c>
    </row>
    <row r="27" spans="1:4" ht="16">
      <c r="A27" t="s">
        <v>548</v>
      </c>
      <c r="B27" s="36">
        <v>0.62</v>
      </c>
      <c r="C27" s="36">
        <v>0.62</v>
      </c>
      <c r="D27" s="34" t="s">
        <v>549</v>
      </c>
    </row>
    <row r="28" spans="1:4" ht="16">
      <c r="A28" t="s">
        <v>550</v>
      </c>
      <c r="B28" s="36">
        <v>0.28000000000000003</v>
      </c>
      <c r="C28" s="36">
        <v>0.35</v>
      </c>
      <c r="D28" s="34" t="s">
        <v>551</v>
      </c>
    </row>
    <row r="29" spans="1:4" ht="16">
      <c r="A29" t="s">
        <v>552</v>
      </c>
      <c r="B29" s="36">
        <v>0.56000000000000005</v>
      </c>
      <c r="C29" s="36">
        <v>0.62719999999999998</v>
      </c>
      <c r="D29" s="34" t="s">
        <v>553</v>
      </c>
    </row>
    <row r="30" spans="1:4" ht="16">
      <c r="A30" t="s">
        <v>554</v>
      </c>
      <c r="B30" s="36">
        <v>0.78</v>
      </c>
      <c r="C30" s="36">
        <v>0.81899999999999995</v>
      </c>
      <c r="D30" s="34" t="s">
        <v>555</v>
      </c>
    </row>
    <row r="31" spans="1:4" ht="16">
      <c r="A31" t="s">
        <v>556</v>
      </c>
      <c r="B31" s="36">
        <v>0.9</v>
      </c>
      <c r="C31" s="36">
        <v>0.95399999999999996</v>
      </c>
      <c r="D31" s="34" t="s">
        <v>557</v>
      </c>
    </row>
    <row r="32" spans="1:4" ht="16">
      <c r="A32" t="s">
        <v>558</v>
      </c>
      <c r="B32" s="36">
        <v>0.08</v>
      </c>
      <c r="C32" s="36">
        <v>0.08</v>
      </c>
      <c r="D32" s="34" t="s">
        <v>559</v>
      </c>
    </row>
    <row r="34" spans="1:4">
      <c r="A34" s="27" t="s">
        <v>560</v>
      </c>
      <c r="B34" s="39">
        <f>B26*B27*B28*B29*B30*B31*B32</f>
        <v>3.9309484032000004E-3</v>
      </c>
    </row>
    <row r="35" spans="1:4">
      <c r="A35" s="27" t="s">
        <v>561</v>
      </c>
      <c r="B35" s="39">
        <f>C26*C27*C28*C29*C30*C31*C32</f>
        <v>6.1252038018662393E-3</v>
      </c>
    </row>
    <row r="37" spans="1:4" ht="22" customHeight="1">
      <c r="A37" s="26" t="s">
        <v>562</v>
      </c>
    </row>
    <row r="38" spans="1:4" ht="32">
      <c r="A38" s="27" t="s">
        <v>523</v>
      </c>
      <c r="B38" s="34" t="s">
        <v>563</v>
      </c>
    </row>
    <row r="40" spans="1:4" ht="16">
      <c r="A40" s="28" t="s">
        <v>564</v>
      </c>
      <c r="B40" s="35" t="s">
        <v>565</v>
      </c>
      <c r="C40" s="35" t="s">
        <v>566</v>
      </c>
      <c r="D40" s="35" t="s">
        <v>567</v>
      </c>
    </row>
    <row r="41" spans="1:4" ht="16">
      <c r="A41" t="s">
        <v>568</v>
      </c>
      <c r="B41" s="36">
        <v>0.28000000000000003</v>
      </c>
      <c r="C41" s="36">
        <v>0.35</v>
      </c>
      <c r="D41" s="34" t="s">
        <v>569</v>
      </c>
    </row>
    <row r="42" spans="1:4" ht="16">
      <c r="A42" t="s">
        <v>570</v>
      </c>
      <c r="B42" s="36">
        <v>0.08</v>
      </c>
      <c r="C42" s="36">
        <v>0.1</v>
      </c>
      <c r="D42" s="34" t="s">
        <v>571</v>
      </c>
    </row>
    <row r="43" spans="1:4" ht="16">
      <c r="A43" t="s">
        <v>572</v>
      </c>
      <c r="B43" s="36">
        <v>0.56000000000000005</v>
      </c>
      <c r="C43" s="36">
        <v>0.62719999999999998</v>
      </c>
      <c r="D43" s="34" t="s">
        <v>573</v>
      </c>
    </row>
    <row r="44" spans="1:4" ht="16">
      <c r="A44" t="s">
        <v>574</v>
      </c>
      <c r="B44" s="40">
        <v>2.5000000000000001E-2</v>
      </c>
      <c r="C44" s="40">
        <v>3.3750000000000002E-2</v>
      </c>
      <c r="D44" s="34" t="s">
        <v>575</v>
      </c>
    </row>
    <row r="45" spans="1:4" ht="16">
      <c r="A45" t="s">
        <v>576</v>
      </c>
      <c r="B45" s="40">
        <v>4.0000000000000001E-3</v>
      </c>
      <c r="C45" s="40">
        <v>3.0000000000000001E-3</v>
      </c>
      <c r="D45" s="34" t="s">
        <v>577</v>
      </c>
    </row>
    <row r="46" spans="1:4" ht="16">
      <c r="A46" t="s">
        <v>578</v>
      </c>
      <c r="B46" s="41">
        <v>35500</v>
      </c>
      <c r="C46" s="41">
        <v>38340</v>
      </c>
      <c r="D46" s="34" t="s">
        <v>579</v>
      </c>
    </row>
    <row r="47" spans="1:4" ht="16">
      <c r="A47" t="s">
        <v>219</v>
      </c>
      <c r="B47" s="41">
        <v>20500</v>
      </c>
      <c r="C47" s="41">
        <v>19475</v>
      </c>
      <c r="D47" s="34" t="s">
        <v>580</v>
      </c>
    </row>
    <row r="48" spans="1:4" ht="64">
      <c r="A48" s="29" t="s">
        <v>581</v>
      </c>
      <c r="B48" s="42" t="s">
        <v>582</v>
      </c>
    </row>
    <row r="50" spans="1:7" ht="22" customHeight="1">
      <c r="A50" s="26" t="s">
        <v>583</v>
      </c>
    </row>
    <row r="51" spans="1:7" ht="32">
      <c r="A51" s="29" t="s">
        <v>581</v>
      </c>
      <c r="B51" s="42" t="s">
        <v>584</v>
      </c>
    </row>
    <row r="53" spans="1:7" ht="16">
      <c r="A53" s="28" t="s">
        <v>14</v>
      </c>
      <c r="B53" s="35" t="s">
        <v>585</v>
      </c>
      <c r="C53" s="35" t="s">
        <v>586</v>
      </c>
      <c r="D53" s="35" t="s">
        <v>587</v>
      </c>
      <c r="E53" s="35" t="s">
        <v>588</v>
      </c>
      <c r="F53" s="28" t="s">
        <v>589</v>
      </c>
      <c r="G53" s="28" t="s">
        <v>590</v>
      </c>
    </row>
    <row r="54" spans="1:7">
      <c r="A54" t="str">
        <f>Graphs!A12</f>
        <v>Month 1</v>
      </c>
      <c r="B54" s="34">
        <f>ROUND(Graphs!B12/1000000,2)</f>
        <v>16.09</v>
      </c>
      <c r="C54" s="34">
        <f>ROUND(Graphs!F12/1000000,2)</f>
        <v>26.73</v>
      </c>
      <c r="D54" s="34">
        <f>ROUND(Graphs!D12/1000000,2)</f>
        <v>-118.96</v>
      </c>
      <c r="E54" s="34">
        <f>ROUND(Graphs!H12/1000000,2)</f>
        <v>-92.79</v>
      </c>
      <c r="F54">
        <f>ROUND(Graphs!E12/1000000,2)</f>
        <v>-118.96</v>
      </c>
      <c r="G54">
        <f>ROUND(Graphs!I12/1000000,2)</f>
        <v>-92.79</v>
      </c>
    </row>
    <row r="55" spans="1:7">
      <c r="A55" t="str">
        <f>Graphs!A13</f>
        <v>Month 2</v>
      </c>
      <c r="B55" s="34">
        <f>ROUND(Graphs!B13/1000000,2)</f>
        <v>20.079999999999998</v>
      </c>
      <c r="C55" s="34">
        <f>ROUND(Graphs!F13/1000000,2)</f>
        <v>36.78</v>
      </c>
      <c r="D55" s="34">
        <f>ROUND(Graphs!D13/1000000,2)</f>
        <v>-117.65</v>
      </c>
      <c r="E55" s="34">
        <f>ROUND(Graphs!H13/1000000,2)</f>
        <v>-88.11</v>
      </c>
      <c r="F55">
        <f>ROUND(Graphs!E13/1000000,2)</f>
        <v>-236.61</v>
      </c>
      <c r="G55">
        <f>ROUND(Graphs!I13/1000000,2)</f>
        <v>-180.91</v>
      </c>
    </row>
    <row r="56" spans="1:7">
      <c r="A56" t="str">
        <f>Graphs!A14</f>
        <v>Month 3</v>
      </c>
      <c r="B56" s="34">
        <f>ROUND(Graphs!B14/1000000,2)</f>
        <v>24.21</v>
      </c>
      <c r="C56" s="34">
        <f>ROUND(Graphs!F14/1000000,2)</f>
        <v>47.27</v>
      </c>
      <c r="D56" s="34">
        <f>ROUND(Graphs!D14/1000000,2)</f>
        <v>-116.29</v>
      </c>
      <c r="E56" s="34">
        <f>ROUND(Graphs!H14/1000000,2)</f>
        <v>-83.22</v>
      </c>
      <c r="F56">
        <f>ROUND(Graphs!E14/1000000,2)</f>
        <v>-352.9</v>
      </c>
      <c r="G56">
        <f>ROUND(Graphs!I14/1000000,2)</f>
        <v>-264.13</v>
      </c>
    </row>
    <row r="57" spans="1:7">
      <c r="A57" t="str">
        <f>Graphs!A15</f>
        <v>Month 4</v>
      </c>
      <c r="B57" s="34">
        <f>ROUND(Graphs!B15/1000000,2)</f>
        <v>28.48</v>
      </c>
      <c r="C57" s="34">
        <f>ROUND(Graphs!F15/1000000,2)</f>
        <v>58.21</v>
      </c>
      <c r="D57" s="34">
        <f>ROUND(Graphs!D15/1000000,2)</f>
        <v>-114.87</v>
      </c>
      <c r="E57" s="34">
        <f>ROUND(Graphs!H15/1000000,2)</f>
        <v>-78.11</v>
      </c>
      <c r="F57">
        <f>ROUND(Graphs!E15/1000000,2)</f>
        <v>-467.77</v>
      </c>
      <c r="G57">
        <f>ROUND(Graphs!I15/1000000,2)</f>
        <v>-342.24</v>
      </c>
    </row>
    <row r="58" spans="1:7">
      <c r="A58" t="str">
        <f>Graphs!A16</f>
        <v>Month 5</v>
      </c>
      <c r="B58" s="34">
        <f>ROUND(Graphs!B16/1000000,2)</f>
        <v>32.909999999999997</v>
      </c>
      <c r="C58" s="34">
        <f>ROUND(Graphs!F16/1000000,2)</f>
        <v>69.599999999999994</v>
      </c>
      <c r="D58" s="34">
        <f>ROUND(Graphs!D16/1000000,2)</f>
        <v>-113.38</v>
      </c>
      <c r="E58" s="34">
        <f>ROUND(Graphs!H16/1000000,2)</f>
        <v>-72.78</v>
      </c>
      <c r="F58">
        <f>ROUND(Graphs!E16/1000000,2)</f>
        <v>-581.15</v>
      </c>
      <c r="G58">
        <f>ROUND(Graphs!I16/1000000,2)</f>
        <v>-415.02</v>
      </c>
    </row>
    <row r="59" spans="1:7">
      <c r="A59" t="str">
        <f>Graphs!A17</f>
        <v>Month 6</v>
      </c>
      <c r="B59" s="34">
        <f>ROUND(Graphs!B17/1000000,2)</f>
        <v>37.5</v>
      </c>
      <c r="C59" s="34">
        <f>ROUND(Graphs!F17/1000000,2)</f>
        <v>81.47</v>
      </c>
      <c r="D59" s="34">
        <f>ROUND(Graphs!D17/1000000,2)</f>
        <v>-111.84</v>
      </c>
      <c r="E59" s="34">
        <f>ROUND(Graphs!H17/1000000,2)</f>
        <v>-67.22</v>
      </c>
      <c r="F59">
        <f>ROUND(Graphs!E17/1000000,2)</f>
        <v>-692.99</v>
      </c>
      <c r="G59">
        <f>ROUND(Graphs!I17/1000000,2)</f>
        <v>-482.23</v>
      </c>
    </row>
    <row r="60" spans="1:7">
      <c r="A60" t="str">
        <f>Graphs!A18</f>
        <v>Month 7</v>
      </c>
      <c r="B60" s="34">
        <f>ROUND(Graphs!B18/1000000,2)</f>
        <v>42.24</v>
      </c>
      <c r="C60" s="34">
        <f>ROUND(Graphs!F18/1000000,2)</f>
        <v>93.83</v>
      </c>
      <c r="D60" s="34">
        <f>ROUND(Graphs!D18/1000000,2)</f>
        <v>-110.23</v>
      </c>
      <c r="E60" s="34">
        <f>ROUND(Graphs!H18/1000000,2)</f>
        <v>-61.41</v>
      </c>
      <c r="F60">
        <f>ROUND(Graphs!E18/1000000,2)</f>
        <v>-803.22</v>
      </c>
      <c r="G60">
        <f>ROUND(Graphs!I18/1000000,2)</f>
        <v>-543.65</v>
      </c>
    </row>
    <row r="61" spans="1:7">
      <c r="A61" t="str">
        <f>Graphs!A19</f>
        <v>Month 8</v>
      </c>
      <c r="B61" s="34">
        <f>ROUND(Graphs!B19/1000000,2)</f>
        <v>47.15</v>
      </c>
      <c r="C61" s="34">
        <f>ROUND(Graphs!F19/1000000,2)</f>
        <v>106.7</v>
      </c>
      <c r="D61" s="34">
        <f>ROUND(Graphs!D19/1000000,2)</f>
        <v>-108.55</v>
      </c>
      <c r="E61" s="34">
        <f>ROUND(Graphs!H19/1000000,2)</f>
        <v>-55.37</v>
      </c>
      <c r="F61">
        <f>ROUND(Graphs!E19/1000000,2)</f>
        <v>-911.77</v>
      </c>
      <c r="G61">
        <f>ROUND(Graphs!I19/1000000,2)</f>
        <v>-599.02</v>
      </c>
    </row>
    <row r="62" spans="1:7">
      <c r="A62" t="str">
        <f>Graphs!A20</f>
        <v>Month 9</v>
      </c>
      <c r="B62" s="34">
        <f>ROUND(Graphs!B20/1000000,2)</f>
        <v>52.22</v>
      </c>
      <c r="C62" s="34">
        <f>ROUND(Graphs!F20/1000000,2)</f>
        <v>120.09</v>
      </c>
      <c r="D62" s="34">
        <f>ROUND(Graphs!D20/1000000,2)</f>
        <v>-106.81</v>
      </c>
      <c r="E62" s="34">
        <f>ROUND(Graphs!H20/1000000,2)</f>
        <v>-49.07</v>
      </c>
      <c r="F62">
        <f>ROUND(Graphs!E20/1000000,2)</f>
        <v>-1018.58</v>
      </c>
      <c r="G62">
        <f>ROUND(Graphs!I20/1000000,2)</f>
        <v>-648.08000000000004</v>
      </c>
    </row>
    <row r="63" spans="1:7">
      <c r="A63" t="str">
        <f>Graphs!A21</f>
        <v>Month 10</v>
      </c>
      <c r="B63" s="34">
        <f>ROUND(Graphs!B21/1000000,2)</f>
        <v>57.47</v>
      </c>
      <c r="C63" s="34">
        <f>ROUND(Graphs!F21/1000000,2)</f>
        <v>134.02000000000001</v>
      </c>
      <c r="D63" s="34">
        <f>ROUND(Graphs!D21/1000000,2)</f>
        <v>-104.99</v>
      </c>
      <c r="E63" s="34">
        <f>ROUND(Graphs!H21/1000000,2)</f>
        <v>-42.51</v>
      </c>
      <c r="F63">
        <f>ROUND(Graphs!E21/1000000,2)</f>
        <v>-1123.57</v>
      </c>
      <c r="G63">
        <f>ROUND(Graphs!I21/1000000,2)</f>
        <v>-690.59</v>
      </c>
    </row>
    <row r="64" spans="1:7">
      <c r="A64" t="str">
        <f>Graphs!A22</f>
        <v>Month 11</v>
      </c>
      <c r="B64" s="34">
        <f>ROUND(Graphs!B22/1000000,2)</f>
        <v>62.89</v>
      </c>
      <c r="C64" s="34">
        <f>ROUND(Graphs!F22/1000000,2)</f>
        <v>148.51</v>
      </c>
      <c r="D64" s="34">
        <f>ROUND(Graphs!D22/1000000,2)</f>
        <v>-103.1</v>
      </c>
      <c r="E64" s="34">
        <f>ROUND(Graphs!H22/1000000,2)</f>
        <v>-35.68</v>
      </c>
      <c r="F64">
        <f>ROUND(Graphs!E22/1000000,2)</f>
        <v>-1226.67</v>
      </c>
      <c r="G64">
        <f>ROUND(Graphs!I22/1000000,2)</f>
        <v>-726.27</v>
      </c>
    </row>
    <row r="65" spans="1:7">
      <c r="A65" t="str">
        <f>Graphs!A23</f>
        <v>Month 12</v>
      </c>
      <c r="B65" s="34">
        <f>ROUND(Graphs!B23/1000000,2)</f>
        <v>68.5</v>
      </c>
      <c r="C65" s="34">
        <f>ROUND(Graphs!F23/1000000,2)</f>
        <v>163.57</v>
      </c>
      <c r="D65" s="34">
        <f>ROUND(Graphs!D23/1000000,2)</f>
        <v>-101.14</v>
      </c>
      <c r="E65" s="34">
        <f>ROUND(Graphs!H23/1000000,2)</f>
        <v>-28.57</v>
      </c>
      <c r="F65">
        <f>ROUND(Graphs!E23/1000000,2)</f>
        <v>-1327.81</v>
      </c>
      <c r="G65">
        <f>ROUND(Graphs!I23/1000000,2)</f>
        <v>-754.84</v>
      </c>
    </row>
    <row r="66" spans="1:7">
      <c r="A66" t="str">
        <f>Graphs!A24</f>
        <v>Month 13</v>
      </c>
      <c r="B66" s="34">
        <f>ROUND(Graphs!B24/1000000,2)</f>
        <v>74.3</v>
      </c>
      <c r="C66" s="34">
        <f>ROUND(Graphs!F24/1000000,2)</f>
        <v>179.23</v>
      </c>
      <c r="D66" s="34">
        <f>ROUND(Graphs!D24/1000000,2)</f>
        <v>-99.11</v>
      </c>
      <c r="E66" s="34">
        <f>ROUND(Graphs!H24/1000000,2)</f>
        <v>-21.17</v>
      </c>
      <c r="F66">
        <f>ROUND(Graphs!E24/1000000,2)</f>
        <v>-1426.92</v>
      </c>
      <c r="G66">
        <f>ROUND(Graphs!I24/1000000,2)</f>
        <v>-776.01</v>
      </c>
    </row>
    <row r="67" spans="1:7">
      <c r="A67" t="str">
        <f>Graphs!A25</f>
        <v>Month 14</v>
      </c>
      <c r="B67" s="34">
        <f>ROUND(Graphs!B25/1000000,2)</f>
        <v>80.28</v>
      </c>
      <c r="C67" s="34">
        <f>ROUND(Graphs!F25/1000000,2)</f>
        <v>195.5</v>
      </c>
      <c r="D67" s="34">
        <f>ROUND(Graphs!D25/1000000,2)</f>
        <v>-96.99</v>
      </c>
      <c r="E67" s="34">
        <f>ROUND(Graphs!H25/1000000,2)</f>
        <v>-13.48</v>
      </c>
      <c r="F67">
        <f>ROUND(Graphs!E25/1000000,2)</f>
        <v>-1523.92</v>
      </c>
      <c r="G67">
        <f>ROUND(Graphs!I25/1000000,2)</f>
        <v>-789.49</v>
      </c>
    </row>
    <row r="68" spans="1:7">
      <c r="A68" t="str">
        <f>Graphs!A26</f>
        <v>Month 15</v>
      </c>
      <c r="B68" s="34">
        <f>ROUND(Graphs!B26/1000000,2)</f>
        <v>86.47</v>
      </c>
      <c r="C68" s="34">
        <f>ROUND(Graphs!F26/1000000,2)</f>
        <v>212.4</v>
      </c>
      <c r="D68" s="34">
        <f>ROUND(Graphs!D26/1000000,2)</f>
        <v>-94.8</v>
      </c>
      <c r="E68" s="34">
        <f>ROUND(Graphs!H26/1000000,2)</f>
        <v>-5.49</v>
      </c>
      <c r="F68">
        <f>ROUND(Graphs!E26/1000000,2)</f>
        <v>-1618.72</v>
      </c>
      <c r="G68">
        <f>ROUND(Graphs!I26/1000000,2)</f>
        <v>-794.98</v>
      </c>
    </row>
    <row r="69" spans="1:7">
      <c r="A69" t="str">
        <f>Graphs!A27</f>
        <v>Month 16</v>
      </c>
      <c r="B69" s="34">
        <f>ROUND(Graphs!B27/1000000,2)</f>
        <v>92.85</v>
      </c>
      <c r="C69" s="34">
        <f>ROUND(Graphs!F27/1000000,2)</f>
        <v>229.95</v>
      </c>
      <c r="D69" s="34">
        <f>ROUND(Graphs!D27/1000000,2)</f>
        <v>-92.53</v>
      </c>
      <c r="E69" s="34">
        <f>ROUND(Graphs!H27/1000000,2)</f>
        <v>2.82</v>
      </c>
      <c r="F69">
        <f>ROUND(Graphs!E27/1000000,2)</f>
        <v>-1711.24</v>
      </c>
      <c r="G69">
        <f>ROUND(Graphs!I27/1000000,2)</f>
        <v>-792.16</v>
      </c>
    </row>
    <row r="70" spans="1:7">
      <c r="A70" t="str">
        <f>Graphs!A28</f>
        <v>Month 17</v>
      </c>
      <c r="B70" s="34">
        <f>ROUND(Graphs!B28/1000000,2)</f>
        <v>99.45</v>
      </c>
      <c r="C70" s="34">
        <f>ROUND(Graphs!F28/1000000,2)</f>
        <v>248.18</v>
      </c>
      <c r="D70" s="34">
        <f>ROUND(Graphs!D28/1000000,2)</f>
        <v>-90.17</v>
      </c>
      <c r="E70" s="34">
        <f>ROUND(Graphs!H28/1000000,2)</f>
        <v>11.45</v>
      </c>
      <c r="F70">
        <f>ROUND(Graphs!E28/1000000,2)</f>
        <v>-1801.41</v>
      </c>
      <c r="G70">
        <f>ROUND(Graphs!I28/1000000,2)</f>
        <v>-780.71</v>
      </c>
    </row>
    <row r="71" spans="1:7">
      <c r="A71" t="str">
        <f>Graphs!A29</f>
        <v>Month 18</v>
      </c>
      <c r="B71" s="34">
        <f>ROUND(Graphs!B29/1000000,2)</f>
        <v>106.26</v>
      </c>
      <c r="C71" s="34">
        <f>ROUND(Graphs!F29/1000000,2)</f>
        <v>267.10000000000002</v>
      </c>
      <c r="D71" s="34">
        <f>ROUND(Graphs!D29/1000000,2)</f>
        <v>-87.73</v>
      </c>
      <c r="E71" s="34">
        <f>ROUND(Graphs!H29/1000000,2)</f>
        <v>20.420000000000002</v>
      </c>
      <c r="F71">
        <f>ROUND(Graphs!E29/1000000,2)</f>
        <v>-1889.14</v>
      </c>
      <c r="G71">
        <f>ROUND(Graphs!I29/1000000,2)</f>
        <v>-760.29</v>
      </c>
    </row>
    <row r="72" spans="1:7">
      <c r="A72" t="str">
        <f>Graphs!A30</f>
        <v>Month 19</v>
      </c>
      <c r="B72" s="34">
        <f>ROUND(Graphs!B30/1000000,2)</f>
        <v>113.28</v>
      </c>
      <c r="C72" s="34">
        <f>ROUND(Graphs!F30/1000000,2)</f>
        <v>286.74</v>
      </c>
      <c r="D72" s="34">
        <f>ROUND(Graphs!D30/1000000,2)</f>
        <v>-85.19</v>
      </c>
      <c r="E72" s="34">
        <f>ROUND(Graphs!H30/1000000,2)</f>
        <v>29.73</v>
      </c>
      <c r="F72">
        <f>ROUND(Graphs!E30/1000000,2)</f>
        <v>-1974.33</v>
      </c>
      <c r="G72">
        <f>ROUND(Graphs!I30/1000000,2)</f>
        <v>-730.55</v>
      </c>
    </row>
    <row r="73" spans="1:7">
      <c r="A73" t="str">
        <f>Graphs!A31</f>
        <v>Month 20</v>
      </c>
      <c r="B73" s="34">
        <f>ROUND(Graphs!B31/1000000,2)</f>
        <v>120.54</v>
      </c>
      <c r="C73" s="34">
        <f>ROUND(Graphs!F31/1000000,2)</f>
        <v>307.11</v>
      </c>
      <c r="D73" s="34">
        <f>ROUND(Graphs!D31/1000000,2)</f>
        <v>-82.57</v>
      </c>
      <c r="E73" s="34">
        <f>ROUND(Graphs!H31/1000000,2)</f>
        <v>39.4</v>
      </c>
      <c r="F73">
        <f>ROUND(Graphs!E31/1000000,2)</f>
        <v>-2056.9</v>
      </c>
      <c r="G73">
        <f>ROUND(Graphs!I31/1000000,2)</f>
        <v>-691.16</v>
      </c>
    </row>
    <row r="74" spans="1:7">
      <c r="A74" t="str">
        <f>Graphs!A32</f>
        <v>Month 21</v>
      </c>
      <c r="B74" s="34">
        <f>ROUND(Graphs!B32/1000000,2)</f>
        <v>128.02000000000001</v>
      </c>
      <c r="C74" s="34">
        <f>ROUND(Graphs!F32/1000000,2)</f>
        <v>328.25</v>
      </c>
      <c r="D74" s="34">
        <f>ROUND(Graphs!D32/1000000,2)</f>
        <v>-79.86</v>
      </c>
      <c r="E74" s="34">
        <f>ROUND(Graphs!H32/1000000,2)</f>
        <v>49.43</v>
      </c>
      <c r="F74">
        <f>ROUND(Graphs!E32/1000000,2)</f>
        <v>-2136.7600000000002</v>
      </c>
      <c r="G74">
        <f>ROUND(Graphs!I32/1000000,2)</f>
        <v>-641.73</v>
      </c>
    </row>
    <row r="75" spans="1:7">
      <c r="A75" t="str">
        <f>Graphs!A33</f>
        <v>Month 22</v>
      </c>
      <c r="B75" s="34">
        <f>ROUND(Graphs!B33/1000000,2)</f>
        <v>135.74</v>
      </c>
      <c r="C75" s="34">
        <f>ROUND(Graphs!F33/1000000,2)</f>
        <v>350.17</v>
      </c>
      <c r="D75" s="34">
        <f>ROUND(Graphs!D33/1000000,2)</f>
        <v>-77.05</v>
      </c>
      <c r="E75" s="34">
        <f>ROUND(Graphs!H33/1000000,2)</f>
        <v>59.83</v>
      </c>
      <c r="F75">
        <f>ROUND(Graphs!E33/1000000,2)</f>
        <v>-2213.81</v>
      </c>
      <c r="G75">
        <f>ROUND(Graphs!I33/1000000,2)</f>
        <v>-581.9</v>
      </c>
    </row>
    <row r="76" spans="1:7">
      <c r="A76" t="str">
        <f>Graphs!A34</f>
        <v>Month 23</v>
      </c>
      <c r="B76" s="34">
        <f>ROUND(Graphs!B34/1000000,2)</f>
        <v>143.71</v>
      </c>
      <c r="C76" s="34">
        <f>ROUND(Graphs!F34/1000000,2)</f>
        <v>372.9</v>
      </c>
      <c r="D76" s="34">
        <f>ROUND(Graphs!D34/1000000,2)</f>
        <v>-74.14</v>
      </c>
      <c r="E76" s="34">
        <f>ROUND(Graphs!H34/1000000,2)</f>
        <v>70.63</v>
      </c>
      <c r="F76">
        <f>ROUND(Graphs!E34/1000000,2)</f>
        <v>-2287.9499999999998</v>
      </c>
      <c r="G76">
        <f>ROUND(Graphs!I34/1000000,2)</f>
        <v>-511.27</v>
      </c>
    </row>
    <row r="77" spans="1:7">
      <c r="A77" t="str">
        <f>Graphs!A35</f>
        <v>Month 24</v>
      </c>
      <c r="B77" s="34">
        <f>ROUND(Graphs!B35/1000000,2)</f>
        <v>151.91999999999999</v>
      </c>
      <c r="C77" s="34">
        <f>ROUND(Graphs!F35/1000000,2)</f>
        <v>396.47</v>
      </c>
      <c r="D77" s="34">
        <f>ROUND(Graphs!D35/1000000,2)</f>
        <v>-71.13</v>
      </c>
      <c r="E77" s="34">
        <f>ROUND(Graphs!H35/1000000,2)</f>
        <v>81.819999999999993</v>
      </c>
      <c r="F77">
        <f>ROUND(Graphs!E35/1000000,2)</f>
        <v>-2359.08</v>
      </c>
      <c r="G77">
        <f>ROUND(Graphs!I35/1000000,2)</f>
        <v>-429.44</v>
      </c>
    </row>
    <row r="78" spans="1:7">
      <c r="A78" t="str">
        <f>Graphs!A36</f>
        <v>Month 25</v>
      </c>
      <c r="B78" s="34">
        <f>ROUND(Graphs!B36/1000000,2)</f>
        <v>160.38999999999999</v>
      </c>
      <c r="C78" s="34">
        <f>ROUND(Graphs!F36/1000000,2)</f>
        <v>420.89</v>
      </c>
      <c r="D78" s="34">
        <f>ROUND(Graphs!D36/1000000,2)</f>
        <v>-68.02</v>
      </c>
      <c r="E78" s="34">
        <f>ROUND(Graphs!H36/1000000,2)</f>
        <v>93.43</v>
      </c>
      <c r="F78">
        <f>ROUND(Graphs!E36/1000000,2)</f>
        <v>-2427.1</v>
      </c>
      <c r="G78">
        <f>ROUND(Graphs!I36/1000000,2)</f>
        <v>-336.01</v>
      </c>
    </row>
    <row r="79" spans="1:7">
      <c r="A79" t="str">
        <f>Graphs!A37</f>
        <v>Month 26</v>
      </c>
      <c r="B79" s="34">
        <f>ROUND(Graphs!B37/1000000,2)</f>
        <v>169.12</v>
      </c>
      <c r="C79" s="34">
        <f>ROUND(Graphs!F37/1000000,2)</f>
        <v>446.21</v>
      </c>
      <c r="D79" s="34">
        <f>ROUND(Graphs!D37/1000000,2)</f>
        <v>-64.81</v>
      </c>
      <c r="E79" s="34">
        <f>ROUND(Graphs!H37/1000000,2)</f>
        <v>105.46</v>
      </c>
      <c r="F79">
        <f>ROUND(Graphs!E37/1000000,2)</f>
        <v>-2491.91</v>
      </c>
      <c r="G79">
        <f>ROUND(Graphs!I37/1000000,2)</f>
        <v>-230.55</v>
      </c>
    </row>
    <row r="80" spans="1:7">
      <c r="A80" t="str">
        <f>Graphs!A38</f>
        <v>Month 27</v>
      </c>
      <c r="B80" s="34">
        <f>ROUND(Graphs!B38/1000000,2)</f>
        <v>178.13</v>
      </c>
      <c r="C80" s="34">
        <f>ROUND(Graphs!F38/1000000,2)</f>
        <v>472.43</v>
      </c>
      <c r="D80" s="34">
        <f>ROUND(Graphs!D38/1000000,2)</f>
        <v>-61.48</v>
      </c>
      <c r="E80" s="34">
        <f>ROUND(Graphs!H38/1000000,2)</f>
        <v>117.93</v>
      </c>
      <c r="F80">
        <f>ROUND(Graphs!E38/1000000,2)</f>
        <v>-2553.39</v>
      </c>
      <c r="G80">
        <f>ROUND(Graphs!I38/1000000,2)</f>
        <v>-112.62</v>
      </c>
    </row>
    <row r="81" spans="1:7">
      <c r="A81" t="str">
        <f>Graphs!A39</f>
        <v>Month 28</v>
      </c>
      <c r="B81" s="34">
        <f>ROUND(Graphs!B39/1000000,2)</f>
        <v>187.41</v>
      </c>
      <c r="C81" s="34">
        <f>ROUND(Graphs!F39/1000000,2)</f>
        <v>499.6</v>
      </c>
      <c r="D81" s="34">
        <f>ROUND(Graphs!D39/1000000,2)</f>
        <v>-58.05</v>
      </c>
      <c r="E81" s="34">
        <f>ROUND(Graphs!H39/1000000,2)</f>
        <v>130.84</v>
      </c>
      <c r="F81">
        <f>ROUND(Graphs!E39/1000000,2)</f>
        <v>-2611.44</v>
      </c>
      <c r="G81">
        <f>ROUND(Graphs!I39/1000000,2)</f>
        <v>18.22</v>
      </c>
    </row>
    <row r="82" spans="1:7">
      <c r="A82" t="str">
        <f>Graphs!A40</f>
        <v>Month 29</v>
      </c>
      <c r="B82" s="34">
        <f>ROUND(Graphs!B40/1000000,2)</f>
        <v>196.97</v>
      </c>
      <c r="C82" s="34">
        <f>ROUND(Graphs!F40/1000000,2)</f>
        <v>527.75</v>
      </c>
      <c r="D82" s="34">
        <f>ROUND(Graphs!D40/1000000,2)</f>
        <v>-54.51</v>
      </c>
      <c r="E82" s="34">
        <f>ROUND(Graphs!H40/1000000,2)</f>
        <v>144.22999999999999</v>
      </c>
      <c r="F82">
        <f>ROUND(Graphs!E40/1000000,2)</f>
        <v>-2665.95</v>
      </c>
      <c r="G82">
        <f>ROUND(Graphs!I40/1000000,2)</f>
        <v>162.44999999999999</v>
      </c>
    </row>
    <row r="83" spans="1:7">
      <c r="A83" t="str">
        <f>Graphs!A41</f>
        <v>Month 30</v>
      </c>
      <c r="B83" s="34">
        <f>ROUND(Graphs!B41/1000000,2)</f>
        <v>206.82</v>
      </c>
      <c r="C83" s="34">
        <f>ROUND(Graphs!F41/1000000,2)</f>
        <v>556.89</v>
      </c>
      <c r="D83" s="34">
        <f>ROUND(Graphs!D41/1000000,2)</f>
        <v>-50.84</v>
      </c>
      <c r="E83" s="34">
        <f>ROUND(Graphs!H41/1000000,2)</f>
        <v>158.08000000000001</v>
      </c>
      <c r="F83">
        <f>ROUND(Graphs!E41/1000000,2)</f>
        <v>-2716.79</v>
      </c>
      <c r="G83">
        <f>ROUND(Graphs!I41/1000000,2)</f>
        <v>320.52999999999997</v>
      </c>
    </row>
    <row r="84" spans="1:7">
      <c r="A84" t="str">
        <f>Graphs!A42</f>
        <v>Month 31</v>
      </c>
      <c r="B84" s="34">
        <f>ROUND(Graphs!B42/1000000,2)</f>
        <v>216.98</v>
      </c>
      <c r="C84" s="34">
        <f>ROUND(Graphs!F42/1000000,2)</f>
        <v>587.07000000000005</v>
      </c>
      <c r="D84" s="34">
        <f>ROUND(Graphs!D42/1000000,2)</f>
        <v>-47.06</v>
      </c>
      <c r="E84" s="34">
        <f>ROUND(Graphs!H42/1000000,2)</f>
        <v>172.43</v>
      </c>
      <c r="F84">
        <f>ROUND(Graphs!E42/1000000,2)</f>
        <v>-2763.85</v>
      </c>
      <c r="G84">
        <f>ROUND(Graphs!I42/1000000,2)</f>
        <v>492.96</v>
      </c>
    </row>
    <row r="85" spans="1:7">
      <c r="A85" t="str">
        <f>Graphs!A43</f>
        <v>Month 32</v>
      </c>
      <c r="B85" s="34">
        <f>ROUND(Graphs!B43/1000000,2)</f>
        <v>227.44</v>
      </c>
      <c r="C85" s="34">
        <f>ROUND(Graphs!F43/1000000,2)</f>
        <v>618.29999999999995</v>
      </c>
      <c r="D85" s="34">
        <f>ROUND(Graphs!D43/1000000,2)</f>
        <v>-43.16</v>
      </c>
      <c r="E85" s="34">
        <f>ROUND(Graphs!H43/1000000,2)</f>
        <v>187.29</v>
      </c>
      <c r="F85">
        <f>ROUND(Graphs!E43/1000000,2)</f>
        <v>-2807.01</v>
      </c>
      <c r="G85">
        <f>ROUND(Graphs!I43/1000000,2)</f>
        <v>680.25</v>
      </c>
    </row>
    <row r="86" spans="1:7">
      <c r="A86" t="str">
        <f>Graphs!A44</f>
        <v>Month 33</v>
      </c>
      <c r="B86" s="34">
        <f>ROUND(Graphs!B44/1000000,2)</f>
        <v>238.22</v>
      </c>
      <c r="C86" s="34">
        <f>ROUND(Graphs!F44/1000000,2)</f>
        <v>650.64</v>
      </c>
      <c r="D86" s="34">
        <f>ROUND(Graphs!D44/1000000,2)</f>
        <v>-39.130000000000003</v>
      </c>
      <c r="E86" s="34">
        <f>ROUND(Graphs!H44/1000000,2)</f>
        <v>202.66</v>
      </c>
      <c r="F86">
        <f>ROUND(Graphs!E44/1000000,2)</f>
        <v>-2846.14</v>
      </c>
      <c r="G86">
        <f>ROUND(Graphs!I44/1000000,2)</f>
        <v>882.91</v>
      </c>
    </row>
    <row r="87" spans="1:7">
      <c r="A87" t="str">
        <f>Graphs!A45</f>
        <v>Month 34</v>
      </c>
      <c r="B87" s="34">
        <f>ROUND(Graphs!B45/1000000,2)</f>
        <v>249.31</v>
      </c>
      <c r="C87" s="34">
        <f>ROUND(Graphs!F45/1000000,2)</f>
        <v>684.1</v>
      </c>
      <c r="D87" s="34">
        <f>ROUND(Graphs!D45/1000000,2)</f>
        <v>-34.979999999999997</v>
      </c>
      <c r="E87" s="34">
        <f>ROUND(Graphs!H45/1000000,2)</f>
        <v>218.58</v>
      </c>
      <c r="F87">
        <f>ROUND(Graphs!E45/1000000,2)</f>
        <v>-2881.12</v>
      </c>
      <c r="G87">
        <f>ROUND(Graphs!I45/1000000,2)</f>
        <v>1101.49</v>
      </c>
    </row>
    <row r="88" spans="1:7">
      <c r="A88" t="str">
        <f>Graphs!A46</f>
        <v>Month 35</v>
      </c>
      <c r="B88" s="34">
        <f>ROUND(Graphs!B46/1000000,2)</f>
        <v>260.74</v>
      </c>
      <c r="C88" s="34">
        <f>ROUND(Graphs!F46/1000000,2)</f>
        <v>718.73</v>
      </c>
      <c r="D88" s="34">
        <f>ROUND(Graphs!D46/1000000,2)</f>
        <v>-30.69</v>
      </c>
      <c r="E88" s="34">
        <f>ROUND(Graphs!H46/1000000,2)</f>
        <v>235.04</v>
      </c>
      <c r="F88">
        <f>ROUND(Graphs!E46/1000000,2)</f>
        <v>-2911.81</v>
      </c>
      <c r="G88">
        <f>ROUND(Graphs!I46/1000000,2)</f>
        <v>1336.53</v>
      </c>
    </row>
    <row r="89" spans="1:7">
      <c r="A89" t="str">
        <f>Graphs!A47</f>
        <v>Month 36</v>
      </c>
      <c r="B89" s="34">
        <f>ROUND(Graphs!B47/1000000,2)</f>
        <v>272.51</v>
      </c>
      <c r="C89" s="34">
        <f>ROUND(Graphs!F47/1000000,2)</f>
        <v>754.55</v>
      </c>
      <c r="D89" s="34">
        <f>ROUND(Graphs!D47/1000000,2)</f>
        <v>-26.27</v>
      </c>
      <c r="E89" s="34">
        <f>ROUND(Graphs!H47/1000000,2)</f>
        <v>252.08</v>
      </c>
      <c r="F89">
        <f>ROUND(Graphs!E47/1000000,2)</f>
        <v>-2938.07</v>
      </c>
      <c r="G89">
        <f>ROUND(Graphs!I47/1000000,2)</f>
        <v>1588.61</v>
      </c>
    </row>
    <row r="91" spans="1:7" ht="22" customHeight="1">
      <c r="A91" s="26" t="s">
        <v>591</v>
      </c>
    </row>
    <row r="92" spans="1:7" ht="32">
      <c r="A92" s="27" t="s">
        <v>523</v>
      </c>
      <c r="B92" s="34" t="s">
        <v>592</v>
      </c>
    </row>
    <row r="93" spans="1:7" ht="48">
      <c r="A93" s="27" t="s">
        <v>540</v>
      </c>
      <c r="B93" s="34" t="s">
        <v>593</v>
      </c>
    </row>
    <row r="95" spans="1:7" ht="16">
      <c r="A95" s="28" t="s">
        <v>594</v>
      </c>
      <c r="B95" s="35" t="s">
        <v>595</v>
      </c>
      <c r="C95" s="35" t="s">
        <v>596</v>
      </c>
      <c r="D95" s="35" t="s">
        <v>597</v>
      </c>
      <c r="E95" s="35" t="s">
        <v>598</v>
      </c>
    </row>
    <row r="96" spans="1:7" ht="16">
      <c r="A96" t="s">
        <v>414</v>
      </c>
      <c r="B96" s="34" t="s">
        <v>599</v>
      </c>
      <c r="C96" s="43">
        <v>3.29</v>
      </c>
      <c r="D96" s="43">
        <v>3.13</v>
      </c>
      <c r="E96" s="34" t="s">
        <v>600</v>
      </c>
    </row>
    <row r="97" spans="1:5" ht="16">
      <c r="A97" t="s">
        <v>601</v>
      </c>
      <c r="B97" s="34" t="s">
        <v>599</v>
      </c>
      <c r="C97" s="43">
        <v>0.17</v>
      </c>
      <c r="D97" s="43">
        <v>0.17</v>
      </c>
      <c r="E97" s="34" t="s">
        <v>602</v>
      </c>
    </row>
    <row r="98" spans="1:5" ht="16">
      <c r="A98" t="s">
        <v>603</v>
      </c>
      <c r="B98" s="34" t="s">
        <v>599</v>
      </c>
      <c r="C98" s="43">
        <v>0.19</v>
      </c>
      <c r="D98" s="43">
        <v>0.19</v>
      </c>
      <c r="E98" s="34" t="s">
        <v>604</v>
      </c>
    </row>
    <row r="99" spans="1:5" ht="16">
      <c r="A99" t="s">
        <v>605</v>
      </c>
      <c r="B99" s="34" t="s">
        <v>599</v>
      </c>
      <c r="C99" s="43">
        <v>0.81</v>
      </c>
      <c r="D99" s="43">
        <v>0.78</v>
      </c>
      <c r="E99" s="34" t="s">
        <v>606</v>
      </c>
    </row>
    <row r="100" spans="1:5" ht="16">
      <c r="A100" t="s">
        <v>607</v>
      </c>
      <c r="B100" s="34" t="s">
        <v>608</v>
      </c>
      <c r="C100" s="43">
        <v>13</v>
      </c>
      <c r="D100" s="43">
        <v>11.44</v>
      </c>
      <c r="E100" s="34" t="s">
        <v>609</v>
      </c>
    </row>
    <row r="101" spans="1:5" ht="16">
      <c r="A101" t="s">
        <v>610</v>
      </c>
      <c r="B101" s="34" t="s">
        <v>608</v>
      </c>
      <c r="C101" s="43">
        <v>21</v>
      </c>
      <c r="D101" s="43">
        <v>18.48</v>
      </c>
      <c r="E101" s="34" t="s">
        <v>611</v>
      </c>
    </row>
    <row r="102" spans="1:5" ht="16">
      <c r="A102" t="s">
        <v>612</v>
      </c>
      <c r="B102" s="34" t="s">
        <v>608</v>
      </c>
      <c r="C102" s="43">
        <v>15.5</v>
      </c>
      <c r="D102" s="43">
        <v>13.64</v>
      </c>
      <c r="E102" s="34" t="s">
        <v>613</v>
      </c>
    </row>
    <row r="103" spans="1:5" ht="16">
      <c r="A103" t="s">
        <v>614</v>
      </c>
      <c r="B103" s="34" t="s">
        <v>608</v>
      </c>
      <c r="C103" s="43">
        <v>19.5</v>
      </c>
      <c r="D103" s="43">
        <v>14.63</v>
      </c>
      <c r="E103" s="34" t="s">
        <v>615</v>
      </c>
    </row>
    <row r="104" spans="1:5" ht="16">
      <c r="A104" t="s">
        <v>616</v>
      </c>
      <c r="B104" s="34" t="s">
        <v>608</v>
      </c>
      <c r="C104" s="43">
        <v>20.3</v>
      </c>
      <c r="D104" s="43">
        <v>17.86</v>
      </c>
      <c r="E104" s="34" t="s">
        <v>617</v>
      </c>
    </row>
    <row r="105" spans="1:5" ht="16">
      <c r="A105" t="s">
        <v>618</v>
      </c>
      <c r="B105" s="34" t="s">
        <v>608</v>
      </c>
      <c r="C105" s="43">
        <v>16</v>
      </c>
      <c r="D105" s="43">
        <v>14.08</v>
      </c>
      <c r="E105" s="34" t="s">
        <v>619</v>
      </c>
    </row>
    <row r="106" spans="1:5" ht="16">
      <c r="A106" t="s">
        <v>620</v>
      </c>
      <c r="B106" s="34" t="s">
        <v>608</v>
      </c>
      <c r="C106" s="43">
        <v>20</v>
      </c>
      <c r="D106" s="43">
        <v>15</v>
      </c>
      <c r="E106" s="34" t="s">
        <v>621</v>
      </c>
    </row>
    <row r="107" spans="1:5">
      <c r="A107" s="27" t="s">
        <v>622</v>
      </c>
      <c r="C107" s="44">
        <f>SUM(C96:C106)</f>
        <v>129.76</v>
      </c>
      <c r="D107" s="44">
        <f>SUM(D96:D106)</f>
        <v>109.39999999999999</v>
      </c>
    </row>
    <row r="108" spans="1:5">
      <c r="A108" s="29" t="s">
        <v>623</v>
      </c>
      <c r="C108" s="45">
        <f>SUMIF(B96:B106,"Fixed",C96:C106)</f>
        <v>125.3</v>
      </c>
      <c r="D108" s="45">
        <f>SUMIF(B96:B106,"Fixed",D96:D106)</f>
        <v>105.13000000000001</v>
      </c>
    </row>
    <row r="109" spans="1:5">
      <c r="A109" s="29" t="s">
        <v>624</v>
      </c>
      <c r="C109" s="45">
        <f>SUMIF(B96:B106,"Variable",C96:C106)</f>
        <v>4.46</v>
      </c>
      <c r="D109" s="45">
        <f>SUMIF(B96:B106,"Variable",D96:D106)</f>
        <v>4.2699999999999996</v>
      </c>
    </row>
    <row r="110" spans="1:5" ht="80">
      <c r="A110" s="29" t="s">
        <v>581</v>
      </c>
      <c r="B110" s="42" t="s">
        <v>625</v>
      </c>
    </row>
    <row r="112" spans="1:5" ht="22" customHeight="1">
      <c r="A112" s="30" t="s">
        <v>626</v>
      </c>
    </row>
    <row r="113" spans="1:5" ht="32">
      <c r="A113" s="31" t="s">
        <v>523</v>
      </c>
      <c r="B113" s="34" t="s">
        <v>627</v>
      </c>
    </row>
    <row r="115" spans="1:5" ht="16">
      <c r="A115" s="28" t="s">
        <v>628</v>
      </c>
      <c r="B115" s="35" t="s">
        <v>3</v>
      </c>
      <c r="C115" s="35" t="s">
        <v>4</v>
      </c>
      <c r="D115" s="35" t="s">
        <v>629</v>
      </c>
      <c r="E115" s="35" t="s">
        <v>630</v>
      </c>
    </row>
    <row r="116" spans="1:5" ht="16">
      <c r="A116" t="s">
        <v>631</v>
      </c>
      <c r="B116" s="36">
        <v>0.28000000000000003</v>
      </c>
      <c r="C116" s="36">
        <v>0.35</v>
      </c>
      <c r="D116" s="46">
        <f>C116-B116</f>
        <v>6.9999999999999951E-2</v>
      </c>
      <c r="E116" s="34" t="s">
        <v>632</v>
      </c>
    </row>
    <row r="117" spans="1:5" ht="16">
      <c r="A117" t="s">
        <v>633</v>
      </c>
      <c r="B117" s="36">
        <v>0.56000000000000005</v>
      </c>
      <c r="C117" s="36">
        <v>0.62719999999999998</v>
      </c>
      <c r="D117" s="47">
        <f>C117-B117</f>
        <v>6.7199999999999926E-2</v>
      </c>
      <c r="E117" s="34" t="s">
        <v>634</v>
      </c>
    </row>
    <row r="118" spans="1:5" ht="16">
      <c r="A118" t="s">
        <v>635</v>
      </c>
      <c r="B118" s="40">
        <v>2.5000000000000001E-2</v>
      </c>
      <c r="C118" s="40">
        <v>3.3750000000000002E-2</v>
      </c>
      <c r="D118" s="47">
        <f>C118-B118</f>
        <v>8.7500000000000008E-3</v>
      </c>
      <c r="E118" s="34" t="s">
        <v>636</v>
      </c>
    </row>
    <row r="119" spans="1:5" ht="16">
      <c r="A119" t="s">
        <v>637</v>
      </c>
      <c r="B119" s="48">
        <v>4.0000000000000001E-3</v>
      </c>
      <c r="C119" s="48">
        <v>3.0000000000000001E-3</v>
      </c>
      <c r="D119" s="49">
        <f>C119-B119</f>
        <v>-1E-3</v>
      </c>
      <c r="E119" s="34" t="s">
        <v>638</v>
      </c>
    </row>
    <row r="120" spans="1:5" ht="16">
      <c r="A120" t="s">
        <v>639</v>
      </c>
      <c r="B120" s="41">
        <v>35500</v>
      </c>
      <c r="C120" s="41">
        <v>38340</v>
      </c>
      <c r="D120" s="46">
        <f>(C120-B120)/B120</f>
        <v>0.08</v>
      </c>
      <c r="E120" s="34" t="s">
        <v>640</v>
      </c>
    </row>
    <row r="122" spans="1:5" ht="32">
      <c r="A122" t="s">
        <v>641</v>
      </c>
      <c r="B122" s="34">
        <f>'Slide Data'!B89</f>
        <v>272.51</v>
      </c>
      <c r="C122" s="34">
        <f>'Slide Data'!C89</f>
        <v>754.55</v>
      </c>
      <c r="D122" s="50">
        <f>C122-B122</f>
        <v>482.03999999999996</v>
      </c>
      <c r="E122" s="34" t="s">
        <v>642</v>
      </c>
    </row>
    <row r="123" spans="1:5" ht="16">
      <c r="A123" t="s">
        <v>643</v>
      </c>
      <c r="B123" s="34">
        <f>'Slide Data'!F89</f>
        <v>-2938.07</v>
      </c>
      <c r="C123" s="34">
        <f>'Slide Data'!G89</f>
        <v>1588.61</v>
      </c>
      <c r="D123" s="50">
        <f>C123-B123</f>
        <v>4526.68</v>
      </c>
      <c r="E123" s="34" t="s">
        <v>644</v>
      </c>
    </row>
    <row r="125" spans="1:5" ht="22" customHeight="1">
      <c r="A125" s="26" t="s">
        <v>645</v>
      </c>
    </row>
    <row r="126" spans="1:5" ht="32">
      <c r="A126" s="27" t="s">
        <v>523</v>
      </c>
      <c r="B126" s="34" t="s">
        <v>646</v>
      </c>
    </row>
    <row r="128" spans="1:5" ht="16">
      <c r="A128" s="28" t="s">
        <v>647</v>
      </c>
      <c r="B128" s="35" t="s">
        <v>648</v>
      </c>
      <c r="C128" s="35" t="s">
        <v>649</v>
      </c>
      <c r="D128" s="35" t="s">
        <v>650</v>
      </c>
    </row>
    <row r="129" spans="1:4" ht="32">
      <c r="A129">
        <v>1</v>
      </c>
      <c r="B129" s="34" t="s">
        <v>651</v>
      </c>
      <c r="C129" s="34" t="s">
        <v>652</v>
      </c>
      <c r="D129" s="34" t="s">
        <v>653</v>
      </c>
    </row>
    <row r="130" spans="1:4" ht="32">
      <c r="A130">
        <v>2</v>
      </c>
      <c r="B130" s="34" t="s">
        <v>654</v>
      </c>
      <c r="C130" s="34" t="s">
        <v>655</v>
      </c>
      <c r="D130" s="34" t="s">
        <v>656</v>
      </c>
    </row>
    <row r="131" spans="1:4" ht="32">
      <c r="A131">
        <v>3</v>
      </c>
      <c r="B131" s="34" t="s">
        <v>657</v>
      </c>
      <c r="C131" s="34" t="s">
        <v>658</v>
      </c>
      <c r="D131" s="34" t="s">
        <v>659</v>
      </c>
    </row>
    <row r="133" spans="1:4">
      <c r="A133" s="27" t="s">
        <v>660</v>
      </c>
    </row>
    <row r="134" spans="1:4" ht="16">
      <c r="A134" t="s">
        <v>661</v>
      </c>
      <c r="B134" s="34" t="s">
        <v>38</v>
      </c>
      <c r="C134" s="50">
        <f>'Slide Data'!E69</f>
        <v>2.82</v>
      </c>
      <c r="D134" s="34" t="s">
        <v>662</v>
      </c>
    </row>
    <row r="135" spans="1:4" ht="16">
      <c r="A135" t="s">
        <v>663</v>
      </c>
      <c r="B135" s="34" t="s">
        <v>50</v>
      </c>
      <c r="C135" s="50">
        <f>'Slide Data'!G81</f>
        <v>18.22</v>
      </c>
      <c r="D135" s="34" t="s">
        <v>664</v>
      </c>
    </row>
    <row r="136" spans="1:4" ht="16">
      <c r="A136" t="s">
        <v>665</v>
      </c>
      <c r="B136" s="34" t="s">
        <v>58</v>
      </c>
      <c r="C136" s="50">
        <f>'Slide Data'!E89</f>
        <v>252.08</v>
      </c>
      <c r="D136" s="34" t="s">
        <v>666</v>
      </c>
    </row>
    <row r="137" spans="1:4" ht="16">
      <c r="A137" t="s">
        <v>667</v>
      </c>
      <c r="B137" s="34" t="s">
        <v>58</v>
      </c>
      <c r="C137" s="50">
        <f>'Slide Data'!G89</f>
        <v>1588.61</v>
      </c>
      <c r="D137" s="34" t="s">
        <v>668</v>
      </c>
    </row>
    <row r="139" spans="1:4" ht="80">
      <c r="A139" s="27" t="s">
        <v>669</v>
      </c>
      <c r="B139" s="34" t="s">
        <v>670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464</vt:i4>
      </vt:variant>
    </vt:vector>
  </HeadingPairs>
  <TitlesOfParts>
    <vt:vector size="469" baseType="lpstr">
      <vt:lpstr>Assumptions</vt:lpstr>
      <vt:lpstr>Model - Positive</vt:lpstr>
      <vt:lpstr>Model - Base</vt:lpstr>
      <vt:lpstr>Graphs</vt:lpstr>
      <vt:lpstr>Slide Data</vt:lpstr>
      <vt:lpstr>central_anc_access_rate</vt:lpstr>
      <vt:lpstr>central_anc_access_rate_growth</vt:lpstr>
      <vt:lpstr>central_anc_access_rate_positive</vt:lpstr>
      <vt:lpstr>central_anc_access_rate_positive_growth</vt:lpstr>
      <vt:lpstr>central_launch_budget</vt:lpstr>
      <vt:lpstr>central_launch_budget_growth</vt:lpstr>
      <vt:lpstr>central_launch_budget_positive</vt:lpstr>
      <vt:lpstr>central_launch_budget_positive_growth</vt:lpstr>
      <vt:lpstr>central_private_acceptance_rate</vt:lpstr>
      <vt:lpstr>central_private_acceptance_rate_growth</vt:lpstr>
      <vt:lpstr>central_private_acceptance_rate_positive</vt:lpstr>
      <vt:lpstr>central_private_acceptance_rate_positive_growth</vt:lpstr>
      <vt:lpstr>central_private_coverage_additions</vt:lpstr>
      <vt:lpstr>central_private_coverage_additions_growth</vt:lpstr>
      <vt:lpstr>central_private_coverage_additions_positive</vt:lpstr>
      <vt:lpstr>central_private_coverage_additions_positive_growth</vt:lpstr>
      <vt:lpstr>central_private_coverage_churn</vt:lpstr>
      <vt:lpstr>central_private_coverage_churn_growth</vt:lpstr>
      <vt:lpstr>central_private_coverage_churn_positive</vt:lpstr>
      <vt:lpstr>central_private_coverage_churn_positive_growth</vt:lpstr>
      <vt:lpstr>central_private_distribution_cost_per_dose</vt:lpstr>
      <vt:lpstr>central_private_distribution_cost_per_dose_growth</vt:lpstr>
      <vt:lpstr>central_private_distribution_cost_per_dose_positive</vt:lpstr>
      <vt:lpstr>central_private_distribution_cost_per_dose_positive_growth</vt:lpstr>
      <vt:lpstr>central_private_eligibility_rate</vt:lpstr>
      <vt:lpstr>central_private_eligibility_rate_growth</vt:lpstr>
      <vt:lpstr>central_private_eligibility_rate_positive</vt:lpstr>
      <vt:lpstr>central_private_eligibility_rate_positive_growth</vt:lpstr>
      <vt:lpstr>central_private_net_price_per_dose</vt:lpstr>
      <vt:lpstr>central_private_net_price_per_dose_growth</vt:lpstr>
      <vt:lpstr>central_private_net_price_per_dose_positive</vt:lpstr>
      <vt:lpstr>central_private_net_price_per_dose_positive_growth</vt:lpstr>
      <vt:lpstr>central_private_provider_recommendation_rate</vt:lpstr>
      <vt:lpstr>central_private_provider_recommendation_rate_growth</vt:lpstr>
      <vt:lpstr>central_private_provider_recommendation_rate_positive</vt:lpstr>
      <vt:lpstr>central_private_provider_recommendation_rate_positive_growth</vt:lpstr>
      <vt:lpstr>central_private_stock_availability_rate</vt:lpstr>
      <vt:lpstr>central_private_stock_availability_rate_growth</vt:lpstr>
      <vt:lpstr>central_private_stock_availability_rate_positive</vt:lpstr>
      <vt:lpstr>central_private_stock_availability_rate_positive_growth</vt:lpstr>
      <vt:lpstr>central_private_trade_support_per_dose</vt:lpstr>
      <vt:lpstr>central_private_trade_support_per_dose_growth</vt:lpstr>
      <vt:lpstr>central_private_trade_support_per_dose_positive</vt:lpstr>
      <vt:lpstr>central_private_trade_support_per_dose_positive_growth</vt:lpstr>
      <vt:lpstr>central_private_wastage_rate</vt:lpstr>
      <vt:lpstr>central_private_wastage_rate_growth</vt:lpstr>
      <vt:lpstr>central_private_wastage_rate_positive</vt:lpstr>
      <vt:lpstr>central_private_wastage_rate_positive_growth</vt:lpstr>
      <vt:lpstr>central_public_acceptance_rate</vt:lpstr>
      <vt:lpstr>central_public_acceptance_rate_growth</vt:lpstr>
      <vt:lpstr>central_public_acceptance_rate_positive</vt:lpstr>
      <vt:lpstr>central_public_acceptance_rate_positive_growth</vt:lpstr>
      <vt:lpstr>central_public_coverage_additions</vt:lpstr>
      <vt:lpstr>central_public_coverage_additions_growth</vt:lpstr>
      <vt:lpstr>central_public_coverage_additions_positive</vt:lpstr>
      <vt:lpstr>central_public_coverage_additions_positive_growth</vt:lpstr>
      <vt:lpstr>central_public_coverage_churn</vt:lpstr>
      <vt:lpstr>central_public_coverage_churn_growth</vt:lpstr>
      <vt:lpstr>central_public_coverage_churn_positive</vt:lpstr>
      <vt:lpstr>central_public_coverage_churn_positive_growth</vt:lpstr>
      <vt:lpstr>central_public_distribution_cost_per_dose</vt:lpstr>
      <vt:lpstr>central_public_distribution_cost_per_dose_growth</vt:lpstr>
      <vt:lpstr>central_public_distribution_cost_per_dose_positive</vt:lpstr>
      <vt:lpstr>central_public_distribution_cost_per_dose_positive_growth</vt:lpstr>
      <vt:lpstr>central_public_eligibility_rate</vt:lpstr>
      <vt:lpstr>central_public_eligibility_rate_growth</vt:lpstr>
      <vt:lpstr>central_public_eligibility_rate_positive</vt:lpstr>
      <vt:lpstr>central_public_eligibility_rate_positive_growth</vt:lpstr>
      <vt:lpstr>central_public_net_price_per_dose</vt:lpstr>
      <vt:lpstr>central_public_net_price_per_dose_growth</vt:lpstr>
      <vt:lpstr>central_public_net_price_per_dose_positive</vt:lpstr>
      <vt:lpstr>central_public_net_price_per_dose_positive_growth</vt:lpstr>
      <vt:lpstr>central_public_provider_recommendation_rate</vt:lpstr>
      <vt:lpstr>central_public_provider_recommendation_rate_growth</vt:lpstr>
      <vt:lpstr>central_public_provider_recommendation_rate_positive</vt:lpstr>
      <vt:lpstr>central_public_provider_recommendation_rate_positive_growth</vt:lpstr>
      <vt:lpstr>central_public_stock_availability_rate</vt:lpstr>
      <vt:lpstr>central_public_stock_availability_rate_growth</vt:lpstr>
      <vt:lpstr>central_public_stock_availability_rate_positive</vt:lpstr>
      <vt:lpstr>central_public_stock_availability_rate_positive_growth</vt:lpstr>
      <vt:lpstr>central_public_wastage_rate</vt:lpstr>
      <vt:lpstr>central_public_wastage_rate_growth</vt:lpstr>
      <vt:lpstr>central_public_wastage_rate_positive</vt:lpstr>
      <vt:lpstr>central_public_wastage_rate_positive_growth</vt:lpstr>
      <vt:lpstr>central_regional_opportunity_weight</vt:lpstr>
      <vt:lpstr>central_regional_opportunity_weight_growth</vt:lpstr>
      <vt:lpstr>central_regional_opportunity_weight_positive</vt:lpstr>
      <vt:lpstr>central_regional_opportunity_weight_positive_growth</vt:lpstr>
      <vt:lpstr>central_third_trimester_window_rate</vt:lpstr>
      <vt:lpstr>central_third_trimester_window_rate_growth</vt:lpstr>
      <vt:lpstr>central_third_trimester_window_rate_positive</vt:lpstr>
      <vt:lpstr>central_third_trimester_window_rate_positive_growth</vt:lpstr>
      <vt:lpstr>central_training_budget</vt:lpstr>
      <vt:lpstr>central_training_budget_growth</vt:lpstr>
      <vt:lpstr>central_training_budget_positive</vt:lpstr>
      <vt:lpstr>central_training_budget_positive_growth</vt:lpstr>
      <vt:lpstr>cold_chain_warehousing_cost_per_dose</vt:lpstr>
      <vt:lpstr>cold_chain_warehousing_cost_per_dose_growth</vt:lpstr>
      <vt:lpstr>cold_chain_warehousing_cost_per_dose_positive</vt:lpstr>
      <vt:lpstr>cold_chain_warehousing_cost_per_dose_positive_growth</vt:lpstr>
      <vt:lpstr>country_office_rent</vt:lpstr>
      <vt:lpstr>country_office_rent_growth</vt:lpstr>
      <vt:lpstr>country_office_rent_positive</vt:lpstr>
      <vt:lpstr>country_office_rent_positive_growth</vt:lpstr>
      <vt:lpstr>eastern_anc_access_rate</vt:lpstr>
      <vt:lpstr>eastern_anc_access_rate_growth</vt:lpstr>
      <vt:lpstr>eastern_anc_access_rate_positive</vt:lpstr>
      <vt:lpstr>eastern_anc_access_rate_positive_growth</vt:lpstr>
      <vt:lpstr>eastern_launch_budget</vt:lpstr>
      <vt:lpstr>eastern_launch_budget_growth</vt:lpstr>
      <vt:lpstr>eastern_launch_budget_positive</vt:lpstr>
      <vt:lpstr>eastern_launch_budget_positive_growth</vt:lpstr>
      <vt:lpstr>eastern_private_acceptance_rate</vt:lpstr>
      <vt:lpstr>eastern_private_acceptance_rate_growth</vt:lpstr>
      <vt:lpstr>eastern_private_acceptance_rate_positive</vt:lpstr>
      <vt:lpstr>eastern_private_acceptance_rate_positive_growth</vt:lpstr>
      <vt:lpstr>eastern_private_coverage_additions</vt:lpstr>
      <vt:lpstr>eastern_private_coverage_additions_growth</vt:lpstr>
      <vt:lpstr>eastern_private_coverage_additions_positive</vt:lpstr>
      <vt:lpstr>eastern_private_coverage_additions_positive_growth</vt:lpstr>
      <vt:lpstr>eastern_private_coverage_churn</vt:lpstr>
      <vt:lpstr>eastern_private_coverage_churn_growth</vt:lpstr>
      <vt:lpstr>eastern_private_coverage_churn_positive</vt:lpstr>
      <vt:lpstr>eastern_private_coverage_churn_positive_growth</vt:lpstr>
      <vt:lpstr>eastern_private_distribution_cost_per_dose</vt:lpstr>
      <vt:lpstr>eastern_private_distribution_cost_per_dose_growth</vt:lpstr>
      <vt:lpstr>eastern_private_distribution_cost_per_dose_positive</vt:lpstr>
      <vt:lpstr>eastern_private_distribution_cost_per_dose_positive_growth</vt:lpstr>
      <vt:lpstr>eastern_private_eligibility_rate</vt:lpstr>
      <vt:lpstr>eastern_private_eligibility_rate_growth</vt:lpstr>
      <vt:lpstr>eastern_private_eligibility_rate_positive</vt:lpstr>
      <vt:lpstr>eastern_private_eligibility_rate_positive_growth</vt:lpstr>
      <vt:lpstr>eastern_private_net_price_per_dose</vt:lpstr>
      <vt:lpstr>eastern_private_net_price_per_dose_growth</vt:lpstr>
      <vt:lpstr>eastern_private_net_price_per_dose_positive</vt:lpstr>
      <vt:lpstr>eastern_private_net_price_per_dose_positive_growth</vt:lpstr>
      <vt:lpstr>eastern_private_provider_recommendation_rate</vt:lpstr>
      <vt:lpstr>eastern_private_provider_recommendation_rate_growth</vt:lpstr>
      <vt:lpstr>eastern_private_provider_recommendation_rate_positive</vt:lpstr>
      <vt:lpstr>eastern_private_provider_recommendation_rate_positive_growth</vt:lpstr>
      <vt:lpstr>eastern_private_stock_availability_rate</vt:lpstr>
      <vt:lpstr>eastern_private_stock_availability_rate_growth</vt:lpstr>
      <vt:lpstr>eastern_private_stock_availability_rate_positive</vt:lpstr>
      <vt:lpstr>eastern_private_stock_availability_rate_positive_growth</vt:lpstr>
      <vt:lpstr>eastern_private_trade_support_per_dose</vt:lpstr>
      <vt:lpstr>eastern_private_trade_support_per_dose_growth</vt:lpstr>
      <vt:lpstr>eastern_private_trade_support_per_dose_positive</vt:lpstr>
      <vt:lpstr>eastern_private_trade_support_per_dose_positive_growth</vt:lpstr>
      <vt:lpstr>eastern_private_wastage_rate</vt:lpstr>
      <vt:lpstr>eastern_private_wastage_rate_growth</vt:lpstr>
      <vt:lpstr>eastern_private_wastage_rate_positive</vt:lpstr>
      <vt:lpstr>eastern_private_wastage_rate_positive_growth</vt:lpstr>
      <vt:lpstr>eastern_public_acceptance_rate</vt:lpstr>
      <vt:lpstr>eastern_public_acceptance_rate_growth</vt:lpstr>
      <vt:lpstr>eastern_public_acceptance_rate_positive</vt:lpstr>
      <vt:lpstr>eastern_public_acceptance_rate_positive_growth</vt:lpstr>
      <vt:lpstr>eastern_public_coverage_additions</vt:lpstr>
      <vt:lpstr>eastern_public_coverage_additions_growth</vt:lpstr>
      <vt:lpstr>eastern_public_coverage_additions_positive</vt:lpstr>
      <vt:lpstr>eastern_public_coverage_additions_positive_growth</vt:lpstr>
      <vt:lpstr>eastern_public_coverage_churn</vt:lpstr>
      <vt:lpstr>eastern_public_coverage_churn_growth</vt:lpstr>
      <vt:lpstr>eastern_public_coverage_churn_positive</vt:lpstr>
      <vt:lpstr>eastern_public_coverage_churn_positive_growth</vt:lpstr>
      <vt:lpstr>eastern_public_distribution_cost_per_dose</vt:lpstr>
      <vt:lpstr>eastern_public_distribution_cost_per_dose_growth</vt:lpstr>
      <vt:lpstr>eastern_public_distribution_cost_per_dose_positive</vt:lpstr>
      <vt:lpstr>eastern_public_distribution_cost_per_dose_positive_growth</vt:lpstr>
      <vt:lpstr>eastern_public_eligibility_rate</vt:lpstr>
      <vt:lpstr>eastern_public_eligibility_rate_growth</vt:lpstr>
      <vt:lpstr>eastern_public_eligibility_rate_positive</vt:lpstr>
      <vt:lpstr>eastern_public_eligibility_rate_positive_growth</vt:lpstr>
      <vt:lpstr>eastern_public_net_price_per_dose</vt:lpstr>
      <vt:lpstr>eastern_public_net_price_per_dose_growth</vt:lpstr>
      <vt:lpstr>eastern_public_net_price_per_dose_positive</vt:lpstr>
      <vt:lpstr>eastern_public_net_price_per_dose_positive_growth</vt:lpstr>
      <vt:lpstr>eastern_public_provider_recommendation_rate</vt:lpstr>
      <vt:lpstr>eastern_public_provider_recommendation_rate_growth</vt:lpstr>
      <vt:lpstr>eastern_public_provider_recommendation_rate_positive</vt:lpstr>
      <vt:lpstr>eastern_public_provider_recommendation_rate_positive_growth</vt:lpstr>
      <vt:lpstr>eastern_public_stock_availability_rate</vt:lpstr>
      <vt:lpstr>eastern_public_stock_availability_rate_growth</vt:lpstr>
      <vt:lpstr>eastern_public_stock_availability_rate_positive</vt:lpstr>
      <vt:lpstr>eastern_public_stock_availability_rate_positive_growth</vt:lpstr>
      <vt:lpstr>eastern_public_wastage_rate</vt:lpstr>
      <vt:lpstr>eastern_public_wastage_rate_growth</vt:lpstr>
      <vt:lpstr>eastern_public_wastage_rate_positive</vt:lpstr>
      <vt:lpstr>eastern_public_wastage_rate_positive_growth</vt:lpstr>
      <vt:lpstr>eastern_regional_opportunity_weight</vt:lpstr>
      <vt:lpstr>eastern_regional_opportunity_weight_growth</vt:lpstr>
      <vt:lpstr>eastern_regional_opportunity_weight_positive</vt:lpstr>
      <vt:lpstr>eastern_regional_opportunity_weight_positive_growth</vt:lpstr>
      <vt:lpstr>eastern_third_trimester_window_rate</vt:lpstr>
      <vt:lpstr>eastern_third_trimester_window_rate_growth</vt:lpstr>
      <vt:lpstr>eastern_third_trimester_window_rate_positive</vt:lpstr>
      <vt:lpstr>eastern_third_trimester_window_rate_positive_growth</vt:lpstr>
      <vt:lpstr>eastern_training_budget</vt:lpstr>
      <vt:lpstr>eastern_training_budget_growth</vt:lpstr>
      <vt:lpstr>eastern_training_budget_positive</vt:lpstr>
      <vt:lpstr>eastern_training_budget_positive_growth</vt:lpstr>
      <vt:lpstr>import_clearance_cost_per_dose</vt:lpstr>
      <vt:lpstr>import_clearance_cost_per_dose_growth</vt:lpstr>
      <vt:lpstr>import_clearance_cost_per_dose_positive</vt:lpstr>
      <vt:lpstr>import_clearance_cost_per_dose_positive_growth</vt:lpstr>
      <vt:lpstr>it_and_quality_support</vt:lpstr>
      <vt:lpstr>it_and_quality_support_growth</vt:lpstr>
      <vt:lpstr>it_and_quality_support_positive</vt:lpstr>
      <vt:lpstr>it_and_quality_support_positive_growth</vt:lpstr>
      <vt:lpstr>kol_and_medical_program_budget</vt:lpstr>
      <vt:lpstr>kol_and_medical_program_budget_growth</vt:lpstr>
      <vt:lpstr>kol_and_medical_program_budget_positive</vt:lpstr>
      <vt:lpstr>kol_and_medical_program_budget_positive_growth</vt:lpstr>
      <vt:lpstr>landed_vaccine_cost_per_dose</vt:lpstr>
      <vt:lpstr>landed_vaccine_cost_per_dose_growth</vt:lpstr>
      <vt:lpstr>landed_vaccine_cost_per_dose_positive</vt:lpstr>
      <vt:lpstr>landed_vaccine_cost_per_dose_positive_growth</vt:lpstr>
      <vt:lpstr>market_access_cost_per_fte</vt:lpstr>
      <vt:lpstr>market_access_cost_per_fte_growth</vt:lpstr>
      <vt:lpstr>market_access_cost_per_fte_positive</vt:lpstr>
      <vt:lpstr>market_access_cost_per_fte_positive_growth</vt:lpstr>
      <vt:lpstr>market_access_headcount</vt:lpstr>
      <vt:lpstr>market_access_headcount_growth</vt:lpstr>
      <vt:lpstr>market_access_headcount_positive</vt:lpstr>
      <vt:lpstr>market_access_headcount_positive_growth</vt:lpstr>
      <vt:lpstr>medical_cost_per_fte</vt:lpstr>
      <vt:lpstr>medical_cost_per_fte_growth</vt:lpstr>
      <vt:lpstr>medical_cost_per_fte_positive</vt:lpstr>
      <vt:lpstr>medical_cost_per_fte_positive_growth</vt:lpstr>
      <vt:lpstr>medical_headcount</vt:lpstr>
      <vt:lpstr>medical_headcount_growth</vt:lpstr>
      <vt:lpstr>medical_headcount_positive</vt:lpstr>
      <vt:lpstr>medical_headcount_positive_growth</vt:lpstr>
      <vt:lpstr>national_live_births_per_month</vt:lpstr>
      <vt:lpstr>national_live_births_per_month_growth</vt:lpstr>
      <vt:lpstr>national_live_births_per_month_positive</vt:lpstr>
      <vt:lpstr>national_live_births_per_month_positive_growth</vt:lpstr>
      <vt:lpstr>northern_anc_access_rate</vt:lpstr>
      <vt:lpstr>northern_anc_access_rate_growth</vt:lpstr>
      <vt:lpstr>northern_anc_access_rate_positive</vt:lpstr>
      <vt:lpstr>northern_anc_access_rate_positive_growth</vt:lpstr>
      <vt:lpstr>northern_launch_budget</vt:lpstr>
      <vt:lpstr>northern_launch_budget_growth</vt:lpstr>
      <vt:lpstr>northern_launch_budget_positive</vt:lpstr>
      <vt:lpstr>northern_launch_budget_positive_growth</vt:lpstr>
      <vt:lpstr>northern_private_acceptance_rate</vt:lpstr>
      <vt:lpstr>northern_private_acceptance_rate_growth</vt:lpstr>
      <vt:lpstr>northern_private_acceptance_rate_positive</vt:lpstr>
      <vt:lpstr>northern_private_acceptance_rate_positive_growth</vt:lpstr>
      <vt:lpstr>northern_private_coverage_additions</vt:lpstr>
      <vt:lpstr>northern_private_coverage_additions_growth</vt:lpstr>
      <vt:lpstr>northern_private_coverage_additions_positive</vt:lpstr>
      <vt:lpstr>northern_private_coverage_additions_positive_growth</vt:lpstr>
      <vt:lpstr>northern_private_coverage_churn</vt:lpstr>
      <vt:lpstr>northern_private_coverage_churn_growth</vt:lpstr>
      <vt:lpstr>northern_private_coverage_churn_positive</vt:lpstr>
      <vt:lpstr>northern_private_coverage_churn_positive_growth</vt:lpstr>
      <vt:lpstr>northern_private_distribution_cost_per_dose</vt:lpstr>
      <vt:lpstr>northern_private_distribution_cost_per_dose_growth</vt:lpstr>
      <vt:lpstr>northern_private_distribution_cost_per_dose_positive</vt:lpstr>
      <vt:lpstr>northern_private_distribution_cost_per_dose_positive_growth</vt:lpstr>
      <vt:lpstr>northern_private_eligibility_rate</vt:lpstr>
      <vt:lpstr>northern_private_eligibility_rate_growth</vt:lpstr>
      <vt:lpstr>northern_private_eligibility_rate_positive</vt:lpstr>
      <vt:lpstr>northern_private_eligibility_rate_positive_growth</vt:lpstr>
      <vt:lpstr>northern_private_net_price_per_dose</vt:lpstr>
      <vt:lpstr>northern_private_net_price_per_dose_growth</vt:lpstr>
      <vt:lpstr>northern_private_net_price_per_dose_positive</vt:lpstr>
      <vt:lpstr>northern_private_net_price_per_dose_positive_growth</vt:lpstr>
      <vt:lpstr>northern_private_provider_recommendation_rate</vt:lpstr>
      <vt:lpstr>northern_private_provider_recommendation_rate_growth</vt:lpstr>
      <vt:lpstr>northern_private_provider_recommendation_rate_positive</vt:lpstr>
      <vt:lpstr>northern_private_provider_recommendation_rate_positive_growth</vt:lpstr>
      <vt:lpstr>northern_private_stock_availability_rate</vt:lpstr>
      <vt:lpstr>northern_private_stock_availability_rate_growth</vt:lpstr>
      <vt:lpstr>northern_private_stock_availability_rate_positive</vt:lpstr>
      <vt:lpstr>northern_private_stock_availability_rate_positive_growth</vt:lpstr>
      <vt:lpstr>northern_private_trade_support_per_dose</vt:lpstr>
      <vt:lpstr>northern_private_trade_support_per_dose_growth</vt:lpstr>
      <vt:lpstr>northern_private_trade_support_per_dose_positive</vt:lpstr>
      <vt:lpstr>northern_private_trade_support_per_dose_positive_growth</vt:lpstr>
      <vt:lpstr>northern_private_wastage_rate</vt:lpstr>
      <vt:lpstr>northern_private_wastage_rate_growth</vt:lpstr>
      <vt:lpstr>northern_private_wastage_rate_positive</vt:lpstr>
      <vt:lpstr>northern_private_wastage_rate_positive_growth</vt:lpstr>
      <vt:lpstr>northern_public_acceptance_rate</vt:lpstr>
      <vt:lpstr>northern_public_acceptance_rate_growth</vt:lpstr>
      <vt:lpstr>northern_public_acceptance_rate_positive</vt:lpstr>
      <vt:lpstr>northern_public_acceptance_rate_positive_growth</vt:lpstr>
      <vt:lpstr>northern_public_coverage_additions</vt:lpstr>
      <vt:lpstr>northern_public_coverage_additions_growth</vt:lpstr>
      <vt:lpstr>northern_public_coverage_additions_positive</vt:lpstr>
      <vt:lpstr>northern_public_coverage_additions_positive_growth</vt:lpstr>
      <vt:lpstr>northern_public_coverage_churn</vt:lpstr>
      <vt:lpstr>northern_public_coverage_churn_growth</vt:lpstr>
      <vt:lpstr>northern_public_coverage_churn_positive</vt:lpstr>
      <vt:lpstr>northern_public_coverage_churn_positive_growth</vt:lpstr>
      <vt:lpstr>northern_public_distribution_cost_per_dose</vt:lpstr>
      <vt:lpstr>northern_public_distribution_cost_per_dose_growth</vt:lpstr>
      <vt:lpstr>northern_public_distribution_cost_per_dose_positive</vt:lpstr>
      <vt:lpstr>northern_public_distribution_cost_per_dose_positive_growth</vt:lpstr>
      <vt:lpstr>northern_public_eligibility_rate</vt:lpstr>
      <vt:lpstr>northern_public_eligibility_rate_growth</vt:lpstr>
      <vt:lpstr>northern_public_eligibility_rate_positive</vt:lpstr>
      <vt:lpstr>northern_public_eligibility_rate_positive_growth</vt:lpstr>
      <vt:lpstr>northern_public_net_price_per_dose</vt:lpstr>
      <vt:lpstr>northern_public_net_price_per_dose_growth</vt:lpstr>
      <vt:lpstr>northern_public_net_price_per_dose_positive</vt:lpstr>
      <vt:lpstr>northern_public_net_price_per_dose_positive_growth</vt:lpstr>
      <vt:lpstr>northern_public_provider_recommendation_rate</vt:lpstr>
      <vt:lpstr>northern_public_provider_recommendation_rate_growth</vt:lpstr>
      <vt:lpstr>northern_public_provider_recommendation_rate_positive</vt:lpstr>
      <vt:lpstr>northern_public_provider_recommendation_rate_positive_growth</vt:lpstr>
      <vt:lpstr>northern_public_stock_availability_rate</vt:lpstr>
      <vt:lpstr>northern_public_stock_availability_rate_growth</vt:lpstr>
      <vt:lpstr>northern_public_stock_availability_rate_positive</vt:lpstr>
      <vt:lpstr>northern_public_stock_availability_rate_positive_growth</vt:lpstr>
      <vt:lpstr>northern_public_wastage_rate</vt:lpstr>
      <vt:lpstr>northern_public_wastage_rate_growth</vt:lpstr>
      <vt:lpstr>northern_public_wastage_rate_positive</vt:lpstr>
      <vt:lpstr>northern_public_wastage_rate_positive_growth</vt:lpstr>
      <vt:lpstr>northern_regional_opportunity_weight</vt:lpstr>
      <vt:lpstr>northern_regional_opportunity_weight_growth</vt:lpstr>
      <vt:lpstr>northern_regional_opportunity_weight_positive</vt:lpstr>
      <vt:lpstr>northern_regional_opportunity_weight_positive_growth</vt:lpstr>
      <vt:lpstr>northern_third_trimester_window_rate</vt:lpstr>
      <vt:lpstr>northern_third_trimester_window_rate_growth</vt:lpstr>
      <vt:lpstr>northern_third_trimester_window_rate_positive</vt:lpstr>
      <vt:lpstr>northern_third_trimester_window_rate_positive_growth</vt:lpstr>
      <vt:lpstr>northern_training_budget</vt:lpstr>
      <vt:lpstr>northern_training_budget_growth</vt:lpstr>
      <vt:lpstr>northern_training_budget_positive</vt:lpstr>
      <vt:lpstr>northern_training_budget_positive_growth</vt:lpstr>
      <vt:lpstr>private_field_rep_cost_per_fte</vt:lpstr>
      <vt:lpstr>private_field_rep_cost_per_fte_growth</vt:lpstr>
      <vt:lpstr>private_field_rep_cost_per_fte_positive</vt:lpstr>
      <vt:lpstr>private_field_rep_cost_per_fte_positive_growth</vt:lpstr>
      <vt:lpstr>private_field_rep_headcount</vt:lpstr>
      <vt:lpstr>private_field_rep_headcount_growth</vt:lpstr>
      <vt:lpstr>private_field_rep_headcount_positive</vt:lpstr>
      <vt:lpstr>private_field_rep_headcount_positive_growth</vt:lpstr>
      <vt:lpstr>private_sales_manager_cost</vt:lpstr>
      <vt:lpstr>private_sales_manager_cost_growth</vt:lpstr>
      <vt:lpstr>private_sales_manager_cost_positive</vt:lpstr>
      <vt:lpstr>private_sales_manager_cost_positive_growth</vt:lpstr>
      <vt:lpstr>private_sales_travel_budget</vt:lpstr>
      <vt:lpstr>private_sales_travel_budget_growth</vt:lpstr>
      <vt:lpstr>private_sales_travel_budget_positive</vt:lpstr>
      <vt:lpstr>private_sales_travel_budget_positive_growth</vt:lpstr>
      <vt:lpstr>regulatory_cost_per_fte</vt:lpstr>
      <vt:lpstr>regulatory_cost_per_fte_growth</vt:lpstr>
      <vt:lpstr>regulatory_cost_per_fte_positive</vt:lpstr>
      <vt:lpstr>regulatory_cost_per_fte_positive_growth</vt:lpstr>
      <vt:lpstr>regulatory_fees_and_compliance</vt:lpstr>
      <vt:lpstr>regulatory_fees_and_compliance_growth</vt:lpstr>
      <vt:lpstr>regulatory_fees_and_compliance_positive</vt:lpstr>
      <vt:lpstr>regulatory_fees_and_compliance_positive_growth</vt:lpstr>
      <vt:lpstr>regulatory_headcount</vt:lpstr>
      <vt:lpstr>regulatory_headcount_growth</vt:lpstr>
      <vt:lpstr>regulatory_headcount_positive</vt:lpstr>
      <vt:lpstr>regulatory_headcount_positive_growth</vt:lpstr>
      <vt:lpstr>tender_support_budget</vt:lpstr>
      <vt:lpstr>tender_support_budget_growth</vt:lpstr>
      <vt:lpstr>tender_support_budget_positive</vt:lpstr>
      <vt:lpstr>tender_support_budget_positive_growth</vt:lpstr>
      <vt:lpstr>utilities_and_admin</vt:lpstr>
      <vt:lpstr>utilities_and_admin_growth</vt:lpstr>
      <vt:lpstr>utilities_and_admin_positive</vt:lpstr>
      <vt:lpstr>utilities_and_admin_positive_growth</vt:lpstr>
      <vt:lpstr>western_anc_access_rate</vt:lpstr>
      <vt:lpstr>western_anc_access_rate_growth</vt:lpstr>
      <vt:lpstr>western_anc_access_rate_positive</vt:lpstr>
      <vt:lpstr>western_anc_access_rate_positive_growth</vt:lpstr>
      <vt:lpstr>western_launch_budget</vt:lpstr>
      <vt:lpstr>western_launch_budget_growth</vt:lpstr>
      <vt:lpstr>western_launch_budget_positive</vt:lpstr>
      <vt:lpstr>western_launch_budget_positive_growth</vt:lpstr>
      <vt:lpstr>western_private_acceptance_rate</vt:lpstr>
      <vt:lpstr>western_private_acceptance_rate_growth</vt:lpstr>
      <vt:lpstr>western_private_acceptance_rate_positive</vt:lpstr>
      <vt:lpstr>western_private_acceptance_rate_positive_growth</vt:lpstr>
      <vt:lpstr>western_private_coverage_additions</vt:lpstr>
      <vt:lpstr>western_private_coverage_additions_growth</vt:lpstr>
      <vt:lpstr>western_private_coverage_additions_positive</vt:lpstr>
      <vt:lpstr>western_private_coverage_additions_positive_growth</vt:lpstr>
      <vt:lpstr>western_private_coverage_churn</vt:lpstr>
      <vt:lpstr>western_private_coverage_churn_growth</vt:lpstr>
      <vt:lpstr>western_private_coverage_churn_positive</vt:lpstr>
      <vt:lpstr>western_private_coverage_churn_positive_growth</vt:lpstr>
      <vt:lpstr>western_private_distribution_cost_per_dose</vt:lpstr>
      <vt:lpstr>western_private_distribution_cost_per_dose_growth</vt:lpstr>
      <vt:lpstr>western_private_distribution_cost_per_dose_positive</vt:lpstr>
      <vt:lpstr>western_private_distribution_cost_per_dose_positive_growth</vt:lpstr>
      <vt:lpstr>western_private_eligibility_rate</vt:lpstr>
      <vt:lpstr>western_private_eligibility_rate_growth</vt:lpstr>
      <vt:lpstr>western_private_eligibility_rate_positive</vt:lpstr>
      <vt:lpstr>western_private_eligibility_rate_positive_growth</vt:lpstr>
      <vt:lpstr>western_private_net_price_per_dose</vt:lpstr>
      <vt:lpstr>western_private_net_price_per_dose_growth</vt:lpstr>
      <vt:lpstr>western_private_net_price_per_dose_positive</vt:lpstr>
      <vt:lpstr>western_private_net_price_per_dose_positive_growth</vt:lpstr>
      <vt:lpstr>western_private_provider_recommendation_rate</vt:lpstr>
      <vt:lpstr>western_private_provider_recommendation_rate_growth</vt:lpstr>
      <vt:lpstr>western_private_provider_recommendation_rate_positive</vt:lpstr>
      <vt:lpstr>western_private_provider_recommendation_rate_positive_growth</vt:lpstr>
      <vt:lpstr>western_private_stock_availability_rate</vt:lpstr>
      <vt:lpstr>western_private_stock_availability_rate_growth</vt:lpstr>
      <vt:lpstr>western_private_stock_availability_rate_positive</vt:lpstr>
      <vt:lpstr>western_private_stock_availability_rate_positive_growth</vt:lpstr>
      <vt:lpstr>western_private_trade_support_per_dose</vt:lpstr>
      <vt:lpstr>western_private_trade_support_per_dose_growth</vt:lpstr>
      <vt:lpstr>western_private_trade_support_per_dose_positive</vt:lpstr>
      <vt:lpstr>western_private_trade_support_per_dose_positive_growth</vt:lpstr>
      <vt:lpstr>western_private_wastage_rate</vt:lpstr>
      <vt:lpstr>western_private_wastage_rate_growth</vt:lpstr>
      <vt:lpstr>western_private_wastage_rate_positive</vt:lpstr>
      <vt:lpstr>western_private_wastage_rate_positive_growth</vt:lpstr>
      <vt:lpstr>western_public_acceptance_rate</vt:lpstr>
      <vt:lpstr>western_public_acceptance_rate_growth</vt:lpstr>
      <vt:lpstr>western_public_acceptance_rate_positive</vt:lpstr>
      <vt:lpstr>western_public_acceptance_rate_positive_growth</vt:lpstr>
      <vt:lpstr>western_public_coverage_additions</vt:lpstr>
      <vt:lpstr>western_public_coverage_additions_growth</vt:lpstr>
      <vt:lpstr>western_public_coverage_additions_positive</vt:lpstr>
      <vt:lpstr>western_public_coverage_additions_positive_growth</vt:lpstr>
      <vt:lpstr>western_public_coverage_churn</vt:lpstr>
      <vt:lpstr>western_public_coverage_churn_growth</vt:lpstr>
      <vt:lpstr>western_public_coverage_churn_positive</vt:lpstr>
      <vt:lpstr>western_public_coverage_churn_positive_growth</vt:lpstr>
      <vt:lpstr>western_public_distribution_cost_per_dose</vt:lpstr>
      <vt:lpstr>western_public_distribution_cost_per_dose_growth</vt:lpstr>
      <vt:lpstr>western_public_distribution_cost_per_dose_positive</vt:lpstr>
      <vt:lpstr>western_public_distribution_cost_per_dose_positive_growth</vt:lpstr>
      <vt:lpstr>western_public_eligibility_rate</vt:lpstr>
      <vt:lpstr>western_public_eligibility_rate_growth</vt:lpstr>
      <vt:lpstr>western_public_eligibility_rate_positive</vt:lpstr>
      <vt:lpstr>western_public_eligibility_rate_positive_growth</vt:lpstr>
      <vt:lpstr>western_public_net_price_per_dose</vt:lpstr>
      <vt:lpstr>western_public_net_price_per_dose_growth</vt:lpstr>
      <vt:lpstr>western_public_net_price_per_dose_positive</vt:lpstr>
      <vt:lpstr>western_public_net_price_per_dose_positive_growth</vt:lpstr>
      <vt:lpstr>western_public_provider_recommendation_rate</vt:lpstr>
      <vt:lpstr>western_public_provider_recommendation_rate_growth</vt:lpstr>
      <vt:lpstr>western_public_provider_recommendation_rate_positive</vt:lpstr>
      <vt:lpstr>western_public_provider_recommendation_rate_positive_growth</vt:lpstr>
      <vt:lpstr>western_public_stock_availability_rate</vt:lpstr>
      <vt:lpstr>western_public_stock_availability_rate_growth</vt:lpstr>
      <vt:lpstr>western_public_stock_availability_rate_positive</vt:lpstr>
      <vt:lpstr>western_public_stock_availability_rate_positive_growth</vt:lpstr>
      <vt:lpstr>western_public_wastage_rate</vt:lpstr>
      <vt:lpstr>western_public_wastage_rate_growth</vt:lpstr>
      <vt:lpstr>western_public_wastage_rate_positive</vt:lpstr>
      <vt:lpstr>western_public_wastage_rate_positive_growth</vt:lpstr>
      <vt:lpstr>western_regional_opportunity_weight</vt:lpstr>
      <vt:lpstr>western_regional_opportunity_weight_growth</vt:lpstr>
      <vt:lpstr>western_regional_opportunity_weight_positive</vt:lpstr>
      <vt:lpstr>western_regional_opportunity_weight_positive_growth</vt:lpstr>
      <vt:lpstr>western_third_trimester_window_rate</vt:lpstr>
      <vt:lpstr>western_third_trimester_window_rate_growth</vt:lpstr>
      <vt:lpstr>western_third_trimester_window_rate_positive</vt:lpstr>
      <vt:lpstr>western_third_trimester_window_rate_positive_growth</vt:lpstr>
      <vt:lpstr>western_training_budget</vt:lpstr>
      <vt:lpstr>western_training_budget_growth</vt:lpstr>
      <vt:lpstr>western_training_budget_positive</vt:lpstr>
      <vt:lpstr>western_training_budget_positive_growth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Barker</cp:lastModifiedBy>
  <dcterms:created xsi:type="dcterms:W3CDTF">2026-04-23T14:39:39Z</dcterms:created>
  <dcterms:modified xsi:type="dcterms:W3CDTF">2026-04-25T06:40:18Z</dcterms:modified>
</cp:coreProperties>
</file>