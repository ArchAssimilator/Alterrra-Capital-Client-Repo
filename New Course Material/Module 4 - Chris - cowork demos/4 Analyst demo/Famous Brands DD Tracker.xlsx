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Financial DD" sheetId="2" state="visible" r:id="rId4"/>
    <sheet name="Commercial DD" sheetId="3" state="visible" r:id="rId5"/>
    <sheet name="Legal DD" sheetId="4" state="visible" r:id="rId6"/>
    <sheet name="Operational DD" sheetId="5" state="visible" r:id="rId7"/>
    <sheet name="HR &amp; People DD" sheetId="6" state="visible" r:id="rId8"/>
    <sheet name="IT &amp; Tech DD" sheetId="7" state="visible" r:id="rId9"/>
    <sheet name="ESG DD" sheetId="8" state="visible" r:id="rId10"/>
    <sheet name="Consumer DD" sheetId="9" state="visible" r:id="rId11"/>
    <sheet name="Red Flag Log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<sst xmlns="http://schemas.openxmlformats.org/spreadsheetml/2006/main" count="652" uniqueCount="339">
  <si>
    <t xml:space="preserve">FAMOUS BRANDS LIMITED — DUE DILIGENCE TRACKER</t>
  </si>
  <si>
    <t xml:space="preserve">Growth Equity | Deal Size: R13.0bn | South Africa / Pan-Africa | Date: 17 Mar 2026</t>
  </si>
  <si>
    <t xml:space="preserve">WORKSTREAM PROGRESS SUMMARY</t>
  </si>
  <si>
    <t xml:space="preserve">Workstream</t>
  </si>
  <si>
    <t xml:space="preserve">Sheet</t>
  </si>
  <si>
    <t xml:space="preserve">Total Items</t>
  </si>
  <si>
    <t xml:space="preserve">Not Started</t>
  </si>
  <si>
    <t xml:space="preserve">In Progress</t>
  </si>
  <si>
    <t xml:space="preserve">Complete</t>
  </si>
  <si>
    <t xml:space="preserve">Red Flags</t>
  </si>
  <si>
    <t xml:space="preserve">% Complete</t>
  </si>
  <si>
    <t xml:space="preserve">P0 Outstanding</t>
  </si>
  <si>
    <t xml:space="preserve">Status</t>
  </si>
  <si>
    <t xml:space="preserve">Financial DD</t>
  </si>
  <si>
    <t xml:space="preserve">Commercial DD</t>
  </si>
  <si>
    <t xml:space="preserve">Legal DD</t>
  </si>
  <si>
    <t xml:space="preserve">Operational DD</t>
  </si>
  <si>
    <t xml:space="preserve">HR &amp; People DD</t>
  </si>
  <si>
    <t xml:space="preserve">IT &amp; Technology DD</t>
  </si>
  <si>
    <t xml:space="preserve">IT &amp; Tech DD</t>
  </si>
  <si>
    <t xml:space="preserve">ESG &amp; Regulatory</t>
  </si>
  <si>
    <t xml:space="preserve">ESG DD</t>
  </si>
  <si>
    <t xml:space="preserve">Consumer / Franchise</t>
  </si>
  <si>
    <t xml:space="preserve">Consumer DD</t>
  </si>
  <si>
    <t xml:space="preserve">TOTAL</t>
  </si>
  <si>
    <t xml:space="preserve">KEY DEAL PARAMETERS</t>
  </si>
  <si>
    <t xml:space="preserve">Target Company</t>
  </si>
  <si>
    <t xml:space="preserve">Famous Brands Limited (JSE: FBR)</t>
  </si>
  <si>
    <t xml:space="preserve">Sector</t>
  </si>
  <si>
    <t xml:space="preserve">Consumer / QSR &amp; Casual Dining Franchisor</t>
  </si>
  <si>
    <t xml:space="preserve">Deal Type</t>
  </si>
  <si>
    <t xml:space="preserve">Growth Equity (Minority Stake)</t>
  </si>
  <si>
    <t xml:space="preserve">Deal Size</t>
  </si>
  <si>
    <t xml:space="preserve">R13.0bn</t>
  </si>
  <si>
    <t xml:space="preserve">Geography</t>
  </si>
  <si>
    <t xml:space="preserve">South Africa (primary), Sub-Saharan Africa, Middle East</t>
  </si>
  <si>
    <t xml:space="preserve">Key Concern</t>
  </si>
  <si>
    <t xml:space="preserve">Customer / Franchisee Concentration; Brand Concentration</t>
  </si>
  <si>
    <t xml:space="preserve">LOI Target</t>
  </si>
  <si>
    <t xml:space="preserve">TBC</t>
  </si>
  <si>
    <t xml:space="preserve">Close Target</t>
  </si>
  <si>
    <t xml:space="preserve">Lead Advisor</t>
  </si>
  <si>
    <t xml:space="preserve">DD Status</t>
  </si>
  <si>
    <t xml:space="preserve">Initiated</t>
  </si>
  <si>
    <t xml:space="preserve">Famous Brands — Financial DD</t>
  </si>
  <si>
    <t xml:space="preserve">#</t>
  </si>
  <si>
    <t xml:space="preserve">Due Diligence Item</t>
  </si>
  <si>
    <t xml:space="preserve">Description / Request</t>
  </si>
  <si>
    <t xml:space="preserve">Data Room Ref</t>
  </si>
  <si>
    <t xml:space="preserve">Priority</t>
  </si>
  <si>
    <t xml:space="preserve">Owner</t>
  </si>
  <si>
    <t xml:space="preserve">Due Date</t>
  </si>
  <si>
    <t xml:space="preserve">Notes / Red Flag Detail</t>
  </si>
  <si>
    <t xml:space="preserve">  QUALITY OF EARNINGS (QOE)</t>
  </si>
  <si>
    <t xml:space="preserve">QoE Report — Management Accounts</t>
  </si>
  <si>
    <t xml:space="preserve">Obtain FY2022–FY2025 audited financials + management accounts. IFRS-compliant. Focus on recurring vs. non-recurring items.</t>
  </si>
  <si>
    <t xml:space="preserve">P0 - Gating</t>
  </si>
  <si>
    <t xml:space="preserve">Revenue Bridge — Organic vs. Inorganic</t>
  </si>
  <si>
    <t xml:space="preserve">Decompose revenue growth by: new restaurant openings, same-store sales growth (SSSG), royalty rate changes, manufacturing volumes.</t>
  </si>
  <si>
    <t xml:space="preserve">EBITDA Adjustments &amp; Normalisation</t>
  </si>
  <si>
    <t xml:space="preserve">Identify one-off costs (GBK write-down residuals, restructuring, COVID relief, IFRS 16 lease reclassifications), management add-backs.</t>
  </si>
  <si>
    <t xml:space="preserve">IFRS 16 Lease Analysis</t>
  </si>
  <si>
    <t xml:space="preserve">Quantify right-of-use assets and lease liabilities. Understand impact on reported EBITDA vs. EBITDAL. Key given franchise model.</t>
  </si>
  <si>
    <t xml:space="preserve">P1 - High</t>
  </si>
  <si>
    <t xml:space="preserve">Manufacturing Division P&amp;L</t>
  </si>
  <si>
    <t xml:space="preserve">Separate Logistical Services (manufacturing, distribution) P&amp;L from franchise segment. Assess intercompany pricing / transfer pricing.</t>
  </si>
  <si>
    <t xml:space="preserve">Royalty &amp; Franchise Fee Revenue Quality</t>
  </si>
  <si>
    <t xml:space="preserve">Validate royalty rate structures by brand. Identify fixed vs. % of turnover fees. Confirm royalty collection history and bad debts.</t>
  </si>
  <si>
    <t xml:space="preserve">Supply Chain Revenue Concentration</t>
  </si>
  <si>
    <t xml:space="preserve">Assess revenue concentration by brand and franchisee group within manufacturing segment.</t>
  </si>
  <si>
    <t xml:space="preserve">  WORKING CAPITAL &amp; CASH FLOW</t>
  </si>
  <si>
    <t xml:space="preserve">Normalised Working Capital Analysis</t>
  </si>
  <si>
    <t xml:space="preserve">12-month trailing working capital. Identify seasonal peaks (December trading). Peg for SPA locked-box / completion accounts.</t>
  </si>
  <si>
    <t xml:space="preserve">Capex — Maintenance vs. Growth</t>
  </si>
  <si>
    <t xml:space="preserve">Split capex between: company-owned restaurant refurbs, manufacturing plant, IT systems, and growth (new territories).</t>
  </si>
  <si>
    <t xml:space="preserve">Free Cash Flow Conversion</t>
  </si>
  <si>
    <t xml:space="preserve">FCF = EBITDA – capex – working capital movements – tax paid. Target &gt;75% conversion vs. EBITDA.</t>
  </si>
  <si>
    <t xml:space="preserve">Dividend History &amp; Capital Allocation</t>
  </si>
  <si>
    <t xml:space="preserve">Review JSE dividend announcements, special dividends, and share buyback history (FY2019–FY2025).</t>
  </si>
  <si>
    <t xml:space="preserve">P2 - Medium</t>
  </si>
  <si>
    <t xml:space="preserve">  DEBT, TAX &amp; BALANCE SHEET</t>
  </si>
  <si>
    <t xml:space="preserve">Net Debt &amp; Debt-Like Items</t>
  </si>
  <si>
    <t xml:space="preserve">Full net debt schedule including: borrowings, IFRS 16 lease liabilities, deferred consideration, contingent liabilities.</t>
  </si>
  <si>
    <t xml:space="preserve">Pension / Retirement Fund Obligations</t>
  </si>
  <si>
    <t xml:space="preserve">South African pension fund actuarial surplus/deficit. Any defined benefit exposure.</t>
  </si>
  <si>
    <t xml:space="preserve">Tax Compliance — SARS</t>
  </si>
  <si>
    <t xml:space="preserve">Confirm SARS compliance: PAYE, VAT, income tax. Any outstanding assessments or disputes. Section 45 / group restructuring history.</t>
  </si>
  <si>
    <t xml:space="preserve">Deferred Tax &amp; Tax Losses</t>
  </si>
  <si>
    <t xml:space="preserve">Identify any unused tax losses (carry-forward). Understand temporary differences from accelerated depreciation.</t>
  </si>
  <si>
    <t xml:space="preserve">Currency Exposure — Sub-Saharan Africa</t>
  </si>
  <si>
    <t xml:space="preserve">Quantify revenues and EBITDA in non-ZAR currencies (Namibia, Botswana, Zambia, Ghana, Nigeria, Middle East).</t>
  </si>
  <si>
    <t xml:space="preserve">Audit History &amp; Accounting Policies</t>
  </si>
  <si>
    <t xml:space="preserve">Review last 3 audit reports (PwC / Deloitte). Any qualified opinions, emphasis of matter, or restatements.</t>
  </si>
  <si>
    <t xml:space="preserve">  PRO FORMA &amp; PROJECTIONS</t>
  </si>
  <si>
    <t xml:space="preserve">Management Case Financial Projections (FY2025–FY2029)</t>
  </si>
  <si>
    <t xml:space="preserve">Obtain management's 5-year plan. Stress-test SSSG assumptions, new restaurant rollout plan, and margin targets.</t>
  </si>
  <si>
    <t xml:space="preserve">Run-Rate &amp; Synergy Adjustments</t>
  </si>
  <si>
    <t xml:space="preserve">Identify any cost-out opportunities or synergies relevant to the equity story (efficiency, supply chain leverage, digital).</t>
  </si>
  <si>
    <t xml:space="preserve">Sensitivity Analysis — ZAR/Consumer</t>
  </si>
  <si>
    <t xml:space="preserve">Model downside scenarios: consumer spending contraction, load-shedding impact, rand depreciation.</t>
  </si>
  <si>
    <t xml:space="preserve">Famous Brands — Commercial DD</t>
  </si>
  <si>
    <t xml:space="preserve">  MARKET &amp; INDUSTRY</t>
  </si>
  <si>
    <t xml:space="preserve">South African QSR Market Size &amp; Growth</t>
  </si>
  <si>
    <t xml:space="preserve">TAM for SA QSR and casual dining. Historical growth (2018–2025). Impact of load-shedding on foot traffic and delivery volumes.</t>
  </si>
  <si>
    <t xml:space="preserve">Consumer Spending Outlook</t>
  </si>
  <si>
    <t xml:space="preserve">SA consumer confidence, disposable income trends, unemployment (35%+). Impact on trading in key LSM segments.</t>
  </si>
  <si>
    <t xml:space="preserve">Delivery &amp; Digital Market Shift</t>
  </si>
  <si>
    <t xml:space="preserve">Assessment of third-party delivery (Uber Eats, Mr D) as % of brand revenue. Competitive dynamics vs. pure-play digital players.</t>
  </si>
  <si>
    <t xml:space="preserve">Pan-African &amp; Middle East Growth Opportunity</t>
  </si>
  <si>
    <t xml:space="preserve">TAM for SSA expansion. Current footprint: Ghana, Nigeria, Kenya, Mauritius, Namibia, Botswana, Middle East. Growth pipeline.</t>
  </si>
  <si>
    <t xml:space="preserve">  COMPETITIVE POSITIONING</t>
  </si>
  <si>
    <t xml:space="preserve">Brand Portfolio Competitive Map</t>
  </si>
  <si>
    <t xml:space="preserve">Map Wimpy, Steers, Debonairs, Mugg &amp; Bean, Fishaways, Tashas against competitors: McDonald's, KFC, Nando's, Spur, RCL Foods.</t>
  </si>
  <si>
    <t xml:space="preserve">Market Share by Brand &amp; Segment</t>
  </si>
  <si>
    <t xml:space="preserve">Estimated market share by: burger QSR, pizza, fish, chicken, casual dining. Source: Euromonitor / NPD / internal data.</t>
  </si>
  <si>
    <t xml:space="preserve">Franchisee Satisfaction Survey</t>
  </si>
  <si>
    <t xml:space="preserve">Obtain or commission franchisee NPS survey. Red flag: franchisee grievances, non-renewals, system exits.</t>
  </si>
  <si>
    <t xml:space="preserve">Brand Health Tracking</t>
  </si>
  <si>
    <t xml:space="preserve">Consumer brand awareness, consideration, preference metrics by brand. Key vs. Nando's and McDonald's.</t>
  </si>
  <si>
    <t xml:space="preserve">  CUSTOMER &amp; FRANCHISEE CONCENTRATION (KEY RISK)</t>
  </si>
  <si>
    <t xml:space="preserve">Top 20 Franchisee Concentration Analysis</t>
  </si>
  <si>
    <t xml:space="preserve">PRIORITY: Identify top 20 franchisees by number of restaurants and revenue contribution. Concentration risk if top 3-5 represent &gt;20% of system.</t>
  </si>
  <si>
    <t xml:space="preserve">Multi-Unit Franchisee (MUF) Agreements</t>
  </si>
  <si>
    <t xml:space="preserve">Review terms for multi-unit operators. Rights of first refusal, territory exclusivity, performance covenants.</t>
  </si>
  <si>
    <t xml:space="preserve">Franchisee Financial Health</t>
  </si>
  <si>
    <t xml:space="preserve">Request anonymised franchisee P&amp;L data. Assess viability (4-wall EBITDA margins). Red flag: franchisee distress could accelerate exits.</t>
  </si>
  <si>
    <t xml:space="preserve">Brand Concentration by Revenue</t>
  </si>
  <si>
    <t xml:space="preserve">What % of total system sales does Steers + Wimpy + Debonairs represent? Risk if legacy brands decline vs. premium (Tashas).</t>
  </si>
  <si>
    <t xml:space="preserve">Contract Renewal &amp; Retention Rate</t>
  </si>
  <si>
    <t xml:space="preserve">Franchisee renewal rate over last 5 years, by brand. Non-renewal reasons.</t>
  </si>
  <si>
    <t xml:space="preserve">New Franchisee Pipeline</t>
  </si>
  <si>
    <t xml:space="preserve">Number of signed franchise agreements not yet open. Geographic split. Pipeline coverage ratio.</t>
  </si>
  <si>
    <t xml:space="preserve">  PRICING, SALES &amp; PIPELINE</t>
  </si>
  <si>
    <t xml:space="preserve">Menu Price Inflation History</t>
  </si>
  <si>
    <t xml:space="preserve">Annual menu price increases vs. CPI, vs. SARB food inflation. Elasticity analysis.</t>
  </si>
  <si>
    <t xml:space="preserve">Same-Store Sales Growth (SSSG) by Brand</t>
  </si>
  <si>
    <t xml:space="preserve">Monthly SSSG for last 36 months by brand. Red flag: sustained negative SSSG in legacy QSR brands.</t>
  </si>
  <si>
    <t xml:space="preserve">Restaurant Development Pipeline</t>
  </si>
  <si>
    <t xml:space="preserve">New restaurant pipeline: signed, under construction, planned (12M / 24M). Split: South Africa vs. international.</t>
  </si>
  <si>
    <t xml:space="preserve">Go-to-Market &amp; Advertising Fund</t>
  </si>
  <si>
    <t xml:space="preserve">Review National Advertising Fund (NAF) contributions, spend allocation, and franchisee disputes.</t>
  </si>
  <si>
    <t xml:space="preserve">Famous Brands — Legal DD</t>
  </si>
  <si>
    <t xml:space="preserve">  CORPORATE STRUCTURE</t>
  </si>
  <si>
    <t xml:space="preserve">Group Corporate Structure Chart</t>
  </si>
  <si>
    <t xml:space="preserve">Full legal entity map: holding company (Famous Brands Ltd), SA operating subsidiaries, international JV/franchise structures.</t>
  </si>
  <si>
    <t xml:space="preserve">JSE Listing &amp; Shareholder Register</t>
  </si>
  <si>
    <t xml:space="preserve">Major shareholders (&gt;5%), concert parties, institutional holders. Confirm no change-of-control provisions triggered.</t>
  </si>
  <si>
    <t xml:space="preserve">Subsidiaries &amp; Joint Ventures</t>
  </si>
  <si>
    <t xml:space="preserve">List all subsidiaries, JVs, and associates. Focus on international structures (Middle East JV, African master franchise holders).</t>
  </si>
  <si>
    <t xml:space="preserve">  MATERIAL CONTRACTS</t>
  </si>
  <si>
    <t xml:space="preserve">Master Franchise Agreements — International</t>
  </si>
  <si>
    <t xml:space="preserve">Review all international master franchise agreements. Terms: territory rights, royalty rates, development obligations, renewal options.</t>
  </si>
  <si>
    <t xml:space="preserve">SA Franchise Disclosure Documents (FDD)</t>
  </si>
  <si>
    <t xml:space="preserve">Compliance with SA Consumer Protection Act (CPA) franchise disclosure requirements. Last update date.</t>
  </si>
  <si>
    <t xml:space="preserve">Manufacturing Supply Agreements</t>
  </si>
  <si>
    <t xml:space="preserve">Key supply agreements between manufacturing division and franchisees. Transfer pricing, exclusivity, and price escalation clauses.</t>
  </si>
  <si>
    <t xml:space="preserve">Key Supplier Agreements</t>
  </si>
  <si>
    <t xml:space="preserve">Review top 10 supplier contracts (packaging, proteins, buns). Single-source risk, pricing mechanisms.</t>
  </si>
  <si>
    <t xml:space="preserve">Lease Portfolio Review</t>
  </si>
  <si>
    <t xml:space="preserve">Corporate-leased properties (manufacturing, support office). Remaining lease terms, break clauses, renewal options.</t>
  </si>
  <si>
    <t xml:space="preserve">Technology &amp; Licensing Agreements</t>
  </si>
  <si>
    <t xml:space="preserve">POS system licenses, loyalty programme (Famous Rewards) IP, digital ordering platform agreements.</t>
  </si>
  <si>
    <t xml:space="preserve">  IP, COMPLIANCE &amp; LITIGATION</t>
  </si>
  <si>
    <t xml:space="preserve">Trademark Portfolio</t>
  </si>
  <si>
    <t xml:space="preserve">All brand trademarks registered in SA and key international markets. Any disputed marks (esp. Wimpy in UK/EU contexts).</t>
  </si>
  <si>
    <t xml:space="preserve">Litigation History</t>
  </si>
  <si>
    <t xml:space="preserve">All pending or threatened litigation. Focus on: franchisee disputes, employment claims, product liability, competition law.</t>
  </si>
  <si>
    <t xml:space="preserve">Competition Commission History</t>
  </si>
  <si>
    <t xml:space="preserve">Any prior investigations, settlements, or behavioural remedies under SA Competition Act. Sector has history of scrutiny.</t>
  </si>
  <si>
    <t xml:space="preserve">Consumer Protection Act (CPA) Compliance</t>
  </si>
  <si>
    <t xml:space="preserve">Review franchise disclosure compliance, cooling-off periods, food safety regulations (R638 Foodstuffs Regulations).</t>
  </si>
  <si>
    <t xml:space="preserve">Employment &amp; Labour Law</t>
  </si>
  <si>
    <t xml:space="preserve">CCMA disputes, unfair dismissal claims. Compliance with BCEA, LRA, EEA.</t>
  </si>
  <si>
    <t xml:space="preserve">BBBEE Compliance</t>
  </si>
  <si>
    <t xml:space="preserve">Current BBBEE scorecard level and certificate. Ownership, management control, skills dev, enterprise/supplier dev components.</t>
  </si>
  <si>
    <t xml:space="preserve">Famous Brands — Operational DD</t>
  </si>
  <si>
    <t xml:space="preserve">  MANAGEMENT &amp; ORGANISATION</t>
  </si>
  <si>
    <t xml:space="preserve">Executive Team Assessment</t>
  </si>
  <si>
    <t xml:space="preserve">CEO (Darren Hele or successor), CFO, COO, Brand MDs. Tenure, succession, contractual protections.</t>
  </si>
  <si>
    <t xml:space="preserve">Key Person Risk</t>
  </si>
  <si>
    <t xml:space="preserve">Identify top 5–10 key employees. Review notice periods, restraint of trade, retention incentives.</t>
  </si>
  <si>
    <t xml:space="preserve">Organisational Structure</t>
  </si>
  <si>
    <t xml:space="preserve">Headcount by function: brand management, marketing, operations support, manufacturing, finance, IT.</t>
  </si>
  <si>
    <t xml:space="preserve">Management Incentive Plan (MIP)</t>
  </si>
  <si>
    <t xml:space="preserve">Review LTI/STI structures. JSE-listed equity-settled share plan terms. Alignment with growth equity investor.</t>
  </si>
  <si>
    <t xml:space="preserve">  MANUFACTURING &amp; SUPPLY CHAIN</t>
  </si>
  <si>
    <t xml:space="preserve">Manufacturing Plant Assessment</t>
  </si>
  <si>
    <t xml:space="preserve">Review Midrand and other production facilities. Capacity utilisation, maintenance capex requirements, regulatory compliance.</t>
  </si>
  <si>
    <t xml:space="preserve">Load-Shedding Resilience</t>
  </si>
  <si>
    <t xml:space="preserve">Generator capacity at manufacturing plants. Impact of Eskom load-shedding on production schedules and uptime.</t>
  </si>
  <si>
    <t xml:space="preserve">Distribution Network</t>
  </si>
  <si>
    <t xml:space="preserve">Cold-chain and ambient distribution network. 3PL vs. owned fleet. Route-to-market efficiency.</t>
  </si>
  <si>
    <t xml:space="preserve">Food Safety &amp; Quality Systems</t>
  </si>
  <si>
    <t xml:space="preserve">FSSC 22000 / HACCP certification status. Last audit results. Product recall history.</t>
  </si>
  <si>
    <t xml:space="preserve">Supplier Concentration Risk</t>
  </si>
  <si>
    <t xml:space="preserve">Single-source ingredient risk. Top 5 suppliers as % of COGS. Alternative sourcing options.</t>
  </si>
  <si>
    <t xml:space="preserve">  OPERATIONS &amp; FRANCHISEE SUPPORT</t>
  </si>
  <si>
    <t xml:space="preserve">Franchisee Operations Manual &amp; Standards</t>
  </si>
  <si>
    <t xml:space="preserve">Review mystery shopper scores, QSC audit results by brand over last 3 years.</t>
  </si>
  <si>
    <t xml:space="preserve">Restaurant Technology (POS &amp; Digital)</t>
  </si>
  <si>
    <t xml:space="preserve">POS system coverage and age. Integration with third-party delivery, loyalty (Famous Rewards), and back-office reporting.</t>
  </si>
  <si>
    <t xml:space="preserve">Training &amp; Development Infrastructure</t>
  </si>
  <si>
    <t xml:space="preserve">Famous Brands Academy: capacity, franchisee training compliance rates, online vs. in-person capability.</t>
  </si>
  <si>
    <t xml:space="preserve">Insurance Coverage</t>
  </si>
  <si>
    <t xml:space="preserve">Product liability, property, business interruption, D&amp;O, cyber. Adequacy of cover.</t>
  </si>
  <si>
    <t xml:space="preserve">Famous Brands — HR &amp; People DD</t>
  </si>
  <si>
    <t xml:space="preserve">  WORKFORCE OVERVIEW</t>
  </si>
  <si>
    <t xml:space="preserve">Headcount &amp; FTE Analysis</t>
  </si>
  <si>
    <t xml:space="preserve">Corporate headcount (Famous Brands Ltd employees, not franchisees). By department and geography. Trend FY2021–FY2025.</t>
  </si>
  <si>
    <t xml:space="preserve">Employment Equity (EE) Report</t>
  </si>
  <si>
    <t xml:space="preserve">EEA2 / EEA4 reports. Top management and senior management transformation targets vs. actual.</t>
  </si>
  <si>
    <t xml:space="preserve">Remuneration Benchmarking</t>
  </si>
  <si>
    <t xml:space="preserve">Executive and management pay vs. SA market (Payscale / Remchannel data). Incentive structures.</t>
  </si>
  <si>
    <t xml:space="preserve">  RETENTION &amp; CULTURE</t>
  </si>
  <si>
    <t xml:space="preserve">Staff Turnover Rate</t>
  </si>
  <si>
    <t xml:space="preserve">Annual voluntary attrition by band. Red flag: &gt;20% corporate attrition may indicate cultural issues.</t>
  </si>
  <si>
    <t xml:space="preserve">Employee Engagement Survey</t>
  </si>
  <si>
    <t xml:space="preserve">Most recent engagement/culture survey results. eNPS score.</t>
  </si>
  <si>
    <t xml:space="preserve">Key Employee Retention Risk</t>
  </si>
  <si>
    <t xml:space="preserve">Identify C-suite and brand MD departure risk. Any recent departures or announced exits.</t>
  </si>
  <si>
    <t xml:space="preserve">  BENEFITS &amp; OBLIGATIONS</t>
  </si>
  <si>
    <t xml:space="preserve">Provident Fund / Retirement Funding</t>
  </si>
  <si>
    <t xml:space="preserve">Defined contribution provident fund details. Any defined benefit legacy obligations.</t>
  </si>
  <si>
    <t xml:space="preserve">Medical Aid &amp; Benefits</t>
  </si>
  <si>
    <t xml:space="preserve">Group life, disability, medical aid arrangements. Cost per employee trends.</t>
  </si>
  <si>
    <t xml:space="preserve">Union &amp; Labour Agreements</t>
  </si>
  <si>
    <t xml:space="preserve">Any union recognition agreements. Sector bargaining council membership (SACCAWU/HORECASA). Past strike history.</t>
  </si>
  <si>
    <t xml:space="preserve">CCMA &amp; Labour Court Claims</t>
  </si>
  <si>
    <t xml:space="preserve">Outstanding or settled unfair dismissal / retrenchment claims. Exposure quantum.</t>
  </si>
  <si>
    <t xml:space="preserve">Famous Brands — IT &amp; Tech DD</t>
  </si>
  <si>
    <t xml:space="preserve">  TECHNOLOGY STACK</t>
  </si>
  <si>
    <t xml:space="preserve">ERP &amp; Financial Systems</t>
  </si>
  <si>
    <t xml:space="preserve">Core ERP (SAP, Sage, Oracle?). Integration with manufacturing, franchise billing, and reporting. Age and upgrade risk.</t>
  </si>
  <si>
    <t xml:space="preserve">POS Systems — Brand Coverage</t>
  </si>
  <si>
    <t xml:space="preserve">POS provider(s) by brand (e.g., Lightspeed, Oracle MICROS, custom). Age, cloud vs. on-premise. Integration to loyalty.</t>
  </si>
  <si>
    <t xml:space="preserve">Loyalty Platform — Famous Rewards</t>
  </si>
  <si>
    <t xml:space="preserve">Member base size, active users, redemption rates, data analytics capability. White-label vs. proprietary.</t>
  </si>
  <si>
    <t xml:space="preserve">Digital Ordering &amp; Delivery Integration</t>
  </si>
  <si>
    <t xml:space="preserve">Own app capability. API integrations with Uber Eats, Mr D, etc. Revenue from digital channels as % of total.</t>
  </si>
  <si>
    <t xml:space="preserve">Manufacturing IT Systems</t>
  </si>
  <si>
    <t xml:space="preserve">MES / WMS systems in manufacturing plants. Automation level. Maintenance scheduling systems.</t>
  </si>
  <si>
    <t xml:space="preserve">  CYBERSECURITY &amp; DATA</t>
  </si>
  <si>
    <t xml:space="preserve">Cybersecurity Posture Assessment</t>
  </si>
  <si>
    <t xml:space="preserve">Penetration testing history, SOC monitoring, endpoint protection, incident response plan.</t>
  </si>
  <si>
    <t xml:space="preserve">Data Privacy — POPIA Compliance</t>
  </si>
  <si>
    <t xml:space="preserve">SA Protection of Personal Information Act (POPIA) compliance: data mapping, consent management, POPIA officer appointment.</t>
  </si>
  <si>
    <t xml:space="preserve">GDPR Exposure</t>
  </si>
  <si>
    <t xml:space="preserve">Any EU customer / franchisee data held? GDPR compliance if applicable to international operations.</t>
  </si>
  <si>
    <t xml:space="preserve">Cyber Incident History</t>
  </si>
  <si>
    <t xml:space="preserve">Any prior breaches, ransomware events, or data leaks. Customer notification history.</t>
  </si>
  <si>
    <t xml:space="preserve">IT Disaster Recovery (DR) Plan</t>
  </si>
  <si>
    <t xml:space="preserve">RTO / RPO targets, DR testing frequency, cloud backup strategy.</t>
  </si>
  <si>
    <t xml:space="preserve">  TECH ROADMAP</t>
  </si>
  <si>
    <t xml:space="preserve">3-Year IT Investment Plan</t>
  </si>
  <si>
    <t xml:space="preserve">Planned spend on IT and digital transformation. POS rollout, ERP upgrade, loyalty platform investment.</t>
  </si>
  <si>
    <t xml:space="preserve">AI / Data Analytics Capability</t>
  </si>
  <si>
    <t xml:space="preserve">Use of data analytics in menu engineering, franchisee performance, supply forecasting.</t>
  </si>
  <si>
    <t xml:space="preserve">Famous Brands — ESG DD</t>
  </si>
  <si>
    <t xml:space="preserve">  ENVIRONMENTAL</t>
  </si>
  <si>
    <t xml:space="preserve">Integrated Report / Sustainability Report</t>
  </si>
  <si>
    <t xml:space="preserve">Review Famous Brands Integrated Annual Report (IAR). GRI / TCFD disclosures.</t>
  </si>
  <si>
    <t xml:space="preserve">Carbon Footprint &amp; Scope 1/2/3 Emissions</t>
  </si>
  <si>
    <t xml:space="preserve">Manufacturing emissions. Fleet emissions. Franchisee Scope 3 emissions strategy.</t>
  </si>
  <si>
    <t xml:space="preserve">Water Usage — Manufacturing</t>
  </si>
  <si>
    <t xml:space="preserve">SA water scarcity risk. Water consumption data for Midrand manufacturing facility.</t>
  </si>
  <si>
    <t xml:space="preserve">Packaging &amp; Waste Reduction</t>
  </si>
  <si>
    <t xml:space="preserve">Single-use plastics compliance with SA regulations. EPR (Extended Producer Responsibility) scheme membership.</t>
  </si>
  <si>
    <t xml:space="preserve">Energy &amp; Load-Shedding Mitigation</t>
  </si>
  <si>
    <t xml:space="preserve">Solar PV or generator capex at manufacturing plants. Renewable energy procurement.</t>
  </si>
  <si>
    <t xml:space="preserve">  SOCIAL &amp; GOVERNANCE</t>
  </si>
  <si>
    <t xml:space="preserve">BBBEE Scorecard — Full Detail</t>
  </si>
  <si>
    <t xml:space="preserve">Level 4+ BBBEE required for major retail/government procurement. Ownership element critical if black shareholders.</t>
  </si>
  <si>
    <t xml:space="preserve">Social Impact — Enterprise Development</t>
  </si>
  <si>
    <t xml:space="preserve">Franchisee development programmes for black-owned franchisees. 51%+ black-owned franchise targets.</t>
  </si>
  <si>
    <t xml:space="preserve">Food Nutrition &amp; Health Obligations</t>
  </si>
  <si>
    <t xml:space="preserve">Compliance with SA R429 food labelling regulations. Calorie disclosure, allergen labelling. Menu transformation risk.</t>
  </si>
  <si>
    <t xml:space="preserve">Corporate Governance (King IV)</t>
  </si>
  <si>
    <t xml:space="preserve">JSE-listed: King IV compliance. Board composition, independent non-executives, audit committee independence.</t>
  </si>
  <si>
    <t xml:space="preserve">Related Party Transactions</t>
  </si>
  <si>
    <t xml:space="preserve">Any material RPTs: director-linked franchisee interests, family connections. JSE Related Party Transaction rules.</t>
  </si>
  <si>
    <t xml:space="preserve">  REGULATORY</t>
  </si>
  <si>
    <t xml:space="preserve">JSE Listings Requirements Compliance</t>
  </si>
  <si>
    <t xml:space="preserve">History of JSE censures, cautionary announcements, major/category 1 transaction compliance.</t>
  </si>
  <si>
    <t xml:space="preserve">Competition Commission — Market Inquiry</t>
  </si>
  <si>
    <t xml:space="preserve">Monitor SA Competition Commission's Grocery Retail Market Inquiry and any food sector follow-on investigations.</t>
  </si>
  <si>
    <t xml:space="preserve">International Franchise Regulations</t>
  </si>
  <si>
    <t xml:space="preserve">Regulatory requirements in key markets: Nigeria (FIRS), Ghana, Kenya (CA), UAE (franchise law). Compliance status.</t>
  </si>
  <si>
    <t xml:space="preserve">Famous Brands — Consumer DD</t>
  </si>
  <si>
    <t xml:space="preserve">  BRAND PORTFOLIO ANALYSIS</t>
  </si>
  <si>
    <t xml:space="preserve">Brand P&amp;L by Brand</t>
  </si>
  <si>
    <t xml:space="preserve">Revenue, royalties, EBITDA contribution per brand. Identify any structurally declining brands (Milky Lane, Panarottis?).</t>
  </si>
  <si>
    <t xml:space="preserve">Premium vs. Value Brand Mix</t>
  </si>
  <si>
    <t xml:space="preserve">Segment brand portfolio by consumer segment. LSM 5-7 (value: Steers/Wimpy) vs. LSM 8-10 (premium: Tashas/Mugg &amp; Bean).</t>
  </si>
  <si>
    <t xml:space="preserve">Brand Refresh / Remodelling Capex</t>
  </si>
  <si>
    <t xml:space="preserve">Scheduled brand revamps (e.g., Wimpy remodel programme). Franchisee capex commitment and Famous Brands co-investment.</t>
  </si>
  <si>
    <t xml:space="preserve">Brand Sunset / Exit Risk</t>
  </si>
  <si>
    <t xml:space="preserve">Identify brands where franchise agreement non-renewals have accelerated. Any brands being phased out.</t>
  </si>
  <si>
    <t xml:space="preserve">  FRANCHISE SYSTEM HEALTH</t>
  </si>
  <si>
    <t xml:space="preserve">Total Restaurant Count Trend</t>
  </si>
  <si>
    <t xml:space="preserve">System restaurant count by brand over FY2019–FY2025. Net new openings vs. closures. COVID recovery trajectory.</t>
  </si>
  <si>
    <t xml:space="preserve">Franchisee 4-Wall Economics</t>
  </si>
  <si>
    <t xml:space="preserve">Average franchisee revenue and 4-wall EBITDA margin. Payback period on investment. Comparison vs. competing systems.</t>
  </si>
  <si>
    <t xml:space="preserve">Franchisee Application Pipeline</t>
  </si>
  <si>
    <t xml:space="preserve">Number of qualified applicants. Approval rate. Financial requirements. Geographic target areas.</t>
  </si>
  <si>
    <t xml:space="preserve">Corporate vs. Franchised Restaurants</t>
  </si>
  <si>
    <t xml:space="preserve">Number of company-owned restaurants (direct exposure). Strategy — are they converting to franchise or holding?</t>
  </si>
  <si>
    <t xml:space="preserve">International Master Franchisee Performance</t>
  </si>
  <si>
    <t xml:space="preserve">Restaurant count and SSSG in SSA (Nigeria, Ghana, Kenya, Mauritius). Middle East performance.</t>
  </si>
  <si>
    <t xml:space="preserve">  CONSUMER &amp; DIGITAL</t>
  </si>
  <si>
    <t xml:space="preserve">Famous Rewards Loyalty Programme</t>
  </si>
  <si>
    <t xml:space="preserve">Active member count, annual transaction volume, digital engagement rate. Monetisation of data.</t>
  </si>
  <si>
    <t xml:space="preserve">Digital Sales Mix</t>
  </si>
  <si>
    <t xml:space="preserve">App orders + third-party delivery as % of system sales by brand. Trajectory 2021–2025.</t>
  </si>
  <si>
    <t xml:space="preserve">Consumer NPS by Brand</t>
  </si>
  <si>
    <t xml:space="preserve">Brand Net Promoter Score (NPS) trend. Key detractor themes.</t>
  </si>
  <si>
    <t xml:space="preserve">Social Media &amp; Brand Sentiment</t>
  </si>
  <si>
    <t xml:space="preserve">Share of voice vs. KFC, McDonald's, Nando's. Crisis history (social media boycotts, food safety incidents).</t>
  </si>
  <si>
    <t xml:space="preserve">  GBK POST-DISPOSAL LIABILITIES</t>
  </si>
  <si>
    <t xml:space="preserve">GBK Residual Liabilities</t>
  </si>
  <si>
    <t xml:space="preserve">Confirm no residual exposure from 2020 GBK (Gourmet Burger Kitchen UK) disposal / CVA process.</t>
  </si>
  <si>
    <t xml:space="preserve">UK Creditor / Lease Claims</t>
  </si>
  <si>
    <t xml:space="preserve">Any continuing obligations under GBK property leases or creditor claims in the UK that may still be outstanding.</t>
  </si>
  <si>
    <t xml:space="preserve">Famous Brands — Red Flag Log</t>
  </si>
  <si>
    <t xml:space="preserve">Red Flag Description</t>
  </si>
  <si>
    <t xml:space="preserve">Date Identified</t>
  </si>
  <si>
    <t xml:space="preserve">Severity</t>
  </si>
  <si>
    <t xml:space="preserve">Mitigant / Path to Resolution</t>
  </si>
  <si>
    <t xml:space="preserve">Valuation / Deal Impact</t>
  </si>
  <si>
    <t xml:space="preserve">Validate if any GBK-related residual losses remain in P&amp;L</t>
  </si>
  <si>
    <t xml:space="preserve">Deal-Breaker</t>
  </si>
  <si>
    <t xml:space="preserve">Potential restatement risk</t>
  </si>
  <si>
    <t xml:space="preserve">Open</t>
  </si>
  <si>
    <t xml:space="preserve">Customer / franchisee concentration — top 20 franchisees to be quantified</t>
  </si>
  <si>
    <t xml:space="preserve">Significant</t>
  </si>
  <si>
    <t xml:space="preserve">May require contractual protections / MFO agreements</t>
  </si>
  <si>
    <t xml:space="preserve">Competition Commission prior dealings — confirm no remedies attached to current operations</t>
  </si>
  <si>
    <t xml:space="preserve">Seek clean bill from competition counsel</t>
  </si>
  <si>
    <t xml:space="preserve">BBBEE level — growth equity structure must not dilute ownership component</t>
  </si>
  <si>
    <t xml:space="preserve">Restructure deal to preserve BBBEE compliance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</si>
</sst>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D2137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0"/>
      <color rgb="FF0D213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D2137"/>
        <bgColor rgb="FF003300"/>
      </patternFill>
    </fill>
    <fill>
      <patternFill patternType="solid">
        <fgColor rgb="FFC9A84C"/>
        <bgColor rgb="FFBF8F00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FF3CD"/>
      </patternFill>
    </fill>
    <fill>
      <patternFill patternType="solid">
        <fgColor rgb="FFC00000"/>
        <bgColor rgb="FFFF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E2EFDA"/>
        </patternFill>
      </fill>
    </dxf>
    <dxf>
      <fill>
        <patternFill>
          <bgColor rgb="FFFFE0E0"/>
        </patternFill>
      </fill>
    </dxf>
    <dxf>
      <fill>
        <patternFill>
          <bgColor rgb="FFFFF3CD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FE0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7B2D8B"/>
      <rgbColor rgb="FFFFF3CD"/>
      <rgbColor rgb="FFCCFFFF"/>
      <rgbColor rgb="FF660066"/>
      <rgbColor rgb="FFFF8080"/>
      <rgbColor rgb="FF0563C1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BF8F00"/>
      <rgbColor rgb="FFFF6600"/>
      <rgbColor rgb="FF666699"/>
      <rgbColor rgb="FFC9A84C"/>
      <rgbColor rgb="FF0D2137"/>
      <rgbColor rgb="FF538135"/>
      <rgbColor rgb="FF003300"/>
      <rgbColor rgb="FF333300"/>
      <rgbColor rgb="FF833C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137"/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6" customFormat="false" ht="26.8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</row>
    <row r="7" customFormat="false" ht="15" hidden="false" customHeight="false" outlineLevel="0" collapsed="false">
      <c r="A7" s="5" t="s">
        <v>13</v>
      </c>
      <c r="B7" s="6" t="s">
        <v>13</v>
      </c>
      <c r="C7" s="7" t="n">
        <f aca="false">COUNTA('Financial DD'!$A$3:$A$100)</f>
        <v>24</v>
      </c>
      <c r="D7" s="7" t="n">
        <f aca="false">COUNTIF('Financial DD'!$F$3:$F$100,"Not Started")</f>
        <v>20</v>
      </c>
      <c r="E7" s="7" t="n">
        <f aca="false">COUNTIF('Financial DD'!$F$3:$F$100,"Requested")+COUNTIF('Financial DD'!$F$3:$F$100,"Received")+COUNTIF('Financial DD'!$F$3:$F$100,"In Review")</f>
        <v>0</v>
      </c>
      <c r="F7" s="7" t="n">
        <f aca="false">COUNTIF('Financial DD'!$F$3:$F$100,"Complete")</f>
        <v>0</v>
      </c>
      <c r="G7" s="8" t="n">
        <f aca="false">COUNTIF('Financial DD'!$F$3:$F$100,"Red Flag")</f>
        <v>0</v>
      </c>
      <c r="H7" s="9" t="n">
        <f aca="false">IF(C7=0,0,F7/C7)</f>
        <v>0</v>
      </c>
      <c r="I7" s="7" t="n">
        <f aca="false">COUNTIFS('Financial DD'!$E$3:$E$100,"P0 - Gating",'Financial DD'!$F$3:$F$100,"&lt;&gt;Complete",'Financial DD'!$F$3:$F$100,"&lt;&gt;Red Flag")</f>
        <v>11</v>
      </c>
      <c r="J7" s="7" t="str">
        <f aca="false">IF(G7&gt;0,"🚩 Red Flag",IF(H7=1,"✅ Complete",IF(H7&gt;=0.5,"🔄 In Progress","⬜ Not Started")))</f>
        <v>⬜ Not Started</v>
      </c>
    </row>
    <row r="8" customFormat="false" ht="15" hidden="false" customHeight="false" outlineLevel="0" collapsed="false">
      <c r="A8" s="10" t="s">
        <v>14</v>
      </c>
      <c r="B8" s="11" t="s">
        <v>14</v>
      </c>
      <c r="C8" s="12" t="n">
        <f aca="false">COUNTA('Commercial DD'!$A$3:$A$100)</f>
        <v>22</v>
      </c>
      <c r="D8" s="12" t="n">
        <f aca="false">COUNTIF('Commercial DD'!$F$3:$F$100,"Not Started")</f>
        <v>18</v>
      </c>
      <c r="E8" s="12" t="n">
        <f aca="false">COUNTIF('Commercial DD'!$F$3:$F$100,"Requested")+COUNTIF('Commercial DD'!$F$3:$F$100,"Received")+COUNTIF('Commercial DD'!$F$3:$F$100,"In Review")</f>
        <v>0</v>
      </c>
      <c r="F8" s="12" t="n">
        <f aca="false">COUNTIF('Commercial DD'!$F$3:$F$100,"Complete")</f>
        <v>0</v>
      </c>
      <c r="G8" s="13" t="n">
        <f aca="false">COUNTIF('Commercial DD'!$F$3:$F$100,"Red Flag")</f>
        <v>0</v>
      </c>
      <c r="H8" s="14" t="n">
        <f aca="false">IF(C8=0,0,F8/C8)</f>
        <v>0</v>
      </c>
      <c r="I8" s="12" t="n">
        <f aca="false">COUNTIFS('Commercial DD'!$E$3:$E$100,"P0 - Gating",'Commercial DD'!$F$3:$F$100,"&lt;&gt;Complete",'Commercial DD'!$F$3:$F$100,"&lt;&gt;Red Flag")</f>
        <v>8</v>
      </c>
      <c r="J8" s="12" t="str">
        <f aca="false">IF(G8&gt;0,"🚩 Red Flag",IF(H8=1,"✅ Complete",IF(H8&gt;=0.5,"🔄 In Progress","⬜ Not Started")))</f>
        <v>⬜ Not Started</v>
      </c>
    </row>
    <row r="9" customFormat="false" ht="15" hidden="false" customHeight="false" outlineLevel="0" collapsed="false">
      <c r="A9" s="5" t="s">
        <v>15</v>
      </c>
      <c r="B9" s="6" t="s">
        <v>15</v>
      </c>
      <c r="C9" s="7" t="n">
        <f aca="false">COUNTA('Legal DD'!$A$3:$A$100)</f>
        <v>18</v>
      </c>
      <c r="D9" s="7" t="n">
        <f aca="false">COUNTIF('Legal DD'!$F$3:$F$100,"Not Started")</f>
        <v>15</v>
      </c>
      <c r="E9" s="7" t="n">
        <f aca="false">COUNTIF('Legal DD'!$F$3:$F$100,"Requested")+COUNTIF('Legal DD'!$F$3:$F$100,"Received")+COUNTIF('Legal DD'!$F$3:$F$100,"In Review")</f>
        <v>0</v>
      </c>
      <c r="F9" s="7" t="n">
        <f aca="false">COUNTIF('Legal DD'!$F$3:$F$100,"Complete")</f>
        <v>0</v>
      </c>
      <c r="G9" s="8" t="n">
        <f aca="false">COUNTIF('Legal DD'!$F$3:$F$100,"Red Flag")</f>
        <v>0</v>
      </c>
      <c r="H9" s="9" t="n">
        <f aca="false">IF(C9=0,0,F9/C9)</f>
        <v>0</v>
      </c>
      <c r="I9" s="7" t="n">
        <f aca="false">COUNTIFS('Legal DD'!$E$3:$E$100,"P0 - Gating",'Legal DD'!$F$3:$F$100,"&lt;&gt;Complete",'Legal DD'!$F$3:$F$100,"&lt;&gt;Red Flag")</f>
        <v>8</v>
      </c>
      <c r="J9" s="7" t="str">
        <f aca="false">IF(G9&gt;0,"🚩 Red Flag",IF(H9=1,"✅ Complete",IF(H9&gt;=0.5,"🔄 In Progress","⬜ Not Started")))</f>
        <v>⬜ Not Started</v>
      </c>
    </row>
    <row r="10" customFormat="false" ht="15" hidden="false" customHeight="false" outlineLevel="0" collapsed="false">
      <c r="A10" s="10" t="s">
        <v>16</v>
      </c>
      <c r="B10" s="11" t="s">
        <v>16</v>
      </c>
      <c r="C10" s="12" t="n">
        <f aca="false">COUNTA('Operational DD'!$A$3:$A$100)</f>
        <v>16</v>
      </c>
      <c r="D10" s="12" t="n">
        <f aca="false">COUNTIF('Operational DD'!$F$3:$F$100,"Not Started")</f>
        <v>13</v>
      </c>
      <c r="E10" s="12" t="n">
        <f aca="false">COUNTIF('Operational DD'!$F$3:$F$100,"Requested")+COUNTIF('Operational DD'!$F$3:$F$100,"Received")+COUNTIF('Operational DD'!$F$3:$F$100,"In Review")</f>
        <v>0</v>
      </c>
      <c r="F10" s="12" t="n">
        <f aca="false">COUNTIF('Operational DD'!$F$3:$F$100,"Complete")</f>
        <v>0</v>
      </c>
      <c r="G10" s="13" t="n">
        <f aca="false">COUNTIF('Operational DD'!$F$3:$F$100,"Red Flag")</f>
        <v>0</v>
      </c>
      <c r="H10" s="14" t="n">
        <f aca="false">IF(C10=0,0,F10/C10)</f>
        <v>0</v>
      </c>
      <c r="I10" s="12" t="n">
        <f aca="false">COUNTIFS('Operational DD'!$E$3:$E$100,"P0 - Gating",'Operational DD'!$F$3:$F$100,"&lt;&gt;Complete",'Operational DD'!$F$3:$F$100,"&lt;&gt;Red Flag")</f>
        <v>4</v>
      </c>
      <c r="J10" s="12" t="str">
        <f aca="false">IF(G10&gt;0,"🚩 Red Flag",IF(H10=1,"✅ Complete",IF(H10&gt;=0.5,"🔄 In Progress","⬜ Not Started")))</f>
        <v>⬜ Not Started</v>
      </c>
    </row>
    <row r="11" customFormat="false" ht="15" hidden="false" customHeight="false" outlineLevel="0" collapsed="false">
      <c r="A11" s="5" t="s">
        <v>17</v>
      </c>
      <c r="B11" s="6" t="s">
        <v>17</v>
      </c>
      <c r="C11" s="7" t="n">
        <f aca="false">COUNTA('HR &amp; People DD'!$A$3:$A$100)</f>
        <v>13</v>
      </c>
      <c r="D11" s="7" t="n">
        <f aca="false">COUNTIF('HR &amp; People DD'!$F$3:$F$100,"Not Started")</f>
        <v>10</v>
      </c>
      <c r="E11" s="7" t="n">
        <f aca="false">COUNTIF('HR &amp; People DD'!$F$3:$F$100,"Requested")+COUNTIF('HR &amp; People DD'!$F$3:$F$100,"Received")+COUNTIF('HR &amp; People DD'!$F$3:$F$100,"In Review")</f>
        <v>0</v>
      </c>
      <c r="F11" s="7" t="n">
        <f aca="false">COUNTIF('HR &amp; People DD'!$F$3:$F$100,"Complete")</f>
        <v>0</v>
      </c>
      <c r="G11" s="8" t="n">
        <f aca="false">COUNTIF('HR &amp; People DD'!$F$3:$F$100,"Red Flag")</f>
        <v>0</v>
      </c>
      <c r="H11" s="9" t="n">
        <f aca="false">IF(C11=0,0,F11/C11)</f>
        <v>0</v>
      </c>
      <c r="I11" s="7" t="n">
        <f aca="false">COUNTIFS('HR &amp; People DD'!$E$3:$E$100,"P0 - Gating",'HR &amp; People DD'!$F$3:$F$100,"&lt;&gt;Complete",'HR &amp; People DD'!$F$3:$F$100,"&lt;&gt;Red Flag")</f>
        <v>2</v>
      </c>
      <c r="J11" s="7" t="str">
        <f aca="false">IF(G11&gt;0,"🚩 Red Flag",IF(H11=1,"✅ Complete",IF(H11&gt;=0.5,"🔄 In Progress","⬜ Not Started")))</f>
        <v>⬜ Not Started</v>
      </c>
    </row>
    <row r="12" customFormat="false" ht="15" hidden="false" customHeight="false" outlineLevel="0" collapsed="false">
      <c r="A12" s="10" t="s">
        <v>18</v>
      </c>
      <c r="B12" s="11" t="s">
        <v>19</v>
      </c>
      <c r="C12" s="12" t="n">
        <f aca="false">COUNTA('IT &amp; Tech DD'!$A$3:$A$100)</f>
        <v>15</v>
      </c>
      <c r="D12" s="12" t="n">
        <f aca="false">COUNTIF('IT &amp; Tech DD'!$F$3:$F$100,"Not Started")</f>
        <v>12</v>
      </c>
      <c r="E12" s="12" t="n">
        <f aca="false">COUNTIF('IT &amp; Tech DD'!$F$3:$F$100,"Requested")+COUNTIF('IT &amp; Tech DD'!$F$3:$F$100,"Received")+COUNTIF('IT &amp; Tech DD'!$F$3:$F$100,"In Review")</f>
        <v>0</v>
      </c>
      <c r="F12" s="12" t="n">
        <f aca="false">COUNTIF('IT &amp; Tech DD'!$F$3:$F$100,"Complete")</f>
        <v>0</v>
      </c>
      <c r="G12" s="13" t="n">
        <f aca="false">COUNTIF('IT &amp; Tech DD'!$F$3:$F$100,"Red Flag")</f>
        <v>0</v>
      </c>
      <c r="H12" s="14" t="n">
        <f aca="false">IF(C12=0,0,F12/C12)</f>
        <v>0</v>
      </c>
      <c r="I12" s="12" t="n">
        <f aca="false">COUNTIFS('IT &amp; Tech DD'!$E$3:$E$100,"P0 - Gating",'IT &amp; Tech DD'!$F$3:$F$100,"&lt;&gt;Complete",'IT &amp; Tech DD'!$F$3:$F$100,"&lt;&gt;Red Flag")</f>
        <v>1</v>
      </c>
      <c r="J12" s="12" t="str">
        <f aca="false">IF(G12&gt;0,"🚩 Red Flag",IF(H12=1,"✅ Complete",IF(H12&gt;=0.5,"🔄 In Progress","⬜ Not Started")))</f>
        <v>⬜ Not Started</v>
      </c>
    </row>
    <row r="13" customFormat="false" ht="15" hidden="false" customHeight="false" outlineLevel="0" collapsed="false">
      <c r="A13" s="5" t="s">
        <v>20</v>
      </c>
      <c r="B13" s="6" t="s">
        <v>21</v>
      </c>
      <c r="C13" s="7" t="n">
        <f aca="false">COUNTA('ESG DD'!$A$3:$A$100)</f>
        <v>16</v>
      </c>
      <c r="D13" s="7" t="n">
        <f aca="false">COUNTIF('ESG DD'!$F$3:$F$100,"Not Started")</f>
        <v>13</v>
      </c>
      <c r="E13" s="7" t="n">
        <f aca="false">COUNTIF('ESG DD'!$F$3:$F$100,"Requested")+COUNTIF('ESG DD'!$F$3:$F$100,"Received")+COUNTIF('ESG DD'!$F$3:$F$100,"In Review")</f>
        <v>0</v>
      </c>
      <c r="F13" s="7" t="n">
        <f aca="false">COUNTIF('ESG DD'!$F$3:$F$100,"Complete")</f>
        <v>0</v>
      </c>
      <c r="G13" s="8" t="n">
        <f aca="false">COUNTIF('ESG DD'!$F$3:$F$100,"Red Flag")</f>
        <v>0</v>
      </c>
      <c r="H13" s="9" t="n">
        <f aca="false">IF(C13=0,0,F13/C13)</f>
        <v>0</v>
      </c>
      <c r="I13" s="7" t="n">
        <f aca="false">COUNTIFS('ESG DD'!$E$3:$E$100,"P0 - Gating",'ESG DD'!$F$3:$F$100,"&lt;&gt;Complete",'ESG DD'!$F$3:$F$100,"&lt;&gt;Red Flag")</f>
        <v>3</v>
      </c>
      <c r="J13" s="7" t="str">
        <f aca="false">IF(G13&gt;0,"🚩 Red Flag",IF(H13=1,"✅ Complete",IF(H13&gt;=0.5,"🔄 In Progress","⬜ Not Started")))</f>
        <v>⬜ Not Started</v>
      </c>
    </row>
    <row r="14" customFormat="false" ht="15" hidden="false" customHeight="false" outlineLevel="0" collapsed="false">
      <c r="A14" s="10" t="s">
        <v>22</v>
      </c>
      <c r="B14" s="11" t="s">
        <v>23</v>
      </c>
      <c r="C14" s="12" t="n">
        <f aca="false">COUNTA('Consumer DD'!$A$3:$A$100)</f>
        <v>19</v>
      </c>
      <c r="D14" s="12" t="n">
        <f aca="false">COUNTIF('Consumer DD'!$F$3:$F$100,"Not Started")</f>
        <v>15</v>
      </c>
      <c r="E14" s="12" t="n">
        <f aca="false">COUNTIF('Consumer DD'!$F$3:$F$100,"Requested")+COUNTIF('Consumer DD'!$F$3:$F$100,"Received")+COUNTIF('Consumer DD'!$F$3:$F$100,"In Review")</f>
        <v>0</v>
      </c>
      <c r="F14" s="12" t="n">
        <f aca="false">COUNTIF('Consumer DD'!$F$3:$F$100,"Complete")</f>
        <v>0</v>
      </c>
      <c r="G14" s="13" t="n">
        <f aca="false">COUNTIF('Consumer DD'!$F$3:$F$100,"Red Flag")</f>
        <v>0</v>
      </c>
      <c r="H14" s="14" t="n">
        <f aca="false">IF(C14=0,0,F14/C14)</f>
        <v>0</v>
      </c>
      <c r="I14" s="12" t="n">
        <f aca="false">COUNTIFS('Consumer DD'!$E$3:$E$100,"P0 - Gating",'Consumer DD'!$F$3:$F$100,"&lt;&gt;Complete",'Consumer DD'!$F$3:$F$100,"&lt;&gt;Red Flag")</f>
        <v>5</v>
      </c>
      <c r="J14" s="12" t="str">
        <f aca="false">IF(G14&gt;0,"🚩 Red Flag",IF(H14=1,"✅ Complete",IF(H14&gt;=0.5,"🔄 In Progress","⬜ Not Started")))</f>
        <v>⬜ Not Started</v>
      </c>
    </row>
    <row r="15" customFormat="false" ht="15" hidden="false" customHeight="false" outlineLevel="0" collapsed="false">
      <c r="A15" s="15" t="s">
        <v>24</v>
      </c>
      <c r="B15" s="16"/>
      <c r="C15" s="17" t="n">
        <f aca="false">SUM(C7:C14)</f>
        <v>143</v>
      </c>
      <c r="D15" s="17" t="n">
        <f aca="false">SUM(D7:D14)</f>
        <v>116</v>
      </c>
      <c r="E15" s="17" t="n">
        <f aca="false">SUM(E7:E14)</f>
        <v>0</v>
      </c>
      <c r="F15" s="17" t="n">
        <f aca="false">SUM(F7:F14)</f>
        <v>0</v>
      </c>
      <c r="G15" s="17" t="n">
        <f aca="false">SUM(G7:G14)</f>
        <v>0</v>
      </c>
      <c r="H15" s="18" t="n">
        <f aca="false">IF(C15=0,0,F15/C15)</f>
        <v>0</v>
      </c>
      <c r="I15" s="17" t="n">
        <f aca="false">SUM(I7:I14)</f>
        <v>42</v>
      </c>
      <c r="J15" s="16"/>
    </row>
    <row r="17" customFormat="false" ht="15" hidden="false" customHeight="true" outlineLevel="0" collapsed="false">
      <c r="A17" s="19" t="s">
        <v>25</v>
      </c>
      <c r="B17" s="19"/>
      <c r="C17" s="19"/>
      <c r="D17" s="19"/>
      <c r="E17" s="19"/>
      <c r="F17" s="19"/>
      <c r="G17" s="19"/>
      <c r="H17" s="19"/>
      <c r="I17" s="19"/>
      <c r="J17" s="19"/>
    </row>
    <row r="18" customFormat="false" ht="15" hidden="false" customHeight="true" outlineLevel="0" collapsed="false">
      <c r="A18" s="5" t="s">
        <v>26</v>
      </c>
      <c r="B18" s="20" t="s">
        <v>27</v>
      </c>
      <c r="C18" s="20"/>
      <c r="D18" s="20"/>
      <c r="E18" s="20"/>
      <c r="F18" s="20"/>
      <c r="G18" s="20"/>
      <c r="H18" s="20"/>
      <c r="I18" s="20"/>
      <c r="J18" s="20"/>
    </row>
    <row r="19" customFormat="false" ht="15" hidden="false" customHeight="true" outlineLevel="0" collapsed="false">
      <c r="A19" s="10" t="s">
        <v>28</v>
      </c>
      <c r="B19" s="21" t="s">
        <v>29</v>
      </c>
      <c r="C19" s="21"/>
      <c r="D19" s="21"/>
      <c r="E19" s="21"/>
      <c r="F19" s="21"/>
      <c r="G19" s="21"/>
      <c r="H19" s="21"/>
      <c r="I19" s="21"/>
      <c r="J19" s="21"/>
    </row>
    <row r="20" customFormat="false" ht="15" hidden="false" customHeight="true" outlineLevel="0" collapsed="false">
      <c r="A20" s="5" t="s">
        <v>30</v>
      </c>
      <c r="B20" s="20" t="s">
        <v>31</v>
      </c>
      <c r="C20" s="20"/>
      <c r="D20" s="20"/>
      <c r="E20" s="20"/>
      <c r="F20" s="20"/>
      <c r="G20" s="20"/>
      <c r="H20" s="20"/>
      <c r="I20" s="20"/>
      <c r="J20" s="20"/>
    </row>
    <row r="21" customFormat="false" ht="15" hidden="false" customHeight="true" outlineLevel="0" collapsed="false">
      <c r="A21" s="10" t="s">
        <v>32</v>
      </c>
      <c r="B21" s="21" t="s">
        <v>33</v>
      </c>
      <c r="C21" s="21"/>
      <c r="D21" s="21"/>
      <c r="E21" s="21"/>
      <c r="F21" s="21"/>
      <c r="G21" s="21"/>
      <c r="H21" s="21"/>
      <c r="I21" s="21"/>
      <c r="J21" s="21"/>
    </row>
    <row r="22" customFormat="false" ht="15" hidden="false" customHeight="true" outlineLevel="0" collapsed="false">
      <c r="A22" s="5" t="s">
        <v>34</v>
      </c>
      <c r="B22" s="20" t="s">
        <v>35</v>
      </c>
      <c r="C22" s="20"/>
      <c r="D22" s="20"/>
      <c r="E22" s="20"/>
      <c r="F22" s="20"/>
      <c r="G22" s="20"/>
      <c r="H22" s="20"/>
      <c r="I22" s="20"/>
      <c r="J22" s="20"/>
    </row>
    <row r="23" customFormat="false" ht="15" hidden="false" customHeight="true" outlineLevel="0" collapsed="false">
      <c r="A23" s="10" t="s">
        <v>36</v>
      </c>
      <c r="B23" s="21" t="s">
        <v>37</v>
      </c>
      <c r="C23" s="21"/>
      <c r="D23" s="21"/>
      <c r="E23" s="21"/>
      <c r="F23" s="21"/>
      <c r="G23" s="21"/>
      <c r="H23" s="21"/>
      <c r="I23" s="21"/>
      <c r="J23" s="21"/>
    </row>
    <row r="24" customFormat="false" ht="15" hidden="false" customHeight="true" outlineLevel="0" collapsed="false">
      <c r="A24" s="5" t="s">
        <v>38</v>
      </c>
      <c r="B24" s="20" t="s">
        <v>39</v>
      </c>
      <c r="C24" s="20"/>
      <c r="D24" s="20"/>
      <c r="E24" s="20"/>
      <c r="F24" s="20"/>
      <c r="G24" s="20"/>
      <c r="H24" s="20"/>
      <c r="I24" s="20"/>
      <c r="J24" s="20"/>
    </row>
    <row r="25" customFormat="false" ht="15" hidden="false" customHeight="true" outlineLevel="0" collapsed="false">
      <c r="A25" s="10" t="s">
        <v>40</v>
      </c>
      <c r="B25" s="21" t="s">
        <v>39</v>
      </c>
      <c r="C25" s="21"/>
      <c r="D25" s="21"/>
      <c r="E25" s="21"/>
      <c r="F25" s="21"/>
      <c r="G25" s="21"/>
      <c r="H25" s="21"/>
      <c r="I25" s="21"/>
      <c r="J25" s="21"/>
    </row>
    <row r="26" customFormat="false" ht="15" hidden="false" customHeight="true" outlineLevel="0" collapsed="false">
      <c r="A26" s="5" t="s">
        <v>41</v>
      </c>
      <c r="B26" s="20" t="s">
        <v>39</v>
      </c>
      <c r="C26" s="20"/>
      <c r="D26" s="20"/>
      <c r="E26" s="20"/>
      <c r="F26" s="20"/>
      <c r="G26" s="20"/>
      <c r="H26" s="20"/>
      <c r="I26" s="20"/>
      <c r="J26" s="20"/>
    </row>
    <row r="27" customFormat="false" ht="15" hidden="false" customHeight="true" outlineLevel="0" collapsed="false">
      <c r="A27" s="10" t="s">
        <v>42</v>
      </c>
      <c r="B27" s="21" t="s">
        <v>43</v>
      </c>
      <c r="C27" s="21"/>
      <c r="D27" s="21"/>
      <c r="E27" s="21"/>
      <c r="F27" s="21"/>
      <c r="G27" s="21"/>
      <c r="H27" s="21"/>
      <c r="I27" s="21"/>
      <c r="J27" s="21"/>
    </row>
  </sheetData>
  <mergeCells count="14">
    <mergeCell ref="A1:J2"/>
    <mergeCell ref="A3:J3"/>
    <mergeCell ref="A5:J5"/>
    <mergeCell ref="A17:J17"/>
    <mergeCell ref="B18:J18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4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21.75" hidden="false" customHeight="true" outlineLevel="0" collapsed="false">
      <c r="A1" s="22" t="s">
        <v>44</v>
      </c>
      <c r="B1" s="22"/>
      <c r="C1" s="22"/>
      <c r="D1" s="22"/>
      <c r="E1" s="22"/>
      <c r="F1" s="22"/>
      <c r="G1" s="22"/>
      <c r="H1" s="22"/>
      <c r="I1" s="22"/>
    </row>
    <row r="2" customFormat="false" ht="27.75" hidden="false" customHeight="true" outlineLevel="0" collapsed="false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12</v>
      </c>
      <c r="G2" s="4" t="s">
        <v>50</v>
      </c>
      <c r="H2" s="4" t="s">
        <v>51</v>
      </c>
      <c r="I2" s="4" t="s">
        <v>52</v>
      </c>
    </row>
    <row r="3" customFormat="false" ht="18" hidden="false" customHeight="true" outlineLevel="0" collapsed="false">
      <c r="A3" s="23" t="s">
        <v>53</v>
      </c>
      <c r="B3" s="23"/>
      <c r="C3" s="23"/>
      <c r="D3" s="23"/>
      <c r="E3" s="23"/>
      <c r="F3" s="23"/>
      <c r="G3" s="23"/>
      <c r="H3" s="23"/>
      <c r="I3" s="23"/>
    </row>
    <row r="4" customFormat="false" ht="35.05" hidden="false" customHeight="false" outlineLevel="0" collapsed="false">
      <c r="A4" s="24" t="n">
        <v>1</v>
      </c>
      <c r="B4" s="10" t="s">
        <v>54</v>
      </c>
      <c r="C4" s="25" t="s">
        <v>55</v>
      </c>
      <c r="D4" s="12"/>
      <c r="E4" s="26" t="s">
        <v>56</v>
      </c>
      <c r="F4" s="24" t="s">
        <v>6</v>
      </c>
      <c r="G4" s="12"/>
      <c r="H4" s="12"/>
      <c r="I4" s="27"/>
    </row>
    <row r="5" customFormat="false" ht="35.05" hidden="false" customHeight="false" outlineLevel="0" collapsed="false">
      <c r="A5" s="28" t="n">
        <v>2</v>
      </c>
      <c r="B5" s="5" t="s">
        <v>57</v>
      </c>
      <c r="C5" s="29" t="s">
        <v>58</v>
      </c>
      <c r="D5" s="7"/>
      <c r="E5" s="30" t="s">
        <v>56</v>
      </c>
      <c r="F5" s="28" t="s">
        <v>6</v>
      </c>
      <c r="G5" s="7"/>
      <c r="H5" s="7"/>
      <c r="I5" s="31"/>
    </row>
    <row r="6" customFormat="false" ht="35.05" hidden="false" customHeight="false" outlineLevel="0" collapsed="false">
      <c r="A6" s="24" t="n">
        <v>3</v>
      </c>
      <c r="B6" s="10" t="s">
        <v>59</v>
      </c>
      <c r="C6" s="25" t="s">
        <v>60</v>
      </c>
      <c r="D6" s="12"/>
      <c r="E6" s="26" t="s">
        <v>56</v>
      </c>
      <c r="F6" s="24" t="s">
        <v>6</v>
      </c>
      <c r="G6" s="12"/>
      <c r="H6" s="12"/>
      <c r="I6" s="27"/>
    </row>
    <row r="7" customFormat="false" ht="35.05" hidden="false" customHeight="false" outlineLevel="0" collapsed="false">
      <c r="A7" s="28" t="n">
        <v>4</v>
      </c>
      <c r="B7" s="5" t="s">
        <v>61</v>
      </c>
      <c r="C7" s="29" t="s">
        <v>62</v>
      </c>
      <c r="D7" s="7"/>
      <c r="E7" s="30" t="s">
        <v>63</v>
      </c>
      <c r="F7" s="28" t="s">
        <v>6</v>
      </c>
      <c r="G7" s="7"/>
      <c r="H7" s="7"/>
      <c r="I7" s="31"/>
    </row>
    <row r="8" customFormat="false" ht="35.05" hidden="false" customHeight="false" outlineLevel="0" collapsed="false">
      <c r="A8" s="24" t="n">
        <v>5</v>
      </c>
      <c r="B8" s="10" t="s">
        <v>64</v>
      </c>
      <c r="C8" s="25" t="s">
        <v>65</v>
      </c>
      <c r="D8" s="12"/>
      <c r="E8" s="26" t="s">
        <v>56</v>
      </c>
      <c r="F8" s="24" t="s">
        <v>6</v>
      </c>
      <c r="G8" s="12"/>
      <c r="H8" s="12"/>
      <c r="I8" s="27"/>
    </row>
    <row r="9" customFormat="false" ht="35.05" hidden="false" customHeight="false" outlineLevel="0" collapsed="false">
      <c r="A9" s="28" t="n">
        <v>6</v>
      </c>
      <c r="B9" s="5" t="s">
        <v>66</v>
      </c>
      <c r="C9" s="29" t="s">
        <v>67</v>
      </c>
      <c r="D9" s="7"/>
      <c r="E9" s="30" t="s">
        <v>56</v>
      </c>
      <c r="F9" s="28" t="s">
        <v>6</v>
      </c>
      <c r="G9" s="7"/>
      <c r="H9" s="7"/>
      <c r="I9" s="31"/>
    </row>
    <row r="10" customFormat="false" ht="23.85" hidden="false" customHeight="false" outlineLevel="0" collapsed="false">
      <c r="A10" s="24" t="n">
        <v>7</v>
      </c>
      <c r="B10" s="10" t="s">
        <v>68</v>
      </c>
      <c r="C10" s="25" t="s">
        <v>69</v>
      </c>
      <c r="D10" s="12"/>
      <c r="E10" s="26" t="s">
        <v>56</v>
      </c>
      <c r="F10" s="24" t="s">
        <v>6</v>
      </c>
      <c r="G10" s="12"/>
      <c r="H10" s="12"/>
      <c r="I10" s="27"/>
    </row>
    <row r="11" customFormat="false" ht="18" hidden="false" customHeight="true" outlineLevel="0" collapsed="false">
      <c r="A11" s="23" t="s">
        <v>70</v>
      </c>
      <c r="B11" s="23"/>
      <c r="C11" s="23"/>
      <c r="D11" s="23"/>
      <c r="E11" s="23"/>
      <c r="F11" s="23"/>
      <c r="G11" s="23"/>
      <c r="H11" s="23"/>
      <c r="I11" s="23"/>
    </row>
    <row r="12" customFormat="false" ht="35.05" hidden="false" customHeight="false" outlineLevel="0" collapsed="false">
      <c r="A12" s="28" t="n">
        <v>8</v>
      </c>
      <c r="B12" s="5" t="s">
        <v>71</v>
      </c>
      <c r="C12" s="29" t="s">
        <v>72</v>
      </c>
      <c r="D12" s="7"/>
      <c r="E12" s="30" t="s">
        <v>56</v>
      </c>
      <c r="F12" s="28" t="s">
        <v>6</v>
      </c>
      <c r="G12" s="7"/>
      <c r="H12" s="7"/>
      <c r="I12" s="31"/>
    </row>
    <row r="13" customFormat="false" ht="35.05" hidden="false" customHeight="false" outlineLevel="0" collapsed="false">
      <c r="A13" s="24" t="n">
        <v>9</v>
      </c>
      <c r="B13" s="10" t="s">
        <v>73</v>
      </c>
      <c r="C13" s="25" t="s">
        <v>74</v>
      </c>
      <c r="D13" s="12"/>
      <c r="E13" s="26" t="s">
        <v>63</v>
      </c>
      <c r="F13" s="24" t="s">
        <v>6</v>
      </c>
      <c r="G13" s="12"/>
      <c r="H13" s="12"/>
      <c r="I13" s="27"/>
    </row>
    <row r="14" customFormat="false" ht="23.85" hidden="false" customHeight="false" outlineLevel="0" collapsed="false">
      <c r="A14" s="28" t="n">
        <v>10</v>
      </c>
      <c r="B14" s="5" t="s">
        <v>75</v>
      </c>
      <c r="C14" s="29" t="s">
        <v>76</v>
      </c>
      <c r="D14" s="7"/>
      <c r="E14" s="30" t="s">
        <v>63</v>
      </c>
      <c r="F14" s="28" t="s">
        <v>6</v>
      </c>
      <c r="G14" s="7"/>
      <c r="H14" s="7"/>
      <c r="I14" s="31"/>
    </row>
    <row r="15" customFormat="false" ht="23.85" hidden="false" customHeight="false" outlineLevel="0" collapsed="false">
      <c r="A15" s="24" t="n">
        <v>11</v>
      </c>
      <c r="B15" s="10" t="s">
        <v>77</v>
      </c>
      <c r="C15" s="25" t="s">
        <v>78</v>
      </c>
      <c r="D15" s="12"/>
      <c r="E15" s="26" t="s">
        <v>79</v>
      </c>
      <c r="F15" s="24" t="s">
        <v>6</v>
      </c>
      <c r="G15" s="12"/>
      <c r="H15" s="12"/>
      <c r="I15" s="27"/>
    </row>
    <row r="16" customFormat="false" ht="18" hidden="false" customHeight="true" outlineLevel="0" collapsed="false">
      <c r="A16" s="23" t="s">
        <v>80</v>
      </c>
      <c r="B16" s="23"/>
      <c r="C16" s="23"/>
      <c r="D16" s="23"/>
      <c r="E16" s="23"/>
      <c r="F16" s="23"/>
      <c r="G16" s="23"/>
      <c r="H16" s="23"/>
      <c r="I16" s="23"/>
    </row>
    <row r="17" customFormat="false" ht="35.05" hidden="false" customHeight="false" outlineLevel="0" collapsed="false">
      <c r="A17" s="28" t="n">
        <v>12</v>
      </c>
      <c r="B17" s="5" t="s">
        <v>81</v>
      </c>
      <c r="C17" s="29" t="s">
        <v>82</v>
      </c>
      <c r="D17" s="7"/>
      <c r="E17" s="30" t="s">
        <v>56</v>
      </c>
      <c r="F17" s="28" t="s">
        <v>6</v>
      </c>
      <c r="G17" s="7"/>
      <c r="H17" s="7"/>
      <c r="I17" s="31"/>
    </row>
    <row r="18" customFormat="false" ht="23.85" hidden="false" customHeight="false" outlineLevel="0" collapsed="false">
      <c r="A18" s="24" t="n">
        <v>13</v>
      </c>
      <c r="B18" s="10" t="s">
        <v>83</v>
      </c>
      <c r="C18" s="25" t="s">
        <v>84</v>
      </c>
      <c r="D18" s="12"/>
      <c r="E18" s="26" t="s">
        <v>63</v>
      </c>
      <c r="F18" s="24" t="s">
        <v>6</v>
      </c>
      <c r="G18" s="12"/>
      <c r="H18" s="12"/>
      <c r="I18" s="27"/>
    </row>
    <row r="19" customFormat="false" ht="35.05" hidden="false" customHeight="false" outlineLevel="0" collapsed="false">
      <c r="A19" s="28" t="n">
        <v>14</v>
      </c>
      <c r="B19" s="5" t="s">
        <v>85</v>
      </c>
      <c r="C19" s="29" t="s">
        <v>86</v>
      </c>
      <c r="D19" s="7"/>
      <c r="E19" s="30" t="s">
        <v>56</v>
      </c>
      <c r="F19" s="28" t="s">
        <v>6</v>
      </c>
      <c r="G19" s="7"/>
      <c r="H19" s="7"/>
      <c r="I19" s="31"/>
    </row>
    <row r="20" customFormat="false" ht="23.85" hidden="false" customHeight="false" outlineLevel="0" collapsed="false">
      <c r="A20" s="24" t="n">
        <v>15</v>
      </c>
      <c r="B20" s="10" t="s">
        <v>87</v>
      </c>
      <c r="C20" s="25" t="s">
        <v>88</v>
      </c>
      <c r="D20" s="12"/>
      <c r="E20" s="26" t="s">
        <v>63</v>
      </c>
      <c r="F20" s="24" t="s">
        <v>6</v>
      </c>
      <c r="G20" s="12"/>
      <c r="H20" s="12"/>
      <c r="I20" s="27"/>
    </row>
    <row r="21" customFormat="false" ht="35.05" hidden="false" customHeight="false" outlineLevel="0" collapsed="false">
      <c r="A21" s="28" t="n">
        <v>16</v>
      </c>
      <c r="B21" s="5" t="s">
        <v>89</v>
      </c>
      <c r="C21" s="29" t="s">
        <v>90</v>
      </c>
      <c r="D21" s="7"/>
      <c r="E21" s="30" t="s">
        <v>63</v>
      </c>
      <c r="F21" s="28" t="s">
        <v>6</v>
      </c>
      <c r="G21" s="7"/>
      <c r="H21" s="7"/>
      <c r="I21" s="31"/>
    </row>
    <row r="22" customFormat="false" ht="23.85" hidden="false" customHeight="false" outlineLevel="0" collapsed="false">
      <c r="A22" s="24" t="n">
        <v>17</v>
      </c>
      <c r="B22" s="10" t="s">
        <v>91</v>
      </c>
      <c r="C22" s="25" t="s">
        <v>92</v>
      </c>
      <c r="D22" s="12"/>
      <c r="E22" s="26" t="s">
        <v>56</v>
      </c>
      <c r="F22" s="24" t="s">
        <v>6</v>
      </c>
      <c r="G22" s="12"/>
      <c r="H22" s="12"/>
      <c r="I22" s="27"/>
    </row>
    <row r="23" customFormat="false" ht="18" hidden="false" customHeight="true" outlineLevel="0" collapsed="false">
      <c r="A23" s="23" t="s">
        <v>93</v>
      </c>
      <c r="B23" s="23"/>
      <c r="C23" s="23"/>
      <c r="D23" s="23"/>
      <c r="E23" s="23"/>
      <c r="F23" s="23"/>
      <c r="G23" s="23"/>
      <c r="H23" s="23"/>
      <c r="I23" s="23"/>
    </row>
    <row r="24" customFormat="false" ht="35.05" hidden="false" customHeight="false" outlineLevel="0" collapsed="false">
      <c r="A24" s="28" t="n">
        <v>18</v>
      </c>
      <c r="B24" s="5" t="s">
        <v>94</v>
      </c>
      <c r="C24" s="29" t="s">
        <v>95</v>
      </c>
      <c r="D24" s="7"/>
      <c r="E24" s="30" t="s">
        <v>56</v>
      </c>
      <c r="F24" s="28" t="s">
        <v>6</v>
      </c>
      <c r="G24" s="7"/>
      <c r="H24" s="7"/>
      <c r="I24" s="31"/>
    </row>
    <row r="25" customFormat="false" ht="23.85" hidden="false" customHeight="false" outlineLevel="0" collapsed="false">
      <c r="A25" s="24" t="n">
        <v>19</v>
      </c>
      <c r="B25" s="10" t="s">
        <v>96</v>
      </c>
      <c r="C25" s="25" t="s">
        <v>97</v>
      </c>
      <c r="D25" s="12"/>
      <c r="E25" s="26" t="s">
        <v>79</v>
      </c>
      <c r="F25" s="24" t="s">
        <v>6</v>
      </c>
      <c r="G25" s="12"/>
      <c r="H25" s="12"/>
      <c r="I25" s="27"/>
    </row>
    <row r="26" customFormat="false" ht="23.85" hidden="false" customHeight="false" outlineLevel="0" collapsed="false">
      <c r="A26" s="28" t="n">
        <v>20</v>
      </c>
      <c r="B26" s="5" t="s">
        <v>98</v>
      </c>
      <c r="C26" s="29" t="s">
        <v>99</v>
      </c>
      <c r="D26" s="7"/>
      <c r="E26" s="30" t="s">
        <v>63</v>
      </c>
      <c r="F26" s="28" t="s">
        <v>6</v>
      </c>
      <c r="G26" s="7"/>
      <c r="H26" s="7"/>
      <c r="I26" s="31"/>
    </row>
  </sheetData>
  <mergeCells count="5">
    <mergeCell ref="A1:I1"/>
    <mergeCell ref="A3:I3"/>
    <mergeCell ref="A11:I11"/>
    <mergeCell ref="A16:I16"/>
    <mergeCell ref="A23:I23"/>
  </mergeCells>
  <conditionalFormatting sqref="F3:F26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"Red Flag"</formula>
    </cfRule>
    <cfRule type="cellIs" priority="4" operator="equal" aboveAverage="0" equalAverage="0" bottom="0" percent="0" rank="0" text="" dxfId="2">
      <formula>"Requested"</formula>
    </cfRule>
    <cfRule type="cellIs" priority="5" operator="equal" aboveAverage="0" equalAverage="0" bottom="0" percent="0" rank="0" text="" dxfId="2">
      <formula>"In Review"</formula>
    </cfRule>
  </conditionalFormatting>
  <dataValidations count="2">
    <dataValidation allowBlank="true" errorStyle="stop" operator="between" showDropDown="false" showErrorMessage="false" showInputMessage="false" sqref="E3:E26" type="list">
      <formula1>"P0 - Gating,P1 - High,P2 - Medium,P3 - Low"</formula1>
      <formula2>0</formula2>
    </dataValidation>
    <dataValidation allowBlank="true" errorStyle="stop" operator="between" showDropDown="false" showErrorMessage="false" showInputMessage="false" sqref="F3:F26" type="list">
      <formula1>"Not Started,Requested,Received,In Review,Complete,Red Flag"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4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21.75" hidden="false" customHeight="true" outlineLevel="0" collapsed="false">
      <c r="A1" s="22" t="s">
        <v>100</v>
      </c>
      <c r="B1" s="22"/>
      <c r="C1" s="22"/>
      <c r="D1" s="22"/>
      <c r="E1" s="22"/>
      <c r="F1" s="22"/>
      <c r="G1" s="22"/>
      <c r="H1" s="22"/>
      <c r="I1" s="22"/>
    </row>
    <row r="2" customFormat="false" ht="27.75" hidden="false" customHeight="true" outlineLevel="0" collapsed="false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12</v>
      </c>
      <c r="G2" s="4" t="s">
        <v>50</v>
      </c>
      <c r="H2" s="4" t="s">
        <v>51</v>
      </c>
      <c r="I2" s="4" t="s">
        <v>52</v>
      </c>
    </row>
    <row r="3" customFormat="false" ht="18" hidden="false" customHeight="true" outlineLevel="0" collapsed="false">
      <c r="A3" s="23" t="s">
        <v>101</v>
      </c>
      <c r="B3" s="23"/>
      <c r="C3" s="23"/>
      <c r="D3" s="23"/>
      <c r="E3" s="23"/>
      <c r="F3" s="23"/>
      <c r="G3" s="23"/>
      <c r="H3" s="23"/>
      <c r="I3" s="23"/>
    </row>
    <row r="4" customFormat="false" ht="35.05" hidden="false" customHeight="false" outlineLevel="0" collapsed="false">
      <c r="A4" s="24" t="n">
        <v>1</v>
      </c>
      <c r="B4" s="10" t="s">
        <v>102</v>
      </c>
      <c r="C4" s="25" t="s">
        <v>103</v>
      </c>
      <c r="D4" s="12"/>
      <c r="E4" s="26" t="s">
        <v>56</v>
      </c>
      <c r="F4" s="24" t="s">
        <v>6</v>
      </c>
      <c r="G4" s="12"/>
      <c r="H4" s="12"/>
      <c r="I4" s="27"/>
    </row>
    <row r="5" customFormat="false" ht="35.05" hidden="false" customHeight="false" outlineLevel="0" collapsed="false">
      <c r="A5" s="28" t="n">
        <v>2</v>
      </c>
      <c r="B5" s="5" t="s">
        <v>104</v>
      </c>
      <c r="C5" s="29" t="s">
        <v>105</v>
      </c>
      <c r="D5" s="7"/>
      <c r="E5" s="30" t="s">
        <v>63</v>
      </c>
      <c r="F5" s="28" t="s">
        <v>6</v>
      </c>
      <c r="G5" s="7"/>
      <c r="H5" s="7"/>
      <c r="I5" s="31"/>
    </row>
    <row r="6" customFormat="false" ht="35.05" hidden="false" customHeight="false" outlineLevel="0" collapsed="false">
      <c r="A6" s="24" t="n">
        <v>3</v>
      </c>
      <c r="B6" s="10" t="s">
        <v>106</v>
      </c>
      <c r="C6" s="25" t="s">
        <v>107</v>
      </c>
      <c r="D6" s="12"/>
      <c r="E6" s="26" t="s">
        <v>63</v>
      </c>
      <c r="F6" s="24" t="s">
        <v>6</v>
      </c>
      <c r="G6" s="12"/>
      <c r="H6" s="12"/>
      <c r="I6" s="27"/>
    </row>
    <row r="7" customFormat="false" ht="35.05" hidden="false" customHeight="false" outlineLevel="0" collapsed="false">
      <c r="A7" s="28" t="n">
        <v>4</v>
      </c>
      <c r="B7" s="5" t="s">
        <v>108</v>
      </c>
      <c r="C7" s="29" t="s">
        <v>109</v>
      </c>
      <c r="D7" s="7"/>
      <c r="E7" s="30" t="s">
        <v>63</v>
      </c>
      <c r="F7" s="28" t="s">
        <v>6</v>
      </c>
      <c r="G7" s="7"/>
      <c r="H7" s="7"/>
      <c r="I7" s="31"/>
    </row>
    <row r="8" customFormat="false" ht="18" hidden="false" customHeight="true" outlineLevel="0" collapsed="false">
      <c r="A8" s="23" t="s">
        <v>110</v>
      </c>
      <c r="B8" s="23"/>
      <c r="C8" s="23"/>
      <c r="D8" s="23"/>
      <c r="E8" s="23"/>
      <c r="F8" s="23"/>
      <c r="G8" s="23"/>
      <c r="H8" s="23"/>
      <c r="I8" s="23"/>
    </row>
    <row r="9" customFormat="false" ht="35.05" hidden="false" customHeight="false" outlineLevel="0" collapsed="false">
      <c r="A9" s="24" t="n">
        <v>5</v>
      </c>
      <c r="B9" s="10" t="s">
        <v>111</v>
      </c>
      <c r="C9" s="25" t="s">
        <v>112</v>
      </c>
      <c r="D9" s="12"/>
      <c r="E9" s="26" t="s">
        <v>56</v>
      </c>
      <c r="F9" s="24" t="s">
        <v>6</v>
      </c>
      <c r="G9" s="12"/>
      <c r="H9" s="12"/>
      <c r="I9" s="27"/>
    </row>
    <row r="10" customFormat="false" ht="35.05" hidden="false" customHeight="false" outlineLevel="0" collapsed="false">
      <c r="A10" s="28" t="n">
        <v>6</v>
      </c>
      <c r="B10" s="5" t="s">
        <v>113</v>
      </c>
      <c r="C10" s="29" t="s">
        <v>114</v>
      </c>
      <c r="D10" s="7"/>
      <c r="E10" s="30" t="s">
        <v>63</v>
      </c>
      <c r="F10" s="28" t="s">
        <v>6</v>
      </c>
      <c r="G10" s="7"/>
      <c r="H10" s="7"/>
      <c r="I10" s="31"/>
    </row>
    <row r="11" customFormat="false" ht="23.85" hidden="false" customHeight="false" outlineLevel="0" collapsed="false">
      <c r="A11" s="24" t="n">
        <v>7</v>
      </c>
      <c r="B11" s="10" t="s">
        <v>115</v>
      </c>
      <c r="C11" s="25" t="s">
        <v>116</v>
      </c>
      <c r="D11" s="12"/>
      <c r="E11" s="26" t="s">
        <v>56</v>
      </c>
      <c r="F11" s="24" t="s">
        <v>6</v>
      </c>
      <c r="G11" s="12"/>
      <c r="H11" s="12"/>
      <c r="I11" s="27"/>
    </row>
    <row r="12" customFormat="false" ht="23.85" hidden="false" customHeight="false" outlineLevel="0" collapsed="false">
      <c r="A12" s="28" t="n">
        <v>8</v>
      </c>
      <c r="B12" s="5" t="s">
        <v>117</v>
      </c>
      <c r="C12" s="29" t="s">
        <v>118</v>
      </c>
      <c r="D12" s="7"/>
      <c r="E12" s="30" t="s">
        <v>63</v>
      </c>
      <c r="F12" s="28" t="s">
        <v>6</v>
      </c>
      <c r="G12" s="7"/>
      <c r="H12" s="7"/>
      <c r="I12" s="31"/>
    </row>
    <row r="13" customFormat="false" ht="18" hidden="false" customHeight="true" outlineLevel="0" collapsed="false">
      <c r="A13" s="23" t="s">
        <v>119</v>
      </c>
      <c r="B13" s="23"/>
      <c r="C13" s="23"/>
      <c r="D13" s="23"/>
      <c r="E13" s="23"/>
      <c r="F13" s="23"/>
      <c r="G13" s="23"/>
      <c r="H13" s="23"/>
      <c r="I13" s="23"/>
    </row>
    <row r="14" customFormat="false" ht="35.05" hidden="false" customHeight="false" outlineLevel="0" collapsed="false">
      <c r="A14" s="24" t="n">
        <v>9</v>
      </c>
      <c r="B14" s="10" t="s">
        <v>120</v>
      </c>
      <c r="C14" s="25" t="s">
        <v>121</v>
      </c>
      <c r="D14" s="12"/>
      <c r="E14" s="26" t="s">
        <v>56</v>
      </c>
      <c r="F14" s="24" t="s">
        <v>6</v>
      </c>
      <c r="G14" s="12"/>
      <c r="H14" s="12"/>
      <c r="I14" s="27"/>
    </row>
    <row r="15" customFormat="false" ht="23.85" hidden="false" customHeight="false" outlineLevel="0" collapsed="false">
      <c r="A15" s="28" t="n">
        <v>10</v>
      </c>
      <c r="B15" s="5" t="s">
        <v>122</v>
      </c>
      <c r="C15" s="29" t="s">
        <v>123</v>
      </c>
      <c r="D15" s="7"/>
      <c r="E15" s="30" t="s">
        <v>56</v>
      </c>
      <c r="F15" s="28" t="s">
        <v>6</v>
      </c>
      <c r="G15" s="7"/>
      <c r="H15" s="7"/>
      <c r="I15" s="31"/>
    </row>
    <row r="16" customFormat="false" ht="35.05" hidden="false" customHeight="false" outlineLevel="0" collapsed="false">
      <c r="A16" s="24" t="n">
        <v>11</v>
      </c>
      <c r="B16" s="10" t="s">
        <v>124</v>
      </c>
      <c r="C16" s="25" t="s">
        <v>125</v>
      </c>
      <c r="D16" s="12"/>
      <c r="E16" s="26" t="s">
        <v>56</v>
      </c>
      <c r="F16" s="24" t="s">
        <v>6</v>
      </c>
      <c r="G16" s="12"/>
      <c r="H16" s="12"/>
      <c r="I16" s="27"/>
    </row>
    <row r="17" customFormat="false" ht="35.05" hidden="false" customHeight="false" outlineLevel="0" collapsed="false">
      <c r="A17" s="28" t="n">
        <v>12</v>
      </c>
      <c r="B17" s="5" t="s">
        <v>126</v>
      </c>
      <c r="C17" s="29" t="s">
        <v>127</v>
      </c>
      <c r="D17" s="7"/>
      <c r="E17" s="30" t="s">
        <v>56</v>
      </c>
      <c r="F17" s="28" t="s">
        <v>6</v>
      </c>
      <c r="G17" s="7"/>
      <c r="H17" s="7"/>
      <c r="I17" s="31"/>
    </row>
    <row r="18" customFormat="false" ht="23.85" hidden="false" customHeight="false" outlineLevel="0" collapsed="false">
      <c r="A18" s="24" t="n">
        <v>13</v>
      </c>
      <c r="B18" s="10" t="s">
        <v>128</v>
      </c>
      <c r="C18" s="25" t="s">
        <v>129</v>
      </c>
      <c r="D18" s="12"/>
      <c r="E18" s="26" t="s">
        <v>63</v>
      </c>
      <c r="F18" s="24" t="s">
        <v>6</v>
      </c>
      <c r="G18" s="12"/>
      <c r="H18" s="12"/>
      <c r="I18" s="27"/>
    </row>
    <row r="19" customFormat="false" ht="23.85" hidden="false" customHeight="false" outlineLevel="0" collapsed="false">
      <c r="A19" s="28" t="n">
        <v>14</v>
      </c>
      <c r="B19" s="5" t="s">
        <v>130</v>
      </c>
      <c r="C19" s="29" t="s">
        <v>131</v>
      </c>
      <c r="D19" s="7"/>
      <c r="E19" s="30" t="s">
        <v>63</v>
      </c>
      <c r="F19" s="28" t="s">
        <v>6</v>
      </c>
      <c r="G19" s="7"/>
      <c r="H19" s="7"/>
      <c r="I19" s="31"/>
    </row>
    <row r="20" customFormat="false" ht="18" hidden="false" customHeight="true" outlineLevel="0" collapsed="false">
      <c r="A20" s="23" t="s">
        <v>132</v>
      </c>
      <c r="B20" s="23"/>
      <c r="C20" s="23"/>
      <c r="D20" s="23"/>
      <c r="E20" s="23"/>
      <c r="F20" s="23"/>
      <c r="G20" s="23"/>
      <c r="H20" s="23"/>
      <c r="I20" s="23"/>
    </row>
    <row r="21" customFormat="false" ht="23.85" hidden="false" customHeight="false" outlineLevel="0" collapsed="false">
      <c r="A21" s="24" t="n">
        <v>15</v>
      </c>
      <c r="B21" s="10" t="s">
        <v>133</v>
      </c>
      <c r="C21" s="25" t="s">
        <v>134</v>
      </c>
      <c r="D21" s="12"/>
      <c r="E21" s="26" t="s">
        <v>63</v>
      </c>
      <c r="F21" s="24" t="s">
        <v>6</v>
      </c>
      <c r="G21" s="12"/>
      <c r="H21" s="12"/>
      <c r="I21" s="27"/>
    </row>
    <row r="22" customFormat="false" ht="23.85" hidden="false" customHeight="false" outlineLevel="0" collapsed="false">
      <c r="A22" s="28" t="n">
        <v>16</v>
      </c>
      <c r="B22" s="5" t="s">
        <v>135</v>
      </c>
      <c r="C22" s="29" t="s">
        <v>136</v>
      </c>
      <c r="D22" s="7"/>
      <c r="E22" s="30" t="s">
        <v>56</v>
      </c>
      <c r="F22" s="28" t="s">
        <v>6</v>
      </c>
      <c r="G22" s="7"/>
      <c r="H22" s="7"/>
      <c r="I22" s="31"/>
    </row>
    <row r="23" customFormat="false" ht="23.85" hidden="false" customHeight="false" outlineLevel="0" collapsed="false">
      <c r="A23" s="24" t="n">
        <v>17</v>
      </c>
      <c r="B23" s="10" t="s">
        <v>137</v>
      </c>
      <c r="C23" s="25" t="s">
        <v>138</v>
      </c>
      <c r="D23" s="12"/>
      <c r="E23" s="26" t="s">
        <v>63</v>
      </c>
      <c r="F23" s="24" t="s">
        <v>6</v>
      </c>
      <c r="G23" s="12"/>
      <c r="H23" s="12"/>
      <c r="I23" s="27"/>
    </row>
    <row r="24" customFormat="false" ht="23.85" hidden="false" customHeight="false" outlineLevel="0" collapsed="false">
      <c r="A24" s="28" t="n">
        <v>18</v>
      </c>
      <c r="B24" s="5" t="s">
        <v>139</v>
      </c>
      <c r="C24" s="29" t="s">
        <v>140</v>
      </c>
      <c r="D24" s="7"/>
      <c r="E24" s="30" t="s">
        <v>79</v>
      </c>
      <c r="F24" s="28" t="s">
        <v>6</v>
      </c>
      <c r="G24" s="7"/>
      <c r="H24" s="7"/>
      <c r="I24" s="31"/>
    </row>
  </sheetData>
  <mergeCells count="5">
    <mergeCell ref="A1:I1"/>
    <mergeCell ref="A3:I3"/>
    <mergeCell ref="A8:I8"/>
    <mergeCell ref="A13:I13"/>
    <mergeCell ref="A20:I20"/>
  </mergeCells>
  <conditionalFormatting sqref="F3:F24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"Red Flag"</formula>
    </cfRule>
    <cfRule type="cellIs" priority="4" operator="equal" aboveAverage="0" equalAverage="0" bottom="0" percent="0" rank="0" text="" dxfId="2">
      <formula>"Requested"</formula>
    </cfRule>
    <cfRule type="cellIs" priority="5" operator="equal" aboveAverage="0" equalAverage="0" bottom="0" percent="0" rank="0" text="" dxfId="2">
      <formula>"In Review"</formula>
    </cfRule>
  </conditionalFormatting>
  <dataValidations count="2">
    <dataValidation allowBlank="true" errorStyle="stop" operator="between" showDropDown="false" showErrorMessage="false" showInputMessage="false" sqref="E3:E24" type="list">
      <formula1>"P0 - Gating,P1 - High,P2 - Medium,P3 - Low"</formula1>
      <formula2>0</formula2>
    </dataValidation>
    <dataValidation allowBlank="true" errorStyle="stop" operator="between" showDropDown="false" showErrorMessage="false" showInputMessage="false" sqref="F3:F24" type="list">
      <formula1>"Not Started,Requested,Received,In Review,Complete,Red Flag"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2D8B"/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4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21.75" hidden="false" customHeight="true" outlineLevel="0" collapsed="false">
      <c r="A1" s="22" t="s">
        <v>141</v>
      </c>
      <c r="B1" s="22"/>
      <c r="C1" s="22"/>
      <c r="D1" s="22"/>
      <c r="E1" s="22"/>
      <c r="F1" s="22"/>
      <c r="G1" s="22"/>
      <c r="H1" s="22"/>
      <c r="I1" s="22"/>
    </row>
    <row r="2" customFormat="false" ht="27.75" hidden="false" customHeight="true" outlineLevel="0" collapsed="false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12</v>
      </c>
      <c r="G2" s="4" t="s">
        <v>50</v>
      </c>
      <c r="H2" s="4" t="s">
        <v>51</v>
      </c>
      <c r="I2" s="4" t="s">
        <v>52</v>
      </c>
    </row>
    <row r="3" customFormat="false" ht="18" hidden="false" customHeight="true" outlineLevel="0" collapsed="false">
      <c r="A3" s="23" t="s">
        <v>142</v>
      </c>
      <c r="B3" s="23"/>
      <c r="C3" s="23"/>
      <c r="D3" s="23"/>
      <c r="E3" s="23"/>
      <c r="F3" s="23"/>
      <c r="G3" s="23"/>
      <c r="H3" s="23"/>
      <c r="I3" s="23"/>
    </row>
    <row r="4" customFormat="false" ht="35.05" hidden="false" customHeight="false" outlineLevel="0" collapsed="false">
      <c r="A4" s="24" t="n">
        <v>1</v>
      </c>
      <c r="B4" s="10" t="s">
        <v>143</v>
      </c>
      <c r="C4" s="25" t="s">
        <v>144</v>
      </c>
      <c r="D4" s="12"/>
      <c r="E4" s="26" t="s">
        <v>56</v>
      </c>
      <c r="F4" s="24" t="s">
        <v>6</v>
      </c>
      <c r="G4" s="12"/>
      <c r="H4" s="12"/>
      <c r="I4" s="27"/>
    </row>
    <row r="5" customFormat="false" ht="23.85" hidden="false" customHeight="false" outlineLevel="0" collapsed="false">
      <c r="A5" s="28" t="n">
        <v>2</v>
      </c>
      <c r="B5" s="5" t="s">
        <v>145</v>
      </c>
      <c r="C5" s="29" t="s">
        <v>146</v>
      </c>
      <c r="D5" s="7"/>
      <c r="E5" s="30" t="s">
        <v>56</v>
      </c>
      <c r="F5" s="28" t="s">
        <v>6</v>
      </c>
      <c r="G5" s="7"/>
      <c r="H5" s="7"/>
      <c r="I5" s="31"/>
    </row>
    <row r="6" customFormat="false" ht="35.05" hidden="false" customHeight="false" outlineLevel="0" collapsed="false">
      <c r="A6" s="24" t="n">
        <v>3</v>
      </c>
      <c r="B6" s="10" t="s">
        <v>147</v>
      </c>
      <c r="C6" s="25" t="s">
        <v>148</v>
      </c>
      <c r="D6" s="12"/>
      <c r="E6" s="26" t="s">
        <v>63</v>
      </c>
      <c r="F6" s="24" t="s">
        <v>6</v>
      </c>
      <c r="G6" s="12"/>
      <c r="H6" s="12"/>
      <c r="I6" s="27"/>
    </row>
    <row r="7" customFormat="false" ht="18" hidden="false" customHeight="true" outlineLevel="0" collapsed="false">
      <c r="A7" s="23" t="s">
        <v>149</v>
      </c>
      <c r="B7" s="23"/>
      <c r="C7" s="23"/>
      <c r="D7" s="23"/>
      <c r="E7" s="23"/>
      <c r="F7" s="23"/>
      <c r="G7" s="23"/>
      <c r="H7" s="23"/>
      <c r="I7" s="23"/>
    </row>
    <row r="8" customFormat="false" ht="35.05" hidden="false" customHeight="false" outlineLevel="0" collapsed="false">
      <c r="A8" s="28" t="n">
        <v>4</v>
      </c>
      <c r="B8" s="5" t="s">
        <v>150</v>
      </c>
      <c r="C8" s="29" t="s">
        <v>151</v>
      </c>
      <c r="D8" s="7"/>
      <c r="E8" s="30" t="s">
        <v>56</v>
      </c>
      <c r="F8" s="28" t="s">
        <v>6</v>
      </c>
      <c r="G8" s="7"/>
      <c r="H8" s="7"/>
      <c r="I8" s="31"/>
    </row>
    <row r="9" customFormat="false" ht="23.85" hidden="false" customHeight="false" outlineLevel="0" collapsed="false">
      <c r="A9" s="24" t="n">
        <v>5</v>
      </c>
      <c r="B9" s="10" t="s">
        <v>152</v>
      </c>
      <c r="C9" s="25" t="s">
        <v>153</v>
      </c>
      <c r="D9" s="12"/>
      <c r="E9" s="26" t="s">
        <v>56</v>
      </c>
      <c r="F9" s="24" t="s">
        <v>6</v>
      </c>
      <c r="G9" s="12"/>
      <c r="H9" s="12"/>
      <c r="I9" s="27"/>
    </row>
    <row r="10" customFormat="false" ht="35.05" hidden="false" customHeight="false" outlineLevel="0" collapsed="false">
      <c r="A10" s="28" t="n">
        <v>6</v>
      </c>
      <c r="B10" s="5" t="s">
        <v>154</v>
      </c>
      <c r="C10" s="29" t="s">
        <v>155</v>
      </c>
      <c r="D10" s="7"/>
      <c r="E10" s="30" t="s">
        <v>56</v>
      </c>
      <c r="F10" s="28" t="s">
        <v>6</v>
      </c>
      <c r="G10" s="7"/>
      <c r="H10" s="7"/>
      <c r="I10" s="31"/>
    </row>
    <row r="11" customFormat="false" ht="23.85" hidden="false" customHeight="false" outlineLevel="0" collapsed="false">
      <c r="A11" s="24" t="n">
        <v>7</v>
      </c>
      <c r="B11" s="10" t="s">
        <v>156</v>
      </c>
      <c r="C11" s="25" t="s">
        <v>157</v>
      </c>
      <c r="D11" s="12"/>
      <c r="E11" s="26" t="s">
        <v>63</v>
      </c>
      <c r="F11" s="24" t="s">
        <v>6</v>
      </c>
      <c r="G11" s="12"/>
      <c r="H11" s="12"/>
      <c r="I11" s="27"/>
    </row>
    <row r="12" customFormat="false" ht="35.05" hidden="false" customHeight="false" outlineLevel="0" collapsed="false">
      <c r="A12" s="28" t="n">
        <v>8</v>
      </c>
      <c r="B12" s="5" t="s">
        <v>158</v>
      </c>
      <c r="C12" s="29" t="s">
        <v>159</v>
      </c>
      <c r="D12" s="7"/>
      <c r="E12" s="30" t="s">
        <v>63</v>
      </c>
      <c r="F12" s="28" t="s">
        <v>6</v>
      </c>
      <c r="G12" s="7"/>
      <c r="H12" s="7"/>
      <c r="I12" s="31"/>
    </row>
    <row r="13" customFormat="false" ht="23.85" hidden="false" customHeight="false" outlineLevel="0" collapsed="false">
      <c r="A13" s="24" t="n">
        <v>9</v>
      </c>
      <c r="B13" s="10" t="s">
        <v>160</v>
      </c>
      <c r="C13" s="25" t="s">
        <v>161</v>
      </c>
      <c r="D13" s="12"/>
      <c r="E13" s="26" t="s">
        <v>79</v>
      </c>
      <c r="F13" s="24" t="s">
        <v>6</v>
      </c>
      <c r="G13" s="12"/>
      <c r="H13" s="12"/>
      <c r="I13" s="27"/>
    </row>
    <row r="14" customFormat="false" ht="18" hidden="false" customHeight="true" outlineLevel="0" collapsed="false">
      <c r="A14" s="23" t="s">
        <v>162</v>
      </c>
      <c r="B14" s="23"/>
      <c r="C14" s="23"/>
      <c r="D14" s="23"/>
      <c r="E14" s="23"/>
      <c r="F14" s="23"/>
      <c r="G14" s="23"/>
      <c r="H14" s="23"/>
      <c r="I14" s="23"/>
    </row>
    <row r="15" customFormat="false" ht="35.05" hidden="false" customHeight="false" outlineLevel="0" collapsed="false">
      <c r="A15" s="28" t="n">
        <v>10</v>
      </c>
      <c r="B15" s="5" t="s">
        <v>163</v>
      </c>
      <c r="C15" s="29" t="s">
        <v>164</v>
      </c>
      <c r="D15" s="7"/>
      <c r="E15" s="30" t="s">
        <v>56</v>
      </c>
      <c r="F15" s="28" t="s">
        <v>6</v>
      </c>
      <c r="G15" s="7"/>
      <c r="H15" s="7"/>
      <c r="I15" s="31"/>
    </row>
    <row r="16" customFormat="false" ht="35.05" hidden="false" customHeight="false" outlineLevel="0" collapsed="false">
      <c r="A16" s="24" t="n">
        <v>11</v>
      </c>
      <c r="B16" s="10" t="s">
        <v>165</v>
      </c>
      <c r="C16" s="25" t="s">
        <v>166</v>
      </c>
      <c r="D16" s="12"/>
      <c r="E16" s="26" t="s">
        <v>63</v>
      </c>
      <c r="F16" s="24" t="s">
        <v>6</v>
      </c>
      <c r="G16" s="12"/>
      <c r="H16" s="12"/>
      <c r="I16" s="27"/>
    </row>
    <row r="17" customFormat="false" ht="35.05" hidden="false" customHeight="false" outlineLevel="0" collapsed="false">
      <c r="A17" s="28" t="n">
        <v>12</v>
      </c>
      <c r="B17" s="5" t="s">
        <v>167</v>
      </c>
      <c r="C17" s="29" t="s">
        <v>168</v>
      </c>
      <c r="D17" s="7"/>
      <c r="E17" s="30" t="s">
        <v>56</v>
      </c>
      <c r="F17" s="28" t="s">
        <v>6</v>
      </c>
      <c r="G17" s="7"/>
      <c r="H17" s="7"/>
      <c r="I17" s="31"/>
    </row>
    <row r="18" customFormat="false" ht="35.05" hidden="false" customHeight="false" outlineLevel="0" collapsed="false">
      <c r="A18" s="24" t="n">
        <v>13</v>
      </c>
      <c r="B18" s="10" t="s">
        <v>169</v>
      </c>
      <c r="C18" s="25" t="s">
        <v>170</v>
      </c>
      <c r="D18" s="12"/>
      <c r="E18" s="26" t="s">
        <v>63</v>
      </c>
      <c r="F18" s="24" t="s">
        <v>6</v>
      </c>
      <c r="G18" s="12"/>
      <c r="H18" s="12"/>
      <c r="I18" s="27"/>
    </row>
    <row r="19" customFormat="false" ht="23.85" hidden="false" customHeight="false" outlineLevel="0" collapsed="false">
      <c r="A19" s="28" t="n">
        <v>14</v>
      </c>
      <c r="B19" s="5" t="s">
        <v>171</v>
      </c>
      <c r="C19" s="29" t="s">
        <v>172</v>
      </c>
      <c r="D19" s="7"/>
      <c r="E19" s="30" t="s">
        <v>63</v>
      </c>
      <c r="F19" s="28" t="s">
        <v>6</v>
      </c>
      <c r="G19" s="7"/>
      <c r="H19" s="7"/>
      <c r="I19" s="31"/>
    </row>
    <row r="20" customFormat="false" ht="35.05" hidden="false" customHeight="false" outlineLevel="0" collapsed="false">
      <c r="A20" s="24" t="n">
        <v>15</v>
      </c>
      <c r="B20" s="10" t="s">
        <v>173</v>
      </c>
      <c r="C20" s="25" t="s">
        <v>174</v>
      </c>
      <c r="D20" s="12"/>
      <c r="E20" s="26" t="s">
        <v>56</v>
      </c>
      <c r="F20" s="24" t="s">
        <v>6</v>
      </c>
      <c r="G20" s="12"/>
      <c r="H20" s="12"/>
      <c r="I20" s="27"/>
    </row>
  </sheetData>
  <mergeCells count="4">
    <mergeCell ref="A1:I1"/>
    <mergeCell ref="A3:I3"/>
    <mergeCell ref="A7:I7"/>
    <mergeCell ref="A14:I14"/>
  </mergeCells>
  <conditionalFormatting sqref="F3:F20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"Red Flag"</formula>
    </cfRule>
    <cfRule type="cellIs" priority="4" operator="equal" aboveAverage="0" equalAverage="0" bottom="0" percent="0" rank="0" text="" dxfId="2">
      <formula>"Requested"</formula>
    </cfRule>
    <cfRule type="cellIs" priority="5" operator="equal" aboveAverage="0" equalAverage="0" bottom="0" percent="0" rank="0" text="" dxfId="2">
      <formula>"In Review"</formula>
    </cfRule>
  </conditionalFormatting>
  <dataValidations count="2">
    <dataValidation allowBlank="true" errorStyle="stop" operator="between" showDropDown="false" showErrorMessage="false" showInputMessage="false" sqref="E3:E20" type="list">
      <formula1>"P0 - Gating,P1 - High,P2 - Medium,P3 - Low"</formula1>
      <formula2>0</formula2>
    </dataValidation>
    <dataValidation allowBlank="true" errorStyle="stop" operator="between" showDropDown="false" showErrorMessage="false" showInputMessage="false" sqref="F3:F20" type="list">
      <formula1>"Not Started,Requested,Received,In Review,Complete,Red Flag"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4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21.75" hidden="false" customHeight="true" outlineLevel="0" collapsed="false">
      <c r="A1" s="22" t="s">
        <v>175</v>
      </c>
      <c r="B1" s="22"/>
      <c r="C1" s="22"/>
      <c r="D1" s="22"/>
      <c r="E1" s="22"/>
      <c r="F1" s="22"/>
      <c r="G1" s="22"/>
      <c r="H1" s="22"/>
      <c r="I1" s="22"/>
    </row>
    <row r="2" customFormat="false" ht="27.75" hidden="false" customHeight="true" outlineLevel="0" collapsed="false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12</v>
      </c>
      <c r="G2" s="4" t="s">
        <v>50</v>
      </c>
      <c r="H2" s="4" t="s">
        <v>51</v>
      </c>
      <c r="I2" s="4" t="s">
        <v>52</v>
      </c>
    </row>
    <row r="3" customFormat="false" ht="18" hidden="false" customHeight="true" outlineLevel="0" collapsed="false">
      <c r="A3" s="23" t="s">
        <v>176</v>
      </c>
      <c r="B3" s="23"/>
      <c r="C3" s="23"/>
      <c r="D3" s="23"/>
      <c r="E3" s="23"/>
      <c r="F3" s="23"/>
      <c r="G3" s="23"/>
      <c r="H3" s="23"/>
      <c r="I3" s="23"/>
    </row>
    <row r="4" customFormat="false" ht="23.85" hidden="false" customHeight="false" outlineLevel="0" collapsed="false">
      <c r="A4" s="24" t="n">
        <v>1</v>
      </c>
      <c r="B4" s="10" t="s">
        <v>177</v>
      </c>
      <c r="C4" s="25" t="s">
        <v>178</v>
      </c>
      <c r="D4" s="12"/>
      <c r="E4" s="26" t="s">
        <v>56</v>
      </c>
      <c r="F4" s="24" t="s">
        <v>6</v>
      </c>
      <c r="G4" s="12"/>
      <c r="H4" s="12"/>
      <c r="I4" s="27"/>
    </row>
    <row r="5" customFormat="false" ht="23.85" hidden="false" customHeight="false" outlineLevel="0" collapsed="false">
      <c r="A5" s="28" t="n">
        <v>2</v>
      </c>
      <c r="B5" s="5" t="s">
        <v>179</v>
      </c>
      <c r="C5" s="29" t="s">
        <v>180</v>
      </c>
      <c r="D5" s="7"/>
      <c r="E5" s="30" t="s">
        <v>63</v>
      </c>
      <c r="F5" s="28" t="s">
        <v>6</v>
      </c>
      <c r="G5" s="7"/>
      <c r="H5" s="7"/>
      <c r="I5" s="31"/>
    </row>
    <row r="6" customFormat="false" ht="23.85" hidden="false" customHeight="false" outlineLevel="0" collapsed="false">
      <c r="A6" s="24" t="n">
        <v>3</v>
      </c>
      <c r="B6" s="10" t="s">
        <v>181</v>
      </c>
      <c r="C6" s="25" t="s">
        <v>182</v>
      </c>
      <c r="D6" s="12"/>
      <c r="E6" s="26" t="s">
        <v>63</v>
      </c>
      <c r="F6" s="24" t="s">
        <v>6</v>
      </c>
      <c r="G6" s="12"/>
      <c r="H6" s="12"/>
      <c r="I6" s="27"/>
    </row>
    <row r="7" customFormat="false" ht="23.85" hidden="false" customHeight="false" outlineLevel="0" collapsed="false">
      <c r="A7" s="28" t="n">
        <v>4</v>
      </c>
      <c r="B7" s="5" t="s">
        <v>183</v>
      </c>
      <c r="C7" s="29" t="s">
        <v>184</v>
      </c>
      <c r="D7" s="7"/>
      <c r="E7" s="30" t="s">
        <v>56</v>
      </c>
      <c r="F7" s="28" t="s">
        <v>6</v>
      </c>
      <c r="G7" s="7"/>
      <c r="H7" s="7"/>
      <c r="I7" s="31"/>
    </row>
    <row r="8" customFormat="false" ht="18" hidden="false" customHeight="true" outlineLevel="0" collapsed="false">
      <c r="A8" s="23" t="s">
        <v>185</v>
      </c>
      <c r="B8" s="23"/>
      <c r="C8" s="23"/>
      <c r="D8" s="23"/>
      <c r="E8" s="23"/>
      <c r="F8" s="23"/>
      <c r="G8" s="23"/>
      <c r="H8" s="23"/>
      <c r="I8" s="23"/>
    </row>
    <row r="9" customFormat="false" ht="35.05" hidden="false" customHeight="false" outlineLevel="0" collapsed="false">
      <c r="A9" s="24" t="n">
        <v>5</v>
      </c>
      <c r="B9" s="10" t="s">
        <v>186</v>
      </c>
      <c r="C9" s="25" t="s">
        <v>187</v>
      </c>
      <c r="D9" s="12"/>
      <c r="E9" s="26" t="s">
        <v>56</v>
      </c>
      <c r="F9" s="24" t="s">
        <v>6</v>
      </c>
      <c r="G9" s="12"/>
      <c r="H9" s="12"/>
      <c r="I9" s="27"/>
    </row>
    <row r="10" customFormat="false" ht="23.85" hidden="false" customHeight="false" outlineLevel="0" collapsed="false">
      <c r="A10" s="28" t="n">
        <v>6</v>
      </c>
      <c r="B10" s="5" t="s">
        <v>188</v>
      </c>
      <c r="C10" s="29" t="s">
        <v>189</v>
      </c>
      <c r="D10" s="7"/>
      <c r="E10" s="30" t="s">
        <v>63</v>
      </c>
      <c r="F10" s="28" t="s">
        <v>6</v>
      </c>
      <c r="G10" s="7"/>
      <c r="H10" s="7"/>
      <c r="I10" s="31"/>
    </row>
    <row r="11" customFormat="false" ht="23.85" hidden="false" customHeight="false" outlineLevel="0" collapsed="false">
      <c r="A11" s="24" t="n">
        <v>7</v>
      </c>
      <c r="B11" s="10" t="s">
        <v>190</v>
      </c>
      <c r="C11" s="25" t="s">
        <v>191</v>
      </c>
      <c r="D11" s="12"/>
      <c r="E11" s="26" t="s">
        <v>63</v>
      </c>
      <c r="F11" s="24" t="s">
        <v>6</v>
      </c>
      <c r="G11" s="12"/>
      <c r="H11" s="12"/>
      <c r="I11" s="27"/>
    </row>
    <row r="12" customFormat="false" ht="23.85" hidden="false" customHeight="false" outlineLevel="0" collapsed="false">
      <c r="A12" s="28" t="n">
        <v>8</v>
      </c>
      <c r="B12" s="5" t="s">
        <v>192</v>
      </c>
      <c r="C12" s="29" t="s">
        <v>193</v>
      </c>
      <c r="D12" s="7"/>
      <c r="E12" s="30" t="s">
        <v>56</v>
      </c>
      <c r="F12" s="28" t="s">
        <v>6</v>
      </c>
      <c r="G12" s="7"/>
      <c r="H12" s="7"/>
      <c r="I12" s="31"/>
    </row>
    <row r="13" customFormat="false" ht="23.85" hidden="false" customHeight="false" outlineLevel="0" collapsed="false">
      <c r="A13" s="24" t="n">
        <v>9</v>
      </c>
      <c r="B13" s="10" t="s">
        <v>194</v>
      </c>
      <c r="C13" s="25" t="s">
        <v>195</v>
      </c>
      <c r="D13" s="12"/>
      <c r="E13" s="26" t="s">
        <v>63</v>
      </c>
      <c r="F13" s="24" t="s">
        <v>6</v>
      </c>
      <c r="G13" s="12"/>
      <c r="H13" s="12"/>
      <c r="I13" s="27"/>
    </row>
    <row r="14" customFormat="false" ht="18" hidden="false" customHeight="true" outlineLevel="0" collapsed="false">
      <c r="A14" s="23" t="s">
        <v>196</v>
      </c>
      <c r="B14" s="23"/>
      <c r="C14" s="23"/>
      <c r="D14" s="23"/>
      <c r="E14" s="23"/>
      <c r="F14" s="23"/>
      <c r="G14" s="23"/>
      <c r="H14" s="23"/>
      <c r="I14" s="23"/>
    </row>
    <row r="15" customFormat="false" ht="23.85" hidden="false" customHeight="false" outlineLevel="0" collapsed="false">
      <c r="A15" s="28" t="n">
        <v>10</v>
      </c>
      <c r="B15" s="5" t="s">
        <v>197</v>
      </c>
      <c r="C15" s="29" t="s">
        <v>198</v>
      </c>
      <c r="D15" s="7"/>
      <c r="E15" s="30" t="s">
        <v>63</v>
      </c>
      <c r="F15" s="28" t="s">
        <v>6</v>
      </c>
      <c r="G15" s="7"/>
      <c r="H15" s="7"/>
      <c r="I15" s="31"/>
    </row>
    <row r="16" customFormat="false" ht="35.05" hidden="false" customHeight="false" outlineLevel="0" collapsed="false">
      <c r="A16" s="24" t="n">
        <v>11</v>
      </c>
      <c r="B16" s="10" t="s">
        <v>199</v>
      </c>
      <c r="C16" s="25" t="s">
        <v>200</v>
      </c>
      <c r="D16" s="12"/>
      <c r="E16" s="26" t="s">
        <v>79</v>
      </c>
      <c r="F16" s="24" t="s">
        <v>6</v>
      </c>
      <c r="G16" s="12"/>
      <c r="H16" s="12"/>
      <c r="I16" s="27"/>
    </row>
    <row r="17" customFormat="false" ht="23.85" hidden="false" customHeight="false" outlineLevel="0" collapsed="false">
      <c r="A17" s="28" t="n">
        <v>12</v>
      </c>
      <c r="B17" s="5" t="s">
        <v>201</v>
      </c>
      <c r="C17" s="29" t="s">
        <v>202</v>
      </c>
      <c r="D17" s="7"/>
      <c r="E17" s="30" t="s">
        <v>79</v>
      </c>
      <c r="F17" s="28" t="s">
        <v>6</v>
      </c>
      <c r="G17" s="7"/>
      <c r="H17" s="7"/>
      <c r="I17" s="31"/>
    </row>
    <row r="18" customFormat="false" ht="23.85" hidden="false" customHeight="false" outlineLevel="0" collapsed="false">
      <c r="A18" s="24" t="n">
        <v>13</v>
      </c>
      <c r="B18" s="10" t="s">
        <v>203</v>
      </c>
      <c r="C18" s="25" t="s">
        <v>204</v>
      </c>
      <c r="D18" s="12"/>
      <c r="E18" s="26" t="s">
        <v>79</v>
      </c>
      <c r="F18" s="24" t="s">
        <v>6</v>
      </c>
      <c r="G18" s="12"/>
      <c r="H18" s="12"/>
      <c r="I18" s="27"/>
    </row>
  </sheetData>
  <mergeCells count="4">
    <mergeCell ref="A1:I1"/>
    <mergeCell ref="A3:I3"/>
    <mergeCell ref="A8:I8"/>
    <mergeCell ref="A14:I14"/>
  </mergeCells>
  <conditionalFormatting sqref="F3:F18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"Red Flag"</formula>
    </cfRule>
    <cfRule type="cellIs" priority="4" operator="equal" aboveAverage="0" equalAverage="0" bottom="0" percent="0" rank="0" text="" dxfId="2">
      <formula>"Requested"</formula>
    </cfRule>
    <cfRule type="cellIs" priority="5" operator="equal" aboveAverage="0" equalAverage="0" bottom="0" percent="0" rank="0" text="" dxfId="2">
      <formula>"In Review"</formula>
    </cfRule>
  </conditionalFormatting>
  <dataValidations count="2">
    <dataValidation allowBlank="true" errorStyle="stop" operator="between" showDropDown="false" showErrorMessage="false" showInputMessage="false" sqref="E3:E18" type="list">
      <formula1>"P0 - Gating,P1 - High,P2 - Medium,P3 - Low"</formula1>
      <formula2>0</formula2>
    </dataValidation>
    <dataValidation allowBlank="true" errorStyle="stop" operator="between" showDropDown="false" showErrorMessage="false" showInputMessage="false" sqref="F3:F18" type="list">
      <formula1>"Not Started,Requested,Received,In Review,Complete,Red Flag"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4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21.75" hidden="false" customHeight="true" outlineLevel="0" collapsed="false">
      <c r="A1" s="22" t="s">
        <v>205</v>
      </c>
      <c r="B1" s="22"/>
      <c r="C1" s="22"/>
      <c r="D1" s="22"/>
      <c r="E1" s="22"/>
      <c r="F1" s="22"/>
      <c r="G1" s="22"/>
      <c r="H1" s="22"/>
      <c r="I1" s="22"/>
    </row>
    <row r="2" customFormat="false" ht="27.75" hidden="false" customHeight="true" outlineLevel="0" collapsed="false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12</v>
      </c>
      <c r="G2" s="4" t="s">
        <v>50</v>
      </c>
      <c r="H2" s="4" t="s">
        <v>51</v>
      </c>
      <c r="I2" s="4" t="s">
        <v>52</v>
      </c>
    </row>
    <row r="3" customFormat="false" ht="18" hidden="false" customHeight="true" outlineLevel="0" collapsed="false">
      <c r="A3" s="23" t="s">
        <v>206</v>
      </c>
      <c r="B3" s="23"/>
      <c r="C3" s="23"/>
      <c r="D3" s="23"/>
      <c r="E3" s="23"/>
      <c r="F3" s="23"/>
      <c r="G3" s="23"/>
      <c r="H3" s="23"/>
      <c r="I3" s="23"/>
    </row>
    <row r="4" customFormat="false" ht="35.05" hidden="false" customHeight="false" outlineLevel="0" collapsed="false">
      <c r="A4" s="24" t="n">
        <v>1</v>
      </c>
      <c r="B4" s="10" t="s">
        <v>207</v>
      </c>
      <c r="C4" s="25" t="s">
        <v>208</v>
      </c>
      <c r="D4" s="12"/>
      <c r="E4" s="26" t="s">
        <v>63</v>
      </c>
      <c r="F4" s="24" t="s">
        <v>6</v>
      </c>
      <c r="G4" s="12"/>
      <c r="H4" s="12"/>
      <c r="I4" s="27"/>
    </row>
    <row r="5" customFormat="false" ht="23.85" hidden="false" customHeight="false" outlineLevel="0" collapsed="false">
      <c r="A5" s="28" t="n">
        <v>2</v>
      </c>
      <c r="B5" s="5" t="s">
        <v>209</v>
      </c>
      <c r="C5" s="29" t="s">
        <v>210</v>
      </c>
      <c r="D5" s="7"/>
      <c r="E5" s="30" t="s">
        <v>56</v>
      </c>
      <c r="F5" s="28" t="s">
        <v>6</v>
      </c>
      <c r="G5" s="7"/>
      <c r="H5" s="7"/>
      <c r="I5" s="31"/>
    </row>
    <row r="6" customFormat="false" ht="23.85" hidden="false" customHeight="false" outlineLevel="0" collapsed="false">
      <c r="A6" s="24" t="n">
        <v>3</v>
      </c>
      <c r="B6" s="10" t="s">
        <v>211</v>
      </c>
      <c r="C6" s="25" t="s">
        <v>212</v>
      </c>
      <c r="D6" s="12"/>
      <c r="E6" s="26" t="s">
        <v>63</v>
      </c>
      <c r="F6" s="24" t="s">
        <v>6</v>
      </c>
      <c r="G6" s="12"/>
      <c r="H6" s="12"/>
      <c r="I6" s="27"/>
    </row>
    <row r="7" customFormat="false" ht="18" hidden="false" customHeight="true" outlineLevel="0" collapsed="false">
      <c r="A7" s="23" t="s">
        <v>213</v>
      </c>
      <c r="B7" s="23"/>
      <c r="C7" s="23"/>
      <c r="D7" s="23"/>
      <c r="E7" s="23"/>
      <c r="F7" s="23"/>
      <c r="G7" s="23"/>
      <c r="H7" s="23"/>
      <c r="I7" s="23"/>
    </row>
    <row r="8" customFormat="false" ht="23.85" hidden="false" customHeight="false" outlineLevel="0" collapsed="false">
      <c r="A8" s="28" t="n">
        <v>4</v>
      </c>
      <c r="B8" s="5" t="s">
        <v>214</v>
      </c>
      <c r="C8" s="29" t="s">
        <v>215</v>
      </c>
      <c r="D8" s="7"/>
      <c r="E8" s="30" t="s">
        <v>63</v>
      </c>
      <c r="F8" s="28" t="s">
        <v>6</v>
      </c>
      <c r="G8" s="7"/>
      <c r="H8" s="7"/>
      <c r="I8" s="31"/>
    </row>
    <row r="9" customFormat="false" ht="23.85" hidden="false" customHeight="false" outlineLevel="0" collapsed="false">
      <c r="A9" s="24" t="n">
        <v>5</v>
      </c>
      <c r="B9" s="10" t="s">
        <v>216</v>
      </c>
      <c r="C9" s="25" t="s">
        <v>217</v>
      </c>
      <c r="D9" s="12"/>
      <c r="E9" s="26" t="s">
        <v>79</v>
      </c>
      <c r="F9" s="24" t="s">
        <v>6</v>
      </c>
      <c r="G9" s="12"/>
      <c r="H9" s="12"/>
      <c r="I9" s="27"/>
    </row>
    <row r="10" customFormat="false" ht="23.85" hidden="false" customHeight="false" outlineLevel="0" collapsed="false">
      <c r="A10" s="28" t="n">
        <v>6</v>
      </c>
      <c r="B10" s="5" t="s">
        <v>218</v>
      </c>
      <c r="C10" s="29" t="s">
        <v>219</v>
      </c>
      <c r="D10" s="7"/>
      <c r="E10" s="30" t="s">
        <v>56</v>
      </c>
      <c r="F10" s="28" t="s">
        <v>6</v>
      </c>
      <c r="G10" s="7"/>
      <c r="H10" s="7"/>
      <c r="I10" s="31"/>
    </row>
    <row r="11" customFormat="false" ht="18" hidden="false" customHeight="true" outlineLevel="0" collapsed="false">
      <c r="A11" s="23" t="s">
        <v>220</v>
      </c>
      <c r="B11" s="23"/>
      <c r="C11" s="23"/>
      <c r="D11" s="23"/>
      <c r="E11" s="23"/>
      <c r="F11" s="23"/>
      <c r="G11" s="23"/>
      <c r="H11" s="23"/>
      <c r="I11" s="23"/>
    </row>
    <row r="12" customFormat="false" ht="23.85" hidden="false" customHeight="false" outlineLevel="0" collapsed="false">
      <c r="A12" s="24" t="n">
        <v>7</v>
      </c>
      <c r="B12" s="10" t="s">
        <v>221</v>
      </c>
      <c r="C12" s="25" t="s">
        <v>222</v>
      </c>
      <c r="D12" s="12"/>
      <c r="E12" s="26" t="s">
        <v>63</v>
      </c>
      <c r="F12" s="24" t="s">
        <v>6</v>
      </c>
      <c r="G12" s="12"/>
      <c r="H12" s="12"/>
      <c r="I12" s="27"/>
    </row>
    <row r="13" customFormat="false" ht="23.85" hidden="false" customHeight="false" outlineLevel="0" collapsed="false">
      <c r="A13" s="28" t="n">
        <v>8</v>
      </c>
      <c r="B13" s="5" t="s">
        <v>223</v>
      </c>
      <c r="C13" s="29" t="s">
        <v>224</v>
      </c>
      <c r="D13" s="7"/>
      <c r="E13" s="30" t="s">
        <v>79</v>
      </c>
      <c r="F13" s="28" t="s">
        <v>6</v>
      </c>
      <c r="G13" s="7"/>
      <c r="H13" s="7"/>
      <c r="I13" s="31"/>
    </row>
    <row r="14" customFormat="false" ht="35.05" hidden="false" customHeight="false" outlineLevel="0" collapsed="false">
      <c r="A14" s="24" t="n">
        <v>9</v>
      </c>
      <c r="B14" s="10" t="s">
        <v>225</v>
      </c>
      <c r="C14" s="25" t="s">
        <v>226</v>
      </c>
      <c r="D14" s="12"/>
      <c r="E14" s="26" t="s">
        <v>63</v>
      </c>
      <c r="F14" s="24" t="s">
        <v>6</v>
      </c>
      <c r="G14" s="12"/>
      <c r="H14" s="12"/>
      <c r="I14" s="27"/>
    </row>
    <row r="15" customFormat="false" ht="23.85" hidden="false" customHeight="false" outlineLevel="0" collapsed="false">
      <c r="A15" s="28" t="n">
        <v>10</v>
      </c>
      <c r="B15" s="5" t="s">
        <v>227</v>
      </c>
      <c r="C15" s="29" t="s">
        <v>228</v>
      </c>
      <c r="D15" s="7"/>
      <c r="E15" s="30" t="s">
        <v>63</v>
      </c>
      <c r="F15" s="28" t="s">
        <v>6</v>
      </c>
      <c r="G15" s="7"/>
      <c r="H15" s="7"/>
      <c r="I15" s="31"/>
    </row>
  </sheetData>
  <mergeCells count="4">
    <mergeCell ref="A1:I1"/>
    <mergeCell ref="A3:I3"/>
    <mergeCell ref="A7:I7"/>
    <mergeCell ref="A11:I11"/>
  </mergeCells>
  <conditionalFormatting sqref="F3:F15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"Red Flag"</formula>
    </cfRule>
    <cfRule type="cellIs" priority="4" operator="equal" aboveAverage="0" equalAverage="0" bottom="0" percent="0" rank="0" text="" dxfId="2">
      <formula>"Requested"</formula>
    </cfRule>
    <cfRule type="cellIs" priority="5" operator="equal" aboveAverage="0" equalAverage="0" bottom="0" percent="0" rank="0" text="" dxfId="2">
      <formula>"In Review"</formula>
    </cfRule>
  </conditionalFormatting>
  <dataValidations count="2">
    <dataValidation allowBlank="true" errorStyle="stop" operator="between" showDropDown="false" showErrorMessage="false" showInputMessage="false" sqref="E3:E15" type="list">
      <formula1>"P0 - Gating,P1 - High,P2 - Medium,P3 - Low"</formula1>
      <formula2>0</formula2>
    </dataValidation>
    <dataValidation allowBlank="true" errorStyle="stop" operator="between" showDropDown="false" showErrorMessage="false" showInputMessage="false" sqref="F3:F15" type="list">
      <formula1>"Not Started,Requested,Received,In Review,Complete,Red Flag"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082"/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4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21.75" hidden="false" customHeight="true" outlineLevel="0" collapsed="false">
      <c r="A1" s="22" t="s">
        <v>229</v>
      </c>
      <c r="B1" s="22"/>
      <c r="C1" s="22"/>
      <c r="D1" s="22"/>
      <c r="E1" s="22"/>
      <c r="F1" s="22"/>
      <c r="G1" s="22"/>
      <c r="H1" s="22"/>
      <c r="I1" s="22"/>
    </row>
    <row r="2" customFormat="false" ht="27.75" hidden="false" customHeight="true" outlineLevel="0" collapsed="false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12</v>
      </c>
      <c r="G2" s="4" t="s">
        <v>50</v>
      </c>
      <c r="H2" s="4" t="s">
        <v>51</v>
      </c>
      <c r="I2" s="4" t="s">
        <v>52</v>
      </c>
    </row>
    <row r="3" customFormat="false" ht="18" hidden="false" customHeight="true" outlineLevel="0" collapsed="false">
      <c r="A3" s="23" t="s">
        <v>230</v>
      </c>
      <c r="B3" s="23"/>
      <c r="C3" s="23"/>
      <c r="D3" s="23"/>
      <c r="E3" s="23"/>
      <c r="F3" s="23"/>
      <c r="G3" s="23"/>
      <c r="H3" s="23"/>
      <c r="I3" s="23"/>
    </row>
    <row r="4" customFormat="false" ht="35.05" hidden="false" customHeight="false" outlineLevel="0" collapsed="false">
      <c r="A4" s="24" t="n">
        <v>1</v>
      </c>
      <c r="B4" s="10" t="s">
        <v>231</v>
      </c>
      <c r="C4" s="25" t="s">
        <v>232</v>
      </c>
      <c r="D4" s="12"/>
      <c r="E4" s="26" t="s">
        <v>63</v>
      </c>
      <c r="F4" s="24" t="s">
        <v>6</v>
      </c>
      <c r="G4" s="12"/>
      <c r="H4" s="12"/>
      <c r="I4" s="27"/>
    </row>
    <row r="5" customFormat="false" ht="35.05" hidden="false" customHeight="false" outlineLevel="0" collapsed="false">
      <c r="A5" s="28" t="n">
        <v>2</v>
      </c>
      <c r="B5" s="5" t="s">
        <v>233</v>
      </c>
      <c r="C5" s="29" t="s">
        <v>234</v>
      </c>
      <c r="D5" s="7"/>
      <c r="E5" s="30" t="s">
        <v>63</v>
      </c>
      <c r="F5" s="28" t="s">
        <v>6</v>
      </c>
      <c r="G5" s="7"/>
      <c r="H5" s="7"/>
      <c r="I5" s="31"/>
    </row>
    <row r="6" customFormat="false" ht="23.85" hidden="false" customHeight="false" outlineLevel="0" collapsed="false">
      <c r="A6" s="24" t="n">
        <v>3</v>
      </c>
      <c r="B6" s="10" t="s">
        <v>235</v>
      </c>
      <c r="C6" s="25" t="s">
        <v>236</v>
      </c>
      <c r="D6" s="12"/>
      <c r="E6" s="26" t="s">
        <v>63</v>
      </c>
      <c r="F6" s="24" t="s">
        <v>6</v>
      </c>
      <c r="G6" s="12"/>
      <c r="H6" s="12"/>
      <c r="I6" s="27"/>
    </row>
    <row r="7" customFormat="false" ht="23.85" hidden="false" customHeight="false" outlineLevel="0" collapsed="false">
      <c r="A7" s="28" t="n">
        <v>4</v>
      </c>
      <c r="B7" s="5" t="s">
        <v>237</v>
      </c>
      <c r="C7" s="29" t="s">
        <v>238</v>
      </c>
      <c r="D7" s="7"/>
      <c r="E7" s="30" t="s">
        <v>63</v>
      </c>
      <c r="F7" s="28" t="s">
        <v>6</v>
      </c>
      <c r="G7" s="7"/>
      <c r="H7" s="7"/>
      <c r="I7" s="31"/>
    </row>
    <row r="8" customFormat="false" ht="23.85" hidden="false" customHeight="false" outlineLevel="0" collapsed="false">
      <c r="A8" s="24" t="n">
        <v>5</v>
      </c>
      <c r="B8" s="10" t="s">
        <v>239</v>
      </c>
      <c r="C8" s="25" t="s">
        <v>240</v>
      </c>
      <c r="D8" s="12"/>
      <c r="E8" s="26" t="s">
        <v>79</v>
      </c>
      <c r="F8" s="24" t="s">
        <v>6</v>
      </c>
      <c r="G8" s="12"/>
      <c r="H8" s="12"/>
      <c r="I8" s="27"/>
    </row>
    <row r="9" customFormat="false" ht="18" hidden="false" customHeight="true" outlineLevel="0" collapsed="false">
      <c r="A9" s="23" t="s">
        <v>241</v>
      </c>
      <c r="B9" s="23"/>
      <c r="C9" s="23"/>
      <c r="D9" s="23"/>
      <c r="E9" s="23"/>
      <c r="F9" s="23"/>
      <c r="G9" s="23"/>
      <c r="H9" s="23"/>
      <c r="I9" s="23"/>
    </row>
    <row r="10" customFormat="false" ht="23.85" hidden="false" customHeight="false" outlineLevel="0" collapsed="false">
      <c r="A10" s="28" t="n">
        <v>6</v>
      </c>
      <c r="B10" s="5" t="s">
        <v>242</v>
      </c>
      <c r="C10" s="29" t="s">
        <v>243</v>
      </c>
      <c r="D10" s="7"/>
      <c r="E10" s="30" t="s">
        <v>63</v>
      </c>
      <c r="F10" s="28" t="s">
        <v>6</v>
      </c>
      <c r="G10" s="7"/>
      <c r="H10" s="7"/>
      <c r="I10" s="31"/>
    </row>
    <row r="11" customFormat="false" ht="35.05" hidden="false" customHeight="false" outlineLevel="0" collapsed="false">
      <c r="A11" s="24" t="n">
        <v>7</v>
      </c>
      <c r="B11" s="10" t="s">
        <v>244</v>
      </c>
      <c r="C11" s="25" t="s">
        <v>245</v>
      </c>
      <c r="D11" s="12"/>
      <c r="E11" s="26" t="s">
        <v>56</v>
      </c>
      <c r="F11" s="24" t="s">
        <v>6</v>
      </c>
      <c r="G11" s="12"/>
      <c r="H11" s="12"/>
      <c r="I11" s="27"/>
    </row>
    <row r="12" customFormat="false" ht="23.85" hidden="false" customHeight="false" outlineLevel="0" collapsed="false">
      <c r="A12" s="28" t="n">
        <v>8</v>
      </c>
      <c r="B12" s="5" t="s">
        <v>246</v>
      </c>
      <c r="C12" s="29" t="s">
        <v>247</v>
      </c>
      <c r="D12" s="7"/>
      <c r="E12" s="30" t="s">
        <v>79</v>
      </c>
      <c r="F12" s="28" t="s">
        <v>6</v>
      </c>
      <c r="G12" s="7"/>
      <c r="H12" s="7"/>
      <c r="I12" s="31"/>
    </row>
    <row r="13" customFormat="false" ht="23.85" hidden="false" customHeight="false" outlineLevel="0" collapsed="false">
      <c r="A13" s="24" t="n">
        <v>9</v>
      </c>
      <c r="B13" s="10" t="s">
        <v>248</v>
      </c>
      <c r="C13" s="25" t="s">
        <v>249</v>
      </c>
      <c r="D13" s="12"/>
      <c r="E13" s="26" t="s">
        <v>63</v>
      </c>
      <c r="F13" s="24" t="s">
        <v>6</v>
      </c>
      <c r="G13" s="12"/>
      <c r="H13" s="12"/>
      <c r="I13" s="27"/>
    </row>
    <row r="14" customFormat="false" ht="23.85" hidden="false" customHeight="false" outlineLevel="0" collapsed="false">
      <c r="A14" s="28" t="n">
        <v>10</v>
      </c>
      <c r="B14" s="5" t="s">
        <v>250</v>
      </c>
      <c r="C14" s="29" t="s">
        <v>251</v>
      </c>
      <c r="D14" s="7"/>
      <c r="E14" s="30" t="s">
        <v>79</v>
      </c>
      <c r="F14" s="28" t="s">
        <v>6</v>
      </c>
      <c r="G14" s="7"/>
      <c r="H14" s="7"/>
      <c r="I14" s="31"/>
    </row>
    <row r="15" customFormat="false" ht="18" hidden="false" customHeight="true" outlineLevel="0" collapsed="false">
      <c r="A15" s="23" t="s">
        <v>252</v>
      </c>
      <c r="B15" s="23"/>
      <c r="C15" s="23"/>
      <c r="D15" s="23"/>
      <c r="E15" s="23"/>
      <c r="F15" s="23"/>
      <c r="G15" s="23"/>
      <c r="H15" s="23"/>
      <c r="I15" s="23"/>
    </row>
    <row r="16" customFormat="false" ht="23.85" hidden="false" customHeight="false" outlineLevel="0" collapsed="false">
      <c r="A16" s="24" t="n">
        <v>11</v>
      </c>
      <c r="B16" s="10" t="s">
        <v>253</v>
      </c>
      <c r="C16" s="25" t="s">
        <v>254</v>
      </c>
      <c r="D16" s="12"/>
      <c r="E16" s="26" t="s">
        <v>63</v>
      </c>
      <c r="F16" s="24" t="s">
        <v>6</v>
      </c>
      <c r="G16" s="12"/>
      <c r="H16" s="12"/>
      <c r="I16" s="27"/>
    </row>
    <row r="17" customFormat="false" ht="23.85" hidden="false" customHeight="false" outlineLevel="0" collapsed="false">
      <c r="A17" s="28" t="n">
        <v>12</v>
      </c>
      <c r="B17" s="5" t="s">
        <v>255</v>
      </c>
      <c r="C17" s="29" t="s">
        <v>256</v>
      </c>
      <c r="D17" s="7"/>
      <c r="E17" s="30" t="s">
        <v>79</v>
      </c>
      <c r="F17" s="28" t="s">
        <v>6</v>
      </c>
      <c r="G17" s="7"/>
      <c r="H17" s="7"/>
      <c r="I17" s="31"/>
    </row>
  </sheetData>
  <mergeCells count="4">
    <mergeCell ref="A1:I1"/>
    <mergeCell ref="A3:I3"/>
    <mergeCell ref="A9:I9"/>
    <mergeCell ref="A15:I15"/>
  </mergeCells>
  <conditionalFormatting sqref="F3:F17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"Red Flag"</formula>
    </cfRule>
    <cfRule type="cellIs" priority="4" operator="equal" aboveAverage="0" equalAverage="0" bottom="0" percent="0" rank="0" text="" dxfId="2">
      <formula>"Requested"</formula>
    </cfRule>
    <cfRule type="cellIs" priority="5" operator="equal" aboveAverage="0" equalAverage="0" bottom="0" percent="0" rank="0" text="" dxfId="2">
      <formula>"In Review"</formula>
    </cfRule>
  </conditionalFormatting>
  <dataValidations count="2">
    <dataValidation allowBlank="true" errorStyle="stop" operator="between" showDropDown="false" showErrorMessage="false" showInputMessage="false" sqref="E3:E17" type="list">
      <formula1>"P0 - Gating,P1 - High,P2 - Medium,P3 - Low"</formula1>
      <formula2>0</formula2>
    </dataValidation>
    <dataValidation allowBlank="true" errorStyle="stop" operator="between" showDropDown="false" showErrorMessage="false" showInputMessage="false" sqref="F3:F17" type="list">
      <formula1>"Not Started,Requested,Received,In Review,Complete,Red Flag"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38135"/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4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21.75" hidden="false" customHeight="true" outlineLevel="0" collapsed="false">
      <c r="A1" s="22" t="s">
        <v>257</v>
      </c>
      <c r="B1" s="22"/>
      <c r="C1" s="22"/>
      <c r="D1" s="22"/>
      <c r="E1" s="22"/>
      <c r="F1" s="22"/>
      <c r="G1" s="22"/>
      <c r="H1" s="22"/>
      <c r="I1" s="22"/>
    </row>
    <row r="2" customFormat="false" ht="27.75" hidden="false" customHeight="true" outlineLevel="0" collapsed="false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12</v>
      </c>
      <c r="G2" s="4" t="s">
        <v>50</v>
      </c>
      <c r="H2" s="4" t="s">
        <v>51</v>
      </c>
      <c r="I2" s="4" t="s">
        <v>52</v>
      </c>
    </row>
    <row r="3" customFormat="false" ht="18" hidden="false" customHeight="true" outlineLevel="0" collapsed="false">
      <c r="A3" s="23" t="s">
        <v>258</v>
      </c>
      <c r="B3" s="23"/>
      <c r="C3" s="23"/>
      <c r="D3" s="23"/>
      <c r="E3" s="23"/>
      <c r="F3" s="23"/>
      <c r="G3" s="23"/>
      <c r="H3" s="23"/>
      <c r="I3" s="23"/>
    </row>
    <row r="4" customFormat="false" ht="23.85" hidden="false" customHeight="false" outlineLevel="0" collapsed="false">
      <c r="A4" s="24" t="n">
        <v>1</v>
      </c>
      <c r="B4" s="10" t="s">
        <v>259</v>
      </c>
      <c r="C4" s="25" t="s">
        <v>260</v>
      </c>
      <c r="D4" s="12"/>
      <c r="E4" s="26" t="s">
        <v>63</v>
      </c>
      <c r="F4" s="24" t="s">
        <v>6</v>
      </c>
      <c r="G4" s="12"/>
      <c r="H4" s="12"/>
      <c r="I4" s="27"/>
    </row>
    <row r="5" customFormat="false" ht="23.85" hidden="false" customHeight="false" outlineLevel="0" collapsed="false">
      <c r="A5" s="28" t="n">
        <v>2</v>
      </c>
      <c r="B5" s="5" t="s">
        <v>261</v>
      </c>
      <c r="C5" s="29" t="s">
        <v>262</v>
      </c>
      <c r="D5" s="7"/>
      <c r="E5" s="30" t="s">
        <v>79</v>
      </c>
      <c r="F5" s="28" t="s">
        <v>6</v>
      </c>
      <c r="G5" s="7"/>
      <c r="H5" s="7"/>
      <c r="I5" s="31"/>
    </row>
    <row r="6" customFormat="false" ht="23.85" hidden="false" customHeight="false" outlineLevel="0" collapsed="false">
      <c r="A6" s="24" t="n">
        <v>3</v>
      </c>
      <c r="B6" s="10" t="s">
        <v>263</v>
      </c>
      <c r="C6" s="25" t="s">
        <v>264</v>
      </c>
      <c r="D6" s="12"/>
      <c r="E6" s="26" t="s">
        <v>63</v>
      </c>
      <c r="F6" s="24" t="s">
        <v>6</v>
      </c>
      <c r="G6" s="12"/>
      <c r="H6" s="12"/>
      <c r="I6" s="27"/>
    </row>
    <row r="7" customFormat="false" ht="23.85" hidden="false" customHeight="false" outlineLevel="0" collapsed="false">
      <c r="A7" s="28" t="n">
        <v>4</v>
      </c>
      <c r="B7" s="5" t="s">
        <v>265</v>
      </c>
      <c r="C7" s="29" t="s">
        <v>266</v>
      </c>
      <c r="D7" s="7"/>
      <c r="E7" s="30" t="s">
        <v>63</v>
      </c>
      <c r="F7" s="28" t="s">
        <v>6</v>
      </c>
      <c r="G7" s="7"/>
      <c r="H7" s="7"/>
      <c r="I7" s="31"/>
    </row>
    <row r="8" customFormat="false" ht="23.85" hidden="false" customHeight="false" outlineLevel="0" collapsed="false">
      <c r="A8" s="24" t="n">
        <v>5</v>
      </c>
      <c r="B8" s="10" t="s">
        <v>267</v>
      </c>
      <c r="C8" s="25" t="s">
        <v>268</v>
      </c>
      <c r="D8" s="12"/>
      <c r="E8" s="26" t="s">
        <v>79</v>
      </c>
      <c r="F8" s="24" t="s">
        <v>6</v>
      </c>
      <c r="G8" s="12"/>
      <c r="H8" s="12"/>
      <c r="I8" s="27"/>
    </row>
    <row r="9" customFormat="false" ht="18" hidden="false" customHeight="true" outlineLevel="0" collapsed="false">
      <c r="A9" s="23" t="s">
        <v>269</v>
      </c>
      <c r="B9" s="23"/>
      <c r="C9" s="23"/>
      <c r="D9" s="23"/>
      <c r="E9" s="23"/>
      <c r="F9" s="23"/>
      <c r="G9" s="23"/>
      <c r="H9" s="23"/>
      <c r="I9" s="23"/>
    </row>
    <row r="10" customFormat="false" ht="35.05" hidden="false" customHeight="false" outlineLevel="0" collapsed="false">
      <c r="A10" s="28" t="n">
        <v>6</v>
      </c>
      <c r="B10" s="5" t="s">
        <v>270</v>
      </c>
      <c r="C10" s="29" t="s">
        <v>271</v>
      </c>
      <c r="D10" s="7"/>
      <c r="E10" s="30" t="s">
        <v>56</v>
      </c>
      <c r="F10" s="28" t="s">
        <v>6</v>
      </c>
      <c r="G10" s="7"/>
      <c r="H10" s="7"/>
      <c r="I10" s="31"/>
    </row>
    <row r="11" customFormat="false" ht="23.85" hidden="false" customHeight="false" outlineLevel="0" collapsed="false">
      <c r="A11" s="24" t="n">
        <v>7</v>
      </c>
      <c r="B11" s="10" t="s">
        <v>272</v>
      </c>
      <c r="C11" s="25" t="s">
        <v>273</v>
      </c>
      <c r="D11" s="12"/>
      <c r="E11" s="26" t="s">
        <v>63</v>
      </c>
      <c r="F11" s="24" t="s">
        <v>6</v>
      </c>
      <c r="G11" s="12"/>
      <c r="H11" s="12"/>
      <c r="I11" s="27"/>
    </row>
    <row r="12" customFormat="false" ht="35.05" hidden="false" customHeight="false" outlineLevel="0" collapsed="false">
      <c r="A12" s="28" t="n">
        <v>8</v>
      </c>
      <c r="B12" s="5" t="s">
        <v>274</v>
      </c>
      <c r="C12" s="29" t="s">
        <v>275</v>
      </c>
      <c r="D12" s="7"/>
      <c r="E12" s="30" t="s">
        <v>63</v>
      </c>
      <c r="F12" s="28" t="s">
        <v>6</v>
      </c>
      <c r="G12" s="7"/>
      <c r="H12" s="7"/>
      <c r="I12" s="31"/>
    </row>
    <row r="13" customFormat="false" ht="35.05" hidden="false" customHeight="false" outlineLevel="0" collapsed="false">
      <c r="A13" s="24" t="n">
        <v>9</v>
      </c>
      <c r="B13" s="10" t="s">
        <v>276</v>
      </c>
      <c r="C13" s="25" t="s">
        <v>277</v>
      </c>
      <c r="D13" s="12"/>
      <c r="E13" s="26" t="s">
        <v>56</v>
      </c>
      <c r="F13" s="24" t="s">
        <v>6</v>
      </c>
      <c r="G13" s="12"/>
      <c r="H13" s="12"/>
      <c r="I13" s="27"/>
    </row>
    <row r="14" customFormat="false" ht="23.85" hidden="false" customHeight="false" outlineLevel="0" collapsed="false">
      <c r="A14" s="28" t="n">
        <v>10</v>
      </c>
      <c r="B14" s="5" t="s">
        <v>278</v>
      </c>
      <c r="C14" s="29" t="s">
        <v>279</v>
      </c>
      <c r="D14" s="7"/>
      <c r="E14" s="30" t="s">
        <v>63</v>
      </c>
      <c r="F14" s="28" t="s">
        <v>6</v>
      </c>
      <c r="G14" s="7"/>
      <c r="H14" s="7"/>
      <c r="I14" s="31"/>
    </row>
    <row r="15" customFormat="false" ht="18" hidden="false" customHeight="true" outlineLevel="0" collapsed="false">
      <c r="A15" s="23" t="s">
        <v>280</v>
      </c>
      <c r="B15" s="23"/>
      <c r="C15" s="23"/>
      <c r="D15" s="23"/>
      <c r="E15" s="23"/>
      <c r="F15" s="23"/>
      <c r="G15" s="23"/>
      <c r="H15" s="23"/>
      <c r="I15" s="23"/>
    </row>
    <row r="16" customFormat="false" ht="23.85" hidden="false" customHeight="false" outlineLevel="0" collapsed="false">
      <c r="A16" s="24" t="n">
        <v>11</v>
      </c>
      <c r="B16" s="10" t="s">
        <v>281</v>
      </c>
      <c r="C16" s="25" t="s">
        <v>282</v>
      </c>
      <c r="D16" s="12"/>
      <c r="E16" s="26" t="s">
        <v>56</v>
      </c>
      <c r="F16" s="24" t="s">
        <v>6</v>
      </c>
      <c r="G16" s="12"/>
      <c r="H16" s="12"/>
      <c r="I16" s="27"/>
    </row>
    <row r="17" customFormat="false" ht="23.85" hidden="false" customHeight="false" outlineLevel="0" collapsed="false">
      <c r="A17" s="28" t="n">
        <v>12</v>
      </c>
      <c r="B17" s="5" t="s">
        <v>283</v>
      </c>
      <c r="C17" s="29" t="s">
        <v>284</v>
      </c>
      <c r="D17" s="7"/>
      <c r="E17" s="30" t="s">
        <v>63</v>
      </c>
      <c r="F17" s="28" t="s">
        <v>6</v>
      </c>
      <c r="G17" s="7"/>
      <c r="H17" s="7"/>
      <c r="I17" s="31"/>
    </row>
    <row r="18" customFormat="false" ht="35.05" hidden="false" customHeight="false" outlineLevel="0" collapsed="false">
      <c r="A18" s="24" t="n">
        <v>13</v>
      </c>
      <c r="B18" s="10" t="s">
        <v>285</v>
      </c>
      <c r="C18" s="25" t="s">
        <v>286</v>
      </c>
      <c r="D18" s="12"/>
      <c r="E18" s="26" t="s">
        <v>63</v>
      </c>
      <c r="F18" s="24" t="s">
        <v>6</v>
      </c>
      <c r="G18" s="12"/>
      <c r="H18" s="12"/>
      <c r="I18" s="27"/>
    </row>
  </sheetData>
  <mergeCells count="4">
    <mergeCell ref="A1:I1"/>
    <mergeCell ref="A3:I3"/>
    <mergeCell ref="A9:I9"/>
    <mergeCell ref="A15:I15"/>
  </mergeCells>
  <conditionalFormatting sqref="F3:F18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"Red Flag"</formula>
    </cfRule>
    <cfRule type="cellIs" priority="4" operator="equal" aboveAverage="0" equalAverage="0" bottom="0" percent="0" rank="0" text="" dxfId="2">
      <formula>"Requested"</formula>
    </cfRule>
    <cfRule type="cellIs" priority="5" operator="equal" aboveAverage="0" equalAverage="0" bottom="0" percent="0" rank="0" text="" dxfId="2">
      <formula>"In Review"</formula>
    </cfRule>
  </conditionalFormatting>
  <dataValidations count="2">
    <dataValidation allowBlank="true" errorStyle="stop" operator="between" showDropDown="false" showErrorMessage="false" showInputMessage="false" sqref="E3:E18" type="list">
      <formula1>"P0 - Gating,P1 - High,P2 - Medium,P3 - Low"</formula1>
      <formula2>0</formula2>
    </dataValidation>
    <dataValidation allowBlank="true" errorStyle="stop" operator="between" showDropDown="false" showErrorMessage="false" showInputMessage="false" sqref="F3:F18" type="list">
      <formula1>"Not Started,Requested,Received,In Review,Complete,Red Flag"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4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21.75" hidden="false" customHeight="true" outlineLevel="0" collapsed="false">
      <c r="A1" s="22" t="s">
        <v>287</v>
      </c>
      <c r="B1" s="22"/>
      <c r="C1" s="22"/>
      <c r="D1" s="22"/>
      <c r="E1" s="22"/>
      <c r="F1" s="22"/>
      <c r="G1" s="22"/>
      <c r="H1" s="22"/>
      <c r="I1" s="22"/>
    </row>
    <row r="2" customFormat="false" ht="27.75" hidden="false" customHeight="true" outlineLevel="0" collapsed="false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12</v>
      </c>
      <c r="G2" s="4" t="s">
        <v>50</v>
      </c>
      <c r="H2" s="4" t="s">
        <v>51</v>
      </c>
      <c r="I2" s="4" t="s">
        <v>52</v>
      </c>
    </row>
    <row r="3" customFormat="false" ht="18" hidden="false" customHeight="true" outlineLevel="0" collapsed="false">
      <c r="A3" s="23" t="s">
        <v>288</v>
      </c>
      <c r="B3" s="23"/>
      <c r="C3" s="23"/>
      <c r="D3" s="23"/>
      <c r="E3" s="23"/>
      <c r="F3" s="23"/>
      <c r="G3" s="23"/>
      <c r="H3" s="23"/>
      <c r="I3" s="23"/>
    </row>
    <row r="4" customFormat="false" ht="23.85" hidden="false" customHeight="false" outlineLevel="0" collapsed="false">
      <c r="A4" s="24" t="n">
        <v>1</v>
      </c>
      <c r="B4" s="10" t="s">
        <v>289</v>
      </c>
      <c r="C4" s="25" t="s">
        <v>290</v>
      </c>
      <c r="D4" s="12"/>
      <c r="E4" s="26" t="s">
        <v>56</v>
      </c>
      <c r="F4" s="24" t="s">
        <v>6</v>
      </c>
      <c r="G4" s="12"/>
      <c r="H4" s="12"/>
      <c r="I4" s="27"/>
    </row>
    <row r="5" customFormat="false" ht="35.05" hidden="false" customHeight="false" outlineLevel="0" collapsed="false">
      <c r="A5" s="28" t="n">
        <v>2</v>
      </c>
      <c r="B5" s="5" t="s">
        <v>291</v>
      </c>
      <c r="C5" s="29" t="s">
        <v>292</v>
      </c>
      <c r="D5" s="7"/>
      <c r="E5" s="30" t="s">
        <v>63</v>
      </c>
      <c r="F5" s="28" t="s">
        <v>6</v>
      </c>
      <c r="G5" s="7"/>
      <c r="H5" s="7"/>
      <c r="I5" s="31"/>
    </row>
    <row r="6" customFormat="false" ht="35.05" hidden="false" customHeight="false" outlineLevel="0" collapsed="false">
      <c r="A6" s="24" t="n">
        <v>3</v>
      </c>
      <c r="B6" s="10" t="s">
        <v>293</v>
      </c>
      <c r="C6" s="25" t="s">
        <v>294</v>
      </c>
      <c r="D6" s="12"/>
      <c r="E6" s="26" t="s">
        <v>63</v>
      </c>
      <c r="F6" s="24" t="s">
        <v>6</v>
      </c>
      <c r="G6" s="12"/>
      <c r="H6" s="12"/>
      <c r="I6" s="27"/>
    </row>
    <row r="7" customFormat="false" ht="23.85" hidden="false" customHeight="false" outlineLevel="0" collapsed="false">
      <c r="A7" s="28" t="n">
        <v>4</v>
      </c>
      <c r="B7" s="5" t="s">
        <v>295</v>
      </c>
      <c r="C7" s="29" t="s">
        <v>296</v>
      </c>
      <c r="D7" s="7"/>
      <c r="E7" s="30" t="s">
        <v>63</v>
      </c>
      <c r="F7" s="28" t="s">
        <v>6</v>
      </c>
      <c r="G7" s="7"/>
      <c r="H7" s="7"/>
      <c r="I7" s="31"/>
    </row>
    <row r="8" customFormat="false" ht="18" hidden="false" customHeight="true" outlineLevel="0" collapsed="false">
      <c r="A8" s="23" t="s">
        <v>297</v>
      </c>
      <c r="B8" s="23"/>
      <c r="C8" s="23"/>
      <c r="D8" s="23"/>
      <c r="E8" s="23"/>
      <c r="F8" s="23"/>
      <c r="G8" s="23"/>
      <c r="H8" s="23"/>
      <c r="I8" s="23"/>
    </row>
    <row r="9" customFormat="false" ht="23.85" hidden="false" customHeight="false" outlineLevel="0" collapsed="false">
      <c r="A9" s="24" t="n">
        <v>5</v>
      </c>
      <c r="B9" s="10" t="s">
        <v>298</v>
      </c>
      <c r="C9" s="25" t="s">
        <v>299</v>
      </c>
      <c r="D9" s="12"/>
      <c r="E9" s="26" t="s">
        <v>56</v>
      </c>
      <c r="F9" s="24" t="s">
        <v>6</v>
      </c>
      <c r="G9" s="12"/>
      <c r="H9" s="12"/>
      <c r="I9" s="27"/>
    </row>
    <row r="10" customFormat="false" ht="35.05" hidden="false" customHeight="false" outlineLevel="0" collapsed="false">
      <c r="A10" s="28" t="n">
        <v>6</v>
      </c>
      <c r="B10" s="5" t="s">
        <v>300</v>
      </c>
      <c r="C10" s="29" t="s">
        <v>301</v>
      </c>
      <c r="D10" s="7"/>
      <c r="E10" s="30" t="s">
        <v>56</v>
      </c>
      <c r="F10" s="28" t="s">
        <v>6</v>
      </c>
      <c r="G10" s="7"/>
      <c r="H10" s="7"/>
      <c r="I10" s="31"/>
    </row>
    <row r="11" customFormat="false" ht="23.85" hidden="false" customHeight="false" outlineLevel="0" collapsed="false">
      <c r="A11" s="24" t="n">
        <v>7</v>
      </c>
      <c r="B11" s="10" t="s">
        <v>302</v>
      </c>
      <c r="C11" s="25" t="s">
        <v>303</v>
      </c>
      <c r="D11" s="12"/>
      <c r="E11" s="26" t="s">
        <v>63</v>
      </c>
      <c r="F11" s="24" t="s">
        <v>6</v>
      </c>
      <c r="G11" s="12"/>
      <c r="H11" s="12"/>
      <c r="I11" s="27"/>
    </row>
    <row r="12" customFormat="false" ht="23.85" hidden="false" customHeight="false" outlineLevel="0" collapsed="false">
      <c r="A12" s="28" t="n">
        <v>8</v>
      </c>
      <c r="B12" s="5" t="s">
        <v>304</v>
      </c>
      <c r="C12" s="29" t="s">
        <v>305</v>
      </c>
      <c r="D12" s="7"/>
      <c r="E12" s="30" t="s">
        <v>63</v>
      </c>
      <c r="F12" s="28" t="s">
        <v>6</v>
      </c>
      <c r="G12" s="7"/>
      <c r="H12" s="7"/>
      <c r="I12" s="31"/>
    </row>
    <row r="13" customFormat="false" ht="23.85" hidden="false" customHeight="false" outlineLevel="0" collapsed="false">
      <c r="A13" s="24" t="n">
        <v>9</v>
      </c>
      <c r="B13" s="10" t="s">
        <v>306</v>
      </c>
      <c r="C13" s="25" t="s">
        <v>307</v>
      </c>
      <c r="D13" s="12"/>
      <c r="E13" s="26" t="s">
        <v>63</v>
      </c>
      <c r="F13" s="24" t="s">
        <v>6</v>
      </c>
      <c r="G13" s="12"/>
      <c r="H13" s="12"/>
      <c r="I13" s="27"/>
    </row>
    <row r="14" customFormat="false" ht="18" hidden="false" customHeight="true" outlineLevel="0" collapsed="false">
      <c r="A14" s="23" t="s">
        <v>308</v>
      </c>
      <c r="B14" s="23"/>
      <c r="C14" s="23"/>
      <c r="D14" s="23"/>
      <c r="E14" s="23"/>
      <c r="F14" s="23"/>
      <c r="G14" s="23"/>
      <c r="H14" s="23"/>
      <c r="I14" s="23"/>
    </row>
    <row r="15" customFormat="false" ht="23.85" hidden="false" customHeight="false" outlineLevel="0" collapsed="false">
      <c r="A15" s="28" t="n">
        <v>10</v>
      </c>
      <c r="B15" s="5" t="s">
        <v>309</v>
      </c>
      <c r="C15" s="29" t="s">
        <v>310</v>
      </c>
      <c r="D15" s="7"/>
      <c r="E15" s="30" t="s">
        <v>63</v>
      </c>
      <c r="F15" s="28" t="s">
        <v>6</v>
      </c>
      <c r="G15" s="7"/>
      <c r="H15" s="7"/>
      <c r="I15" s="31"/>
    </row>
    <row r="16" customFormat="false" ht="23.85" hidden="false" customHeight="false" outlineLevel="0" collapsed="false">
      <c r="A16" s="24" t="n">
        <v>11</v>
      </c>
      <c r="B16" s="10" t="s">
        <v>311</v>
      </c>
      <c r="C16" s="25" t="s">
        <v>312</v>
      </c>
      <c r="D16" s="12"/>
      <c r="E16" s="26" t="s">
        <v>63</v>
      </c>
      <c r="F16" s="24" t="s">
        <v>6</v>
      </c>
      <c r="G16" s="12"/>
      <c r="H16" s="12"/>
      <c r="I16" s="27"/>
    </row>
    <row r="17" customFormat="false" ht="23.85" hidden="false" customHeight="false" outlineLevel="0" collapsed="false">
      <c r="A17" s="28" t="n">
        <v>12</v>
      </c>
      <c r="B17" s="5" t="s">
        <v>313</v>
      </c>
      <c r="C17" s="29" t="s">
        <v>314</v>
      </c>
      <c r="D17" s="7"/>
      <c r="E17" s="30" t="s">
        <v>63</v>
      </c>
      <c r="F17" s="28" t="s">
        <v>6</v>
      </c>
      <c r="G17" s="7"/>
      <c r="H17" s="7"/>
      <c r="I17" s="31"/>
    </row>
    <row r="18" customFormat="false" ht="23.85" hidden="false" customHeight="false" outlineLevel="0" collapsed="false">
      <c r="A18" s="24" t="n">
        <v>13</v>
      </c>
      <c r="B18" s="10" t="s">
        <v>315</v>
      </c>
      <c r="C18" s="25" t="s">
        <v>316</v>
      </c>
      <c r="D18" s="12"/>
      <c r="E18" s="26" t="s">
        <v>79</v>
      </c>
      <c r="F18" s="24" t="s">
        <v>6</v>
      </c>
      <c r="G18" s="12"/>
      <c r="H18" s="12"/>
      <c r="I18" s="27"/>
    </row>
    <row r="19" customFormat="false" ht="18" hidden="false" customHeight="true" outlineLevel="0" collapsed="false">
      <c r="A19" s="23" t="s">
        <v>317</v>
      </c>
      <c r="B19" s="23"/>
      <c r="C19" s="23"/>
      <c r="D19" s="23"/>
      <c r="E19" s="23"/>
      <c r="F19" s="23"/>
      <c r="G19" s="23"/>
      <c r="H19" s="23"/>
      <c r="I19" s="23"/>
    </row>
    <row r="20" customFormat="false" ht="23.85" hidden="false" customHeight="false" outlineLevel="0" collapsed="false">
      <c r="A20" s="28" t="n">
        <v>14</v>
      </c>
      <c r="B20" s="5" t="s">
        <v>318</v>
      </c>
      <c r="C20" s="29" t="s">
        <v>319</v>
      </c>
      <c r="D20" s="7"/>
      <c r="E20" s="30" t="s">
        <v>56</v>
      </c>
      <c r="F20" s="28" t="s">
        <v>6</v>
      </c>
      <c r="G20" s="7"/>
      <c r="H20" s="7"/>
      <c r="I20" s="31"/>
    </row>
    <row r="21" customFormat="false" ht="23.85" hidden="false" customHeight="false" outlineLevel="0" collapsed="false">
      <c r="A21" s="24" t="n">
        <v>15</v>
      </c>
      <c r="B21" s="10" t="s">
        <v>320</v>
      </c>
      <c r="C21" s="25" t="s">
        <v>321</v>
      </c>
      <c r="D21" s="12"/>
      <c r="E21" s="26" t="s">
        <v>56</v>
      </c>
      <c r="F21" s="24" t="s">
        <v>6</v>
      </c>
      <c r="G21" s="12"/>
      <c r="H21" s="12"/>
      <c r="I21" s="27"/>
    </row>
  </sheetData>
  <mergeCells count="5">
    <mergeCell ref="A1:I1"/>
    <mergeCell ref="A3:I3"/>
    <mergeCell ref="A8:I8"/>
    <mergeCell ref="A14:I14"/>
    <mergeCell ref="A19:I19"/>
  </mergeCells>
  <conditionalFormatting sqref="F3:F21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"Red Flag"</formula>
    </cfRule>
    <cfRule type="cellIs" priority="4" operator="equal" aboveAverage="0" equalAverage="0" bottom="0" percent="0" rank="0" text="" dxfId="2">
      <formula>"Requested"</formula>
    </cfRule>
    <cfRule type="cellIs" priority="5" operator="equal" aboveAverage="0" equalAverage="0" bottom="0" percent="0" rank="0" text="" dxfId="2">
      <formula>"In Review"</formula>
    </cfRule>
  </conditionalFormatting>
  <dataValidations count="2">
    <dataValidation allowBlank="true" errorStyle="stop" operator="between" showDropDown="false" showErrorMessage="false" showInputMessage="false" sqref="E3:E21" type="list">
      <formula1>"P0 - Gating,P1 - High,P2 - Medium,P3 - Low"</formula1>
      <formula2>0</formula2>
    </dataValidation>
    <dataValidation allowBlank="true" errorStyle="stop" operator="between" showDropDown="false" showErrorMessage="false" showInputMessage="false" sqref="F3:F21" type="list">
      <formula1>"Not Started,Requested,Received,In Review,Complete,Red Flag"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5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45"/>
    <col collapsed="false" customWidth="true" hidden="false" outlineLevel="0" max="7" min="7" style="0" width="30"/>
    <col collapsed="false" customWidth="true" hidden="false" outlineLevel="0" max="9" min="8" style="0" width="14"/>
  </cols>
  <sheetData>
    <row r="1" customFormat="false" ht="21.75" hidden="false" customHeight="true" outlineLevel="0" collapsed="false">
      <c r="A1" s="32" t="s">
        <v>322</v>
      </c>
      <c r="B1" s="32"/>
      <c r="C1" s="32"/>
      <c r="D1" s="32"/>
      <c r="E1" s="32"/>
      <c r="F1" s="32"/>
      <c r="G1" s="32"/>
      <c r="H1" s="32"/>
      <c r="I1" s="32"/>
    </row>
    <row r="2" customFormat="false" ht="27.75" hidden="false" customHeight="true" outlineLevel="0" collapsed="false">
      <c r="A2" s="33" t="s">
        <v>45</v>
      </c>
      <c r="B2" s="33" t="s">
        <v>3</v>
      </c>
      <c r="C2" s="33" t="s">
        <v>323</v>
      </c>
      <c r="D2" s="33" t="s">
        <v>324</v>
      </c>
      <c r="E2" s="33" t="s">
        <v>325</v>
      </c>
      <c r="F2" s="33" t="s">
        <v>326</v>
      </c>
      <c r="G2" s="33" t="s">
        <v>327</v>
      </c>
      <c r="H2" s="33" t="s">
        <v>50</v>
      </c>
      <c r="I2" s="33" t="s">
        <v>12</v>
      </c>
    </row>
    <row r="3" customFormat="false" ht="23.85" hidden="false" customHeight="false" outlineLevel="0" collapsed="false">
      <c r="A3" s="7" t="n">
        <v>1</v>
      </c>
      <c r="B3" s="5" t="s">
        <v>13</v>
      </c>
      <c r="C3" s="29" t="s">
        <v>328</v>
      </c>
      <c r="D3" s="7"/>
      <c r="E3" s="34" t="s">
        <v>329</v>
      </c>
      <c r="F3" s="31"/>
      <c r="G3" s="31" t="s">
        <v>330</v>
      </c>
      <c r="H3" s="7"/>
      <c r="I3" s="35" t="s">
        <v>331</v>
      </c>
    </row>
    <row r="4" customFormat="false" ht="23.85" hidden="false" customHeight="false" outlineLevel="0" collapsed="false">
      <c r="A4" s="12" t="n">
        <v>2</v>
      </c>
      <c r="B4" s="10" t="s">
        <v>14</v>
      </c>
      <c r="C4" s="25" t="s">
        <v>332</v>
      </c>
      <c r="D4" s="12"/>
      <c r="E4" s="36" t="s">
        <v>333</v>
      </c>
      <c r="F4" s="27"/>
      <c r="G4" s="27" t="s">
        <v>334</v>
      </c>
      <c r="H4" s="12"/>
      <c r="I4" s="37" t="s">
        <v>331</v>
      </c>
    </row>
    <row r="5" customFormat="false" ht="23.85" hidden="false" customHeight="false" outlineLevel="0" collapsed="false">
      <c r="A5" s="7" t="n">
        <v>3</v>
      </c>
      <c r="B5" s="5" t="s">
        <v>15</v>
      </c>
      <c r="C5" s="29" t="s">
        <v>335</v>
      </c>
      <c r="D5" s="7"/>
      <c r="E5" s="34" t="s">
        <v>333</v>
      </c>
      <c r="F5" s="31"/>
      <c r="G5" s="31" t="s">
        <v>336</v>
      </c>
      <c r="H5" s="7"/>
      <c r="I5" s="35" t="s">
        <v>331</v>
      </c>
    </row>
    <row r="6" customFormat="false" ht="23.85" hidden="false" customHeight="false" outlineLevel="0" collapsed="false">
      <c r="A6" s="12" t="n">
        <v>4</v>
      </c>
      <c r="B6" s="10" t="s">
        <v>21</v>
      </c>
      <c r="C6" s="25" t="s">
        <v>337</v>
      </c>
      <c r="D6" s="12"/>
      <c r="E6" s="36" t="s">
        <v>333</v>
      </c>
      <c r="F6" s="27"/>
      <c r="G6" s="27" t="s">
        <v>338</v>
      </c>
      <c r="H6" s="12"/>
      <c r="I6" s="37" t="s">
        <v>331</v>
      </c>
    </row>
  </sheetData>
  <mergeCells count="1">
    <mergeCell ref="A1:I1"/>
  </mergeCells>
  <conditionalFormatting sqref="E3:E50">
    <cfRule type="cellIs" priority="2" operator="equal" aboveAverage="0" equalAverage="0" bottom="0" percent="0" rank="0" text="" dxfId="3">
      <formula>"Deal-Breaker"</formula>
    </cfRule>
    <cfRule type="cellIs" priority="3" operator="equal" aboveAverage="0" equalAverage="0" bottom="0" percent="0" rank="0" text="" dxfId="2">
      <formula>"Significant"</formula>
    </cfRule>
    <cfRule type="cellIs" priority="4" operator="equal" aboveAverage="0" equalAverage="0" bottom="0" percent="0" rank="0" text="" dxfId="0">
      <formula>"Manageable"</formula>
    </cfRule>
  </conditionalFormatting>
  <dataValidations count="2">
    <dataValidation allowBlank="true" errorStyle="stop" operator="between" showDropDown="false" showErrorMessage="false" showInputMessage="false" sqref="E3:E50" type="list">
      <formula1>"Deal-Breaker,Significant,Manageable"</formula1>
      <formula2>0</formula2>
    </dataValidation>
    <dataValidation allowBlank="true" errorStyle="stop" operator="between" showDropDown="false" showErrorMessage="false" showInputMessage="false" sqref="I3:I50" type="list">
      <formula1>"Open,Under Review,Resolved,Accepted"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2026-03-17T12:27:45Z</dcterms:created>
  <dc:creator>openpyxl</dc:creator>
  <dc:description/>
  <dc:language>en-US</dc:language>
  <cp:lastModifiedBy/>
  <dcterms:modified xsi:type="dcterms:W3CDTF">2026-03-17T12:27:45Z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